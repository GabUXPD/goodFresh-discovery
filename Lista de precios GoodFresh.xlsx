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gabotorres/Documents/GoodFresh_prototipo/"/>
    </mc:Choice>
  </mc:AlternateContent>
  <xr:revisionPtr revIDLastSave="0" documentId="13_ncr:1_{6CC11634-675B-AA41-AD0D-54ACE0B79549}" xr6:coauthVersionLast="47" xr6:coauthVersionMax="47" xr10:uidLastSave="{00000000-0000-0000-0000-000000000000}"/>
  <bookViews>
    <workbookView xWindow="0" yWindow="780" windowWidth="34200" windowHeight="19800" activeTab="10" xr2:uid="{00000000-000D-0000-FFFF-FFFF00000000}"/>
  </bookViews>
  <sheets>
    <sheet name="Membresia - ppta" sheetId="1" r:id="rId1"/>
    <sheet name="PPTA" sheetId="2" r:id="rId2"/>
    <sheet name="Listado de precios" sheetId="3" r:id="rId3"/>
    <sheet name="Números" sheetId="4" r:id="rId4"/>
    <sheet name="precios semana 2906" sheetId="5" r:id="rId5"/>
    <sheet name="Comparación" sheetId="6" r:id="rId6"/>
    <sheet name="Lider" sheetId="7" state="hidden" r:id="rId7"/>
    <sheet name="Jumbo" sheetId="8" state="hidden" r:id="rId8"/>
    <sheet name="Juan Esparraguito" sheetId="9" state="hidden" r:id="rId9"/>
    <sheet name="Packs" sheetId="10" r:id="rId10"/>
    <sheet name="LP GF" sheetId="11" r:id="rId11"/>
    <sheet name="Clasificación" sheetId="12" r:id="rId12"/>
  </sheets>
  <definedNames>
    <definedName name="_xlnm._FilterDatabase" localSheetId="5" hidden="1">Comparación!$A$1:$Z$1000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0" l="1"/>
  <c r="D45" i="10"/>
  <c r="C45" i="10"/>
  <c r="D44" i="10"/>
  <c r="C44" i="10"/>
  <c r="D43" i="10"/>
  <c r="C43" i="10"/>
  <c r="D42" i="10"/>
  <c r="C42" i="10"/>
  <c r="D41" i="10"/>
  <c r="D46" i="10" s="1"/>
  <c r="C41" i="10"/>
  <c r="C46" i="10" s="1"/>
  <c r="B38" i="10"/>
  <c r="D37" i="10"/>
  <c r="C37" i="10"/>
  <c r="D36" i="10"/>
  <c r="C36" i="10"/>
  <c r="D35" i="10"/>
  <c r="C35" i="10"/>
  <c r="D34" i="10"/>
  <c r="C34" i="10"/>
  <c r="C38" i="10" s="1"/>
  <c r="E38" i="10" s="1"/>
  <c r="B31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C31" i="10" s="1"/>
  <c r="E31" i="10" s="1"/>
  <c r="B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C11" i="10" s="1"/>
  <c r="E11" i="10" s="1"/>
  <c r="D3" i="10"/>
  <c r="C3" i="10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E95" i="6"/>
  <c r="M95" i="6" s="1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E32" i="6"/>
  <c r="M32" i="6" s="1"/>
  <c r="D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E5" i="6"/>
  <c r="M5" i="6" s="1"/>
  <c r="M4" i="6"/>
  <c r="M3" i="6"/>
  <c r="M2" i="6"/>
  <c r="E14" i="4"/>
  <c r="D14" i="4"/>
  <c r="C14" i="4"/>
  <c r="E10" i="4"/>
  <c r="D10" i="4"/>
  <c r="C10" i="4"/>
  <c r="E6" i="4"/>
  <c r="D6" i="4"/>
  <c r="C6" i="4"/>
  <c r="E5" i="4"/>
  <c r="D5" i="4"/>
  <c r="C5" i="4"/>
  <c r="V112" i="3"/>
  <c r="T112" i="3"/>
  <c r="P112" i="3"/>
  <c r="O112" i="3"/>
  <c r="M112" i="3"/>
  <c r="L112" i="3"/>
  <c r="H112" i="3"/>
  <c r="G112" i="3"/>
  <c r="U112" i="3" s="1"/>
  <c r="F112" i="3"/>
  <c r="Z111" i="3"/>
  <c r="U111" i="3"/>
  <c r="T111" i="3"/>
  <c r="P111" i="3"/>
  <c r="O111" i="3"/>
  <c r="M111" i="3"/>
  <c r="L111" i="3"/>
  <c r="H111" i="3"/>
  <c r="Y111" i="3" s="1"/>
  <c r="G111" i="3"/>
  <c r="F111" i="3"/>
  <c r="Z110" i="3"/>
  <c r="Y110" i="3"/>
  <c r="X110" i="3"/>
  <c r="U110" i="3"/>
  <c r="T110" i="3"/>
  <c r="P110" i="3"/>
  <c r="O110" i="3"/>
  <c r="M110" i="3"/>
  <c r="L110" i="3"/>
  <c r="H110" i="3"/>
  <c r="G110" i="3"/>
  <c r="W110" i="3" s="1"/>
  <c r="F110" i="3"/>
  <c r="Z109" i="3"/>
  <c r="Y109" i="3"/>
  <c r="V109" i="3"/>
  <c r="T109" i="3"/>
  <c r="P109" i="3"/>
  <c r="O109" i="3"/>
  <c r="M109" i="3"/>
  <c r="L109" i="3"/>
  <c r="H109" i="3"/>
  <c r="G109" i="3"/>
  <c r="F109" i="3"/>
  <c r="X108" i="3"/>
  <c r="W108" i="3"/>
  <c r="V108" i="3"/>
  <c r="T108" i="3"/>
  <c r="S108" i="3"/>
  <c r="P108" i="3"/>
  <c r="O108" i="3"/>
  <c r="M108" i="3"/>
  <c r="L108" i="3"/>
  <c r="H108" i="3"/>
  <c r="G108" i="3"/>
  <c r="U108" i="3" s="1"/>
  <c r="F108" i="3"/>
  <c r="T107" i="3"/>
  <c r="S107" i="3"/>
  <c r="P107" i="3"/>
  <c r="O107" i="3"/>
  <c r="N107" i="3"/>
  <c r="L107" i="3"/>
  <c r="H107" i="3"/>
  <c r="G107" i="3"/>
  <c r="W107" i="3" s="1"/>
  <c r="F107" i="3"/>
  <c r="Y106" i="3"/>
  <c r="S106" i="3"/>
  <c r="T106" i="3" s="1"/>
  <c r="H106" i="3"/>
  <c r="Z106" i="3" s="1"/>
  <c r="G106" i="3"/>
  <c r="Z105" i="3"/>
  <c r="Y105" i="3"/>
  <c r="T105" i="3"/>
  <c r="S105" i="3"/>
  <c r="P105" i="3"/>
  <c r="O105" i="3"/>
  <c r="N105" i="3"/>
  <c r="L105" i="3"/>
  <c r="H105" i="3"/>
  <c r="G105" i="3"/>
  <c r="W105" i="3" s="1"/>
  <c r="F105" i="3"/>
  <c r="W104" i="3"/>
  <c r="V104" i="3"/>
  <c r="S104" i="3"/>
  <c r="T104" i="3" s="1"/>
  <c r="P104" i="3"/>
  <c r="O104" i="3"/>
  <c r="N104" i="3"/>
  <c r="L104" i="3"/>
  <c r="H104" i="3"/>
  <c r="Z104" i="3" s="1"/>
  <c r="G104" i="3"/>
  <c r="U104" i="3" s="1"/>
  <c r="F104" i="3"/>
  <c r="V103" i="3"/>
  <c r="T103" i="3"/>
  <c r="S103" i="3"/>
  <c r="P103" i="3"/>
  <c r="O103" i="3"/>
  <c r="L103" i="3"/>
  <c r="H103" i="3"/>
  <c r="Z103" i="3" s="1"/>
  <c r="G103" i="3"/>
  <c r="U103" i="3" s="1"/>
  <c r="F103" i="3"/>
  <c r="Z102" i="3"/>
  <c r="Y102" i="3"/>
  <c r="U102" i="3"/>
  <c r="S102" i="3"/>
  <c r="T102" i="3" s="1"/>
  <c r="P102" i="3"/>
  <c r="O102" i="3"/>
  <c r="L102" i="3"/>
  <c r="H102" i="3"/>
  <c r="G102" i="3"/>
  <c r="W102" i="3" s="1"/>
  <c r="F102" i="3"/>
  <c r="V101" i="3"/>
  <c r="U101" i="3"/>
  <c r="S101" i="3"/>
  <c r="T101" i="3" s="1"/>
  <c r="M101" i="3"/>
  <c r="K101" i="3"/>
  <c r="H101" i="3"/>
  <c r="Z101" i="3" s="1"/>
  <c r="G101" i="3"/>
  <c r="U100" i="3"/>
  <c r="S100" i="3"/>
  <c r="T100" i="3" s="1"/>
  <c r="H100" i="3"/>
  <c r="G100" i="3"/>
  <c r="V100" i="3" s="1"/>
  <c r="Z99" i="3"/>
  <c r="T99" i="3"/>
  <c r="S99" i="3"/>
  <c r="P99" i="3"/>
  <c r="N99" i="3"/>
  <c r="L99" i="3"/>
  <c r="K99" i="3"/>
  <c r="M99" i="3" s="1"/>
  <c r="I99" i="3"/>
  <c r="O99" i="3" s="1"/>
  <c r="H99" i="3"/>
  <c r="G99" i="3"/>
  <c r="F99" i="3"/>
  <c r="X98" i="3"/>
  <c r="V98" i="3"/>
  <c r="S98" i="3"/>
  <c r="T98" i="3" s="1"/>
  <c r="M98" i="3"/>
  <c r="K98" i="3"/>
  <c r="H98" i="3"/>
  <c r="Z98" i="3" s="1"/>
  <c r="G98" i="3"/>
  <c r="U98" i="3" s="1"/>
  <c r="Z97" i="3"/>
  <c r="Y97" i="3"/>
  <c r="W97" i="3"/>
  <c r="S97" i="3"/>
  <c r="T97" i="3" s="1"/>
  <c r="P97" i="3"/>
  <c r="O97" i="3"/>
  <c r="N97" i="3"/>
  <c r="M97" i="3"/>
  <c r="L97" i="3"/>
  <c r="H97" i="3"/>
  <c r="G97" i="3"/>
  <c r="V97" i="3" s="1"/>
  <c r="F97" i="3"/>
  <c r="Z96" i="3"/>
  <c r="Y96" i="3"/>
  <c r="S96" i="3"/>
  <c r="T96" i="3" s="1"/>
  <c r="P96" i="3"/>
  <c r="O96" i="3"/>
  <c r="L96" i="3"/>
  <c r="K96" i="3"/>
  <c r="M96" i="3" s="1"/>
  <c r="I96" i="3"/>
  <c r="H96" i="3"/>
  <c r="G96" i="3"/>
  <c r="F96" i="3"/>
  <c r="Z95" i="3"/>
  <c r="X95" i="3"/>
  <c r="S95" i="3"/>
  <c r="T95" i="3" s="1"/>
  <c r="P95" i="3"/>
  <c r="O95" i="3"/>
  <c r="N95" i="3"/>
  <c r="M95" i="3"/>
  <c r="L95" i="3"/>
  <c r="H95" i="3"/>
  <c r="Y95" i="3" s="1"/>
  <c r="G95" i="3"/>
  <c r="F95" i="3"/>
  <c r="Z94" i="3"/>
  <c r="Y94" i="3"/>
  <c r="X94" i="3"/>
  <c r="S94" i="3"/>
  <c r="T94" i="3" s="1"/>
  <c r="P94" i="3"/>
  <c r="O94" i="3"/>
  <c r="M94" i="3"/>
  <c r="L94" i="3"/>
  <c r="H94" i="3"/>
  <c r="G94" i="3"/>
  <c r="W94" i="3" s="1"/>
  <c r="F94" i="3"/>
  <c r="Z93" i="3"/>
  <c r="Y93" i="3"/>
  <c r="W93" i="3"/>
  <c r="S93" i="3"/>
  <c r="T93" i="3" s="1"/>
  <c r="P93" i="3"/>
  <c r="O93" i="3"/>
  <c r="N93" i="3"/>
  <c r="M93" i="3"/>
  <c r="L93" i="3"/>
  <c r="H93" i="3"/>
  <c r="G93" i="3"/>
  <c r="V93" i="3" s="1"/>
  <c r="F93" i="3"/>
  <c r="V92" i="3"/>
  <c r="S92" i="3"/>
  <c r="T92" i="3" s="1"/>
  <c r="L92" i="3"/>
  <c r="H92" i="3"/>
  <c r="G92" i="3"/>
  <c r="F92" i="3"/>
  <c r="U91" i="3"/>
  <c r="S91" i="3"/>
  <c r="T91" i="3" s="1"/>
  <c r="H91" i="3"/>
  <c r="G91" i="3"/>
  <c r="V91" i="3" s="1"/>
  <c r="V90" i="3"/>
  <c r="U90" i="3"/>
  <c r="S90" i="3"/>
  <c r="T90" i="3" s="1"/>
  <c r="M90" i="3"/>
  <c r="H90" i="3"/>
  <c r="G90" i="3"/>
  <c r="X90" i="3" s="1"/>
  <c r="Y89" i="3"/>
  <c r="X89" i="3"/>
  <c r="T89" i="3"/>
  <c r="S89" i="3"/>
  <c r="P89" i="3"/>
  <c r="O89" i="3"/>
  <c r="N89" i="3"/>
  <c r="M89" i="3"/>
  <c r="L89" i="3"/>
  <c r="H89" i="3"/>
  <c r="Z89" i="3" s="1"/>
  <c r="G89" i="3"/>
  <c r="U89" i="3" s="1"/>
  <c r="F89" i="3"/>
  <c r="V88" i="3"/>
  <c r="U88" i="3"/>
  <c r="T88" i="3"/>
  <c r="S88" i="3"/>
  <c r="H88" i="3"/>
  <c r="G88" i="3"/>
  <c r="Y87" i="3"/>
  <c r="X87" i="3"/>
  <c r="V87" i="3"/>
  <c r="U87" i="3"/>
  <c r="S87" i="3"/>
  <c r="T87" i="3" s="1"/>
  <c r="M87" i="3"/>
  <c r="H87" i="3"/>
  <c r="Z87" i="3" s="1"/>
  <c r="G87" i="3"/>
  <c r="Z86" i="3"/>
  <c r="Y86" i="3"/>
  <c r="V86" i="3"/>
  <c r="T86" i="3"/>
  <c r="S86" i="3"/>
  <c r="H86" i="3"/>
  <c r="G86" i="3"/>
  <c r="U86" i="3" s="1"/>
  <c r="F86" i="3"/>
  <c r="Y85" i="3"/>
  <c r="V85" i="3"/>
  <c r="S85" i="3"/>
  <c r="T85" i="3" s="1"/>
  <c r="L85" i="3"/>
  <c r="H85" i="3"/>
  <c r="Z85" i="3" s="1"/>
  <c r="G85" i="3"/>
  <c r="F85" i="3"/>
  <c r="Z84" i="3"/>
  <c r="V84" i="3"/>
  <c r="U84" i="3"/>
  <c r="T84" i="3"/>
  <c r="S84" i="3"/>
  <c r="L84" i="3"/>
  <c r="H84" i="3"/>
  <c r="Y84" i="3" s="1"/>
  <c r="G84" i="3"/>
  <c r="W84" i="3" s="1"/>
  <c r="F84" i="3"/>
  <c r="Y83" i="3"/>
  <c r="V83" i="3"/>
  <c r="U83" i="3"/>
  <c r="S83" i="3"/>
  <c r="T83" i="3" s="1"/>
  <c r="O83" i="3"/>
  <c r="I83" i="3"/>
  <c r="H83" i="3"/>
  <c r="Z83" i="3" s="1"/>
  <c r="G83" i="3"/>
  <c r="F83" i="3"/>
  <c r="Z82" i="3"/>
  <c r="X82" i="3"/>
  <c r="S82" i="3"/>
  <c r="T82" i="3" s="1"/>
  <c r="P82" i="3"/>
  <c r="O82" i="3"/>
  <c r="N82" i="3"/>
  <c r="M82" i="3"/>
  <c r="L82" i="3"/>
  <c r="H82" i="3"/>
  <c r="Y82" i="3" s="1"/>
  <c r="G82" i="3"/>
  <c r="F82" i="3"/>
  <c r="W81" i="3"/>
  <c r="V81" i="3"/>
  <c r="S81" i="3"/>
  <c r="T81" i="3" s="1"/>
  <c r="L81" i="3"/>
  <c r="H81" i="3"/>
  <c r="G81" i="3"/>
  <c r="U81" i="3" s="1"/>
  <c r="F81" i="3"/>
  <c r="Z80" i="3"/>
  <c r="S80" i="3"/>
  <c r="T80" i="3" s="1"/>
  <c r="H80" i="3"/>
  <c r="Y80" i="3" s="1"/>
  <c r="G80" i="3"/>
  <c r="F80" i="3"/>
  <c r="Y79" i="3"/>
  <c r="X79" i="3"/>
  <c r="W79" i="3"/>
  <c r="V79" i="3"/>
  <c r="T79" i="3"/>
  <c r="S79" i="3"/>
  <c r="N79" i="3"/>
  <c r="M79" i="3"/>
  <c r="L79" i="3"/>
  <c r="K79" i="3"/>
  <c r="P79" i="3" s="1"/>
  <c r="I79" i="3"/>
  <c r="H79" i="3"/>
  <c r="Z79" i="3" s="1"/>
  <c r="G79" i="3"/>
  <c r="F79" i="3"/>
  <c r="Z78" i="3"/>
  <c r="X78" i="3"/>
  <c r="S78" i="3"/>
  <c r="T78" i="3" s="1"/>
  <c r="P78" i="3"/>
  <c r="O78" i="3"/>
  <c r="M78" i="3"/>
  <c r="L78" i="3"/>
  <c r="K78" i="3"/>
  <c r="V78" i="3" s="1"/>
  <c r="I78" i="3"/>
  <c r="H78" i="3"/>
  <c r="G78" i="3"/>
  <c r="U78" i="3" s="1"/>
  <c r="F78" i="3"/>
  <c r="Z77" i="3"/>
  <c r="Y77" i="3"/>
  <c r="W77" i="3"/>
  <c r="S77" i="3"/>
  <c r="T77" i="3" s="1"/>
  <c r="P77" i="3"/>
  <c r="O77" i="3"/>
  <c r="N77" i="3"/>
  <c r="M77" i="3"/>
  <c r="L77" i="3"/>
  <c r="K77" i="3"/>
  <c r="I77" i="3"/>
  <c r="H77" i="3"/>
  <c r="G77" i="3"/>
  <c r="F77" i="3"/>
  <c r="Z76" i="3"/>
  <c r="Y76" i="3"/>
  <c r="U76" i="3"/>
  <c r="T76" i="3"/>
  <c r="S76" i="3"/>
  <c r="P76" i="3"/>
  <c r="M76" i="3"/>
  <c r="L76" i="3"/>
  <c r="H76" i="3"/>
  <c r="G76" i="3"/>
  <c r="X76" i="3" s="1"/>
  <c r="F76" i="3"/>
  <c r="Z75" i="3"/>
  <c r="Y75" i="3"/>
  <c r="T75" i="3"/>
  <c r="S75" i="3"/>
  <c r="H75" i="3"/>
  <c r="G75" i="3"/>
  <c r="V75" i="3" s="1"/>
  <c r="Z74" i="3"/>
  <c r="Y74" i="3"/>
  <c r="V74" i="3"/>
  <c r="S74" i="3"/>
  <c r="T74" i="3" s="1"/>
  <c r="P74" i="3"/>
  <c r="O74" i="3"/>
  <c r="L74" i="3"/>
  <c r="H74" i="3"/>
  <c r="G74" i="3"/>
  <c r="F74" i="3"/>
  <c r="Y73" i="3"/>
  <c r="X73" i="3"/>
  <c r="W73" i="3"/>
  <c r="V73" i="3"/>
  <c r="T73" i="3"/>
  <c r="S73" i="3"/>
  <c r="O73" i="3"/>
  <c r="N73" i="3"/>
  <c r="M73" i="3"/>
  <c r="L73" i="3"/>
  <c r="K73" i="3"/>
  <c r="P73" i="3" s="1"/>
  <c r="I73" i="3"/>
  <c r="U73" i="3" s="1"/>
  <c r="H73" i="3"/>
  <c r="Z73" i="3" s="1"/>
  <c r="G73" i="3"/>
  <c r="F73" i="3"/>
  <c r="X72" i="3"/>
  <c r="V72" i="3"/>
  <c r="S72" i="3"/>
  <c r="T72" i="3" s="1"/>
  <c r="P72" i="3"/>
  <c r="O72" i="3"/>
  <c r="M72" i="3"/>
  <c r="L72" i="3"/>
  <c r="H72" i="3"/>
  <c r="Y72" i="3" s="1"/>
  <c r="G72" i="3"/>
  <c r="U72" i="3" s="1"/>
  <c r="F72" i="3"/>
  <c r="X71" i="3"/>
  <c r="W71" i="3"/>
  <c r="U71" i="3"/>
  <c r="T71" i="3"/>
  <c r="S71" i="3"/>
  <c r="P71" i="3"/>
  <c r="M71" i="3"/>
  <c r="L71" i="3"/>
  <c r="H71" i="3"/>
  <c r="Z71" i="3" s="1"/>
  <c r="G71" i="3"/>
  <c r="V71" i="3" s="1"/>
  <c r="F71" i="3"/>
  <c r="X70" i="3"/>
  <c r="S70" i="3"/>
  <c r="T70" i="3" s="1"/>
  <c r="P70" i="3"/>
  <c r="O70" i="3"/>
  <c r="M70" i="3"/>
  <c r="L70" i="3"/>
  <c r="H70" i="3"/>
  <c r="G70" i="3"/>
  <c r="U70" i="3" s="1"/>
  <c r="F70" i="3"/>
  <c r="T69" i="3"/>
  <c r="S69" i="3"/>
  <c r="P69" i="3"/>
  <c r="O69" i="3"/>
  <c r="M69" i="3"/>
  <c r="L69" i="3"/>
  <c r="H69" i="3"/>
  <c r="G69" i="3"/>
  <c r="F69" i="3"/>
  <c r="V68" i="3"/>
  <c r="S68" i="3"/>
  <c r="T68" i="3" s="1"/>
  <c r="P68" i="3"/>
  <c r="O68" i="3"/>
  <c r="M68" i="3"/>
  <c r="L68" i="3"/>
  <c r="E27" i="10" s="1"/>
  <c r="H68" i="3"/>
  <c r="Z68" i="3" s="1"/>
  <c r="G68" i="3"/>
  <c r="F68" i="3"/>
  <c r="Z67" i="3"/>
  <c r="Y67" i="3"/>
  <c r="U67" i="3"/>
  <c r="S67" i="3"/>
  <c r="T67" i="3" s="1"/>
  <c r="P67" i="3"/>
  <c r="O67" i="3"/>
  <c r="M67" i="3"/>
  <c r="L67" i="3"/>
  <c r="H67" i="3"/>
  <c r="G67" i="3"/>
  <c r="F67" i="3"/>
  <c r="Z66" i="3"/>
  <c r="Y66" i="3"/>
  <c r="X66" i="3"/>
  <c r="W66" i="3"/>
  <c r="V66" i="3"/>
  <c r="S66" i="3"/>
  <c r="T66" i="3" s="1"/>
  <c r="P66" i="3"/>
  <c r="O66" i="3"/>
  <c r="M66" i="3"/>
  <c r="L66" i="3"/>
  <c r="H66" i="3"/>
  <c r="G66" i="3"/>
  <c r="U66" i="3" s="1"/>
  <c r="F66" i="3"/>
  <c r="Z65" i="3"/>
  <c r="X65" i="3"/>
  <c r="V65" i="3"/>
  <c r="S65" i="3"/>
  <c r="T65" i="3" s="1"/>
  <c r="P65" i="3"/>
  <c r="O65" i="3"/>
  <c r="M65" i="3"/>
  <c r="L65" i="3"/>
  <c r="H65" i="3"/>
  <c r="Y65" i="3" s="1"/>
  <c r="G65" i="3"/>
  <c r="U65" i="3" s="1"/>
  <c r="F65" i="3"/>
  <c r="X64" i="3"/>
  <c r="T64" i="3"/>
  <c r="S64" i="3"/>
  <c r="P64" i="3"/>
  <c r="O64" i="3"/>
  <c r="M64" i="3"/>
  <c r="H64" i="3"/>
  <c r="Y64" i="3" s="1"/>
  <c r="G64" i="3"/>
  <c r="U64" i="3" s="1"/>
  <c r="F64" i="3"/>
  <c r="Z63" i="3"/>
  <c r="W63" i="3"/>
  <c r="V63" i="3"/>
  <c r="T63" i="3"/>
  <c r="S63" i="3"/>
  <c r="P63" i="3"/>
  <c r="O63" i="3"/>
  <c r="M63" i="3"/>
  <c r="L63" i="3"/>
  <c r="H63" i="3"/>
  <c r="Y63" i="3" s="1"/>
  <c r="G63" i="3"/>
  <c r="X63" i="3" s="1"/>
  <c r="F63" i="3"/>
  <c r="U62" i="3"/>
  <c r="T62" i="3"/>
  <c r="S62" i="3"/>
  <c r="P62" i="3"/>
  <c r="O62" i="3"/>
  <c r="M62" i="3"/>
  <c r="L62" i="3"/>
  <c r="E29" i="10" s="1"/>
  <c r="H62" i="3"/>
  <c r="G62" i="3"/>
  <c r="F62" i="3"/>
  <c r="Z61" i="3"/>
  <c r="S61" i="3"/>
  <c r="T61" i="3" s="1"/>
  <c r="P61" i="3"/>
  <c r="O61" i="3"/>
  <c r="L61" i="3"/>
  <c r="H61" i="3"/>
  <c r="Y61" i="3" s="1"/>
  <c r="G61" i="3"/>
  <c r="F61" i="3"/>
  <c r="Y60" i="3"/>
  <c r="X60" i="3"/>
  <c r="W60" i="3"/>
  <c r="V60" i="3"/>
  <c r="T60" i="3"/>
  <c r="S60" i="3"/>
  <c r="P60" i="3"/>
  <c r="O60" i="3"/>
  <c r="M60" i="3"/>
  <c r="L60" i="3"/>
  <c r="H60" i="3"/>
  <c r="Z60" i="3" s="1"/>
  <c r="G60" i="3"/>
  <c r="U60" i="3" s="1"/>
  <c r="F60" i="3"/>
  <c r="X59" i="3"/>
  <c r="W59" i="3"/>
  <c r="U59" i="3"/>
  <c r="S59" i="3"/>
  <c r="T59" i="3" s="1"/>
  <c r="P59" i="3"/>
  <c r="O59" i="3"/>
  <c r="M59" i="3"/>
  <c r="L59" i="3"/>
  <c r="H59" i="3"/>
  <c r="G59" i="3"/>
  <c r="V59" i="3" s="1"/>
  <c r="F59" i="3"/>
  <c r="T58" i="3"/>
  <c r="S58" i="3"/>
  <c r="P58" i="3"/>
  <c r="O58" i="3"/>
  <c r="M58" i="3"/>
  <c r="L58" i="3"/>
  <c r="H58" i="3"/>
  <c r="Y58" i="3" s="1"/>
  <c r="G58" i="3"/>
  <c r="F58" i="3"/>
  <c r="Z57" i="3"/>
  <c r="Y57" i="3"/>
  <c r="X57" i="3"/>
  <c r="V57" i="3"/>
  <c r="S57" i="3"/>
  <c r="T57" i="3" s="1"/>
  <c r="P57" i="3"/>
  <c r="O57" i="3"/>
  <c r="M57" i="3"/>
  <c r="L57" i="3"/>
  <c r="H57" i="3"/>
  <c r="G57" i="3"/>
  <c r="W57" i="3" s="1"/>
  <c r="F57" i="3"/>
  <c r="Z56" i="3"/>
  <c r="Y56" i="3"/>
  <c r="X56" i="3"/>
  <c r="T56" i="3"/>
  <c r="S56" i="3"/>
  <c r="P56" i="3"/>
  <c r="O56" i="3"/>
  <c r="M56" i="3"/>
  <c r="L56" i="3"/>
  <c r="H56" i="3"/>
  <c r="G56" i="3"/>
  <c r="V56" i="3" s="1"/>
  <c r="F56" i="3"/>
  <c r="X55" i="3"/>
  <c r="W55" i="3"/>
  <c r="V55" i="3"/>
  <c r="S55" i="3"/>
  <c r="T55" i="3" s="1"/>
  <c r="P55" i="3"/>
  <c r="O55" i="3"/>
  <c r="M55" i="3"/>
  <c r="L55" i="3"/>
  <c r="H55" i="3"/>
  <c r="G55" i="3"/>
  <c r="U55" i="3" s="1"/>
  <c r="F55" i="3"/>
  <c r="Z54" i="3"/>
  <c r="U54" i="3"/>
  <c r="S54" i="3"/>
  <c r="T54" i="3" s="1"/>
  <c r="P54" i="3"/>
  <c r="O54" i="3"/>
  <c r="M54" i="3"/>
  <c r="L54" i="3"/>
  <c r="H54" i="3"/>
  <c r="Y54" i="3" s="1"/>
  <c r="G54" i="3"/>
  <c r="F54" i="3"/>
  <c r="Z53" i="3"/>
  <c r="Y53" i="3"/>
  <c r="X53" i="3"/>
  <c r="T53" i="3"/>
  <c r="S53" i="3"/>
  <c r="P53" i="3"/>
  <c r="O53" i="3"/>
  <c r="M53" i="3"/>
  <c r="L53" i="3"/>
  <c r="H53" i="3"/>
  <c r="G53" i="3"/>
  <c r="W53" i="3" s="1"/>
  <c r="F53" i="3"/>
  <c r="Y52" i="3"/>
  <c r="X52" i="3"/>
  <c r="W52" i="3"/>
  <c r="V52" i="3"/>
  <c r="S52" i="3"/>
  <c r="T52" i="3" s="1"/>
  <c r="P52" i="3"/>
  <c r="O52" i="3"/>
  <c r="M52" i="3"/>
  <c r="L52" i="3"/>
  <c r="H52" i="3"/>
  <c r="Z52" i="3" s="1"/>
  <c r="G52" i="3"/>
  <c r="U52" i="3" s="1"/>
  <c r="F52" i="3"/>
  <c r="X51" i="3"/>
  <c r="W51" i="3"/>
  <c r="V51" i="3"/>
  <c r="T51" i="3"/>
  <c r="S51" i="3"/>
  <c r="P51" i="3"/>
  <c r="O51" i="3"/>
  <c r="M51" i="3"/>
  <c r="L51" i="3"/>
  <c r="E36" i="10" s="1"/>
  <c r="H51" i="3"/>
  <c r="G51" i="3"/>
  <c r="U51" i="3" s="1"/>
  <c r="F51" i="3"/>
  <c r="T50" i="3"/>
  <c r="S50" i="3"/>
  <c r="P50" i="3"/>
  <c r="O50" i="3"/>
  <c r="M50" i="3"/>
  <c r="L50" i="3"/>
  <c r="H50" i="3"/>
  <c r="G50" i="3"/>
  <c r="F50" i="3"/>
  <c r="Z49" i="3"/>
  <c r="Y49" i="3"/>
  <c r="S49" i="3"/>
  <c r="T49" i="3" s="1"/>
  <c r="P49" i="3"/>
  <c r="O49" i="3"/>
  <c r="M49" i="3"/>
  <c r="L49" i="3"/>
  <c r="E23" i="10" s="1"/>
  <c r="H49" i="3"/>
  <c r="G49" i="3"/>
  <c r="W49" i="3" s="1"/>
  <c r="F49" i="3"/>
  <c r="Z48" i="3"/>
  <c r="Y48" i="3"/>
  <c r="X48" i="3"/>
  <c r="W48" i="3"/>
  <c r="S48" i="3"/>
  <c r="T48" i="3" s="1"/>
  <c r="P48" i="3"/>
  <c r="O48" i="3"/>
  <c r="M48" i="3"/>
  <c r="L48" i="3"/>
  <c r="E24" i="10" s="1"/>
  <c r="H48" i="3"/>
  <c r="G48" i="3"/>
  <c r="V48" i="3" s="1"/>
  <c r="F48" i="3"/>
  <c r="Y47" i="3"/>
  <c r="X47" i="3"/>
  <c r="W47" i="3"/>
  <c r="V47" i="3"/>
  <c r="T47" i="3"/>
  <c r="S47" i="3"/>
  <c r="P47" i="3"/>
  <c r="O47" i="3"/>
  <c r="M47" i="3"/>
  <c r="L47" i="3"/>
  <c r="H47" i="3"/>
  <c r="Z47" i="3" s="1"/>
  <c r="G47" i="3"/>
  <c r="U47" i="3" s="1"/>
  <c r="F47" i="3"/>
  <c r="U46" i="3"/>
  <c r="S46" i="3"/>
  <c r="T46" i="3" s="1"/>
  <c r="P46" i="3"/>
  <c r="O46" i="3"/>
  <c r="M46" i="3"/>
  <c r="L46" i="3"/>
  <c r="H46" i="3"/>
  <c r="G46" i="3"/>
  <c r="X46" i="3" s="1"/>
  <c r="F46" i="3"/>
  <c r="Y45" i="3"/>
  <c r="T45" i="3"/>
  <c r="S45" i="3"/>
  <c r="P45" i="3"/>
  <c r="O45" i="3"/>
  <c r="M45" i="3"/>
  <c r="L45" i="3"/>
  <c r="H45" i="3"/>
  <c r="Z45" i="3" s="1"/>
  <c r="G45" i="3"/>
  <c r="U45" i="3" s="1"/>
  <c r="F45" i="3"/>
  <c r="Y44" i="3"/>
  <c r="X44" i="3"/>
  <c r="W44" i="3"/>
  <c r="V44" i="3"/>
  <c r="S44" i="3"/>
  <c r="T44" i="3" s="1"/>
  <c r="P44" i="3"/>
  <c r="O44" i="3"/>
  <c r="M44" i="3"/>
  <c r="L44" i="3"/>
  <c r="H44" i="3"/>
  <c r="Z44" i="3" s="1"/>
  <c r="G44" i="3"/>
  <c r="U44" i="3" s="1"/>
  <c r="F44" i="3"/>
  <c r="Z43" i="3"/>
  <c r="X43" i="3"/>
  <c r="W43" i="3"/>
  <c r="T43" i="3"/>
  <c r="S43" i="3"/>
  <c r="P43" i="3"/>
  <c r="O43" i="3"/>
  <c r="M43" i="3"/>
  <c r="L43" i="3"/>
  <c r="H43" i="3"/>
  <c r="Y43" i="3" s="1"/>
  <c r="G43" i="3"/>
  <c r="V43" i="3" s="1"/>
  <c r="F43" i="3"/>
  <c r="S42" i="3"/>
  <c r="T42" i="3" s="1"/>
  <c r="P42" i="3"/>
  <c r="O42" i="3"/>
  <c r="M42" i="3"/>
  <c r="L42" i="3"/>
  <c r="H42" i="3"/>
  <c r="G42" i="3"/>
  <c r="X42" i="3" s="1"/>
  <c r="F42" i="3"/>
  <c r="Z41" i="3"/>
  <c r="S41" i="3"/>
  <c r="T41" i="3" s="1"/>
  <c r="P41" i="3"/>
  <c r="O41" i="3"/>
  <c r="M41" i="3"/>
  <c r="L41" i="3"/>
  <c r="H41" i="3"/>
  <c r="Y41" i="3" s="1"/>
  <c r="G41" i="3"/>
  <c r="F41" i="3"/>
  <c r="Z40" i="3"/>
  <c r="Y40" i="3"/>
  <c r="X40" i="3"/>
  <c r="W40" i="3"/>
  <c r="S40" i="3"/>
  <c r="T40" i="3" s="1"/>
  <c r="P40" i="3"/>
  <c r="O40" i="3"/>
  <c r="M40" i="3"/>
  <c r="L40" i="3"/>
  <c r="H40" i="3"/>
  <c r="G40" i="3"/>
  <c r="V40" i="3" s="1"/>
  <c r="F40" i="3"/>
  <c r="Z39" i="3"/>
  <c r="Y39" i="3"/>
  <c r="X39" i="3"/>
  <c r="W39" i="3"/>
  <c r="V39" i="3"/>
  <c r="T39" i="3"/>
  <c r="S39" i="3"/>
  <c r="P39" i="3"/>
  <c r="O39" i="3"/>
  <c r="M39" i="3"/>
  <c r="L39" i="3"/>
  <c r="H39" i="3"/>
  <c r="G39" i="3"/>
  <c r="U39" i="3" s="1"/>
  <c r="F39" i="3"/>
  <c r="S38" i="3"/>
  <c r="T38" i="3" s="1"/>
  <c r="P38" i="3"/>
  <c r="O38" i="3"/>
  <c r="M38" i="3"/>
  <c r="L38" i="3"/>
  <c r="H38" i="3"/>
  <c r="G38" i="3"/>
  <c r="U38" i="3" s="1"/>
  <c r="F38" i="3"/>
  <c r="T37" i="3"/>
  <c r="S37" i="3"/>
  <c r="P37" i="3"/>
  <c r="O37" i="3"/>
  <c r="M37" i="3"/>
  <c r="L37" i="3"/>
  <c r="H37" i="3"/>
  <c r="G37" i="3"/>
  <c r="F37" i="3"/>
  <c r="Y36" i="3"/>
  <c r="X36" i="3"/>
  <c r="S36" i="3"/>
  <c r="T36" i="3" s="1"/>
  <c r="P36" i="3"/>
  <c r="O36" i="3"/>
  <c r="M36" i="3"/>
  <c r="L36" i="3"/>
  <c r="H36" i="3"/>
  <c r="Z36" i="3" s="1"/>
  <c r="G36" i="3"/>
  <c r="W36" i="3" s="1"/>
  <c r="F36" i="3"/>
  <c r="Z35" i="3"/>
  <c r="X35" i="3"/>
  <c r="W35" i="3"/>
  <c r="V35" i="3"/>
  <c r="S35" i="3"/>
  <c r="T35" i="3" s="1"/>
  <c r="P35" i="3"/>
  <c r="O35" i="3"/>
  <c r="M35" i="3"/>
  <c r="L35" i="3"/>
  <c r="H35" i="3"/>
  <c r="Y35" i="3" s="1"/>
  <c r="G35" i="3"/>
  <c r="U35" i="3" s="1"/>
  <c r="F35" i="3"/>
  <c r="W34" i="3"/>
  <c r="V34" i="3"/>
  <c r="T34" i="3"/>
  <c r="S34" i="3"/>
  <c r="P34" i="3"/>
  <c r="O34" i="3"/>
  <c r="M34" i="3"/>
  <c r="L34" i="3"/>
  <c r="E42" i="10" s="1"/>
  <c r="H34" i="3"/>
  <c r="Z34" i="3" s="1"/>
  <c r="G34" i="3"/>
  <c r="X34" i="3" s="1"/>
  <c r="F34" i="3"/>
  <c r="V33" i="3"/>
  <c r="T33" i="3"/>
  <c r="S33" i="3"/>
  <c r="P33" i="3"/>
  <c r="O33" i="3"/>
  <c r="M33" i="3"/>
  <c r="L33" i="3"/>
  <c r="E5" i="10" s="1"/>
  <c r="H33" i="3"/>
  <c r="G33" i="3"/>
  <c r="F33" i="3"/>
  <c r="Z32" i="3"/>
  <c r="Y32" i="3"/>
  <c r="T32" i="3"/>
  <c r="S32" i="3"/>
  <c r="P32" i="3"/>
  <c r="O32" i="3"/>
  <c r="M32" i="3"/>
  <c r="L32" i="3"/>
  <c r="H32" i="3"/>
  <c r="G32" i="3"/>
  <c r="V32" i="3" s="1"/>
  <c r="F32" i="3"/>
  <c r="X31" i="3"/>
  <c r="W31" i="3"/>
  <c r="V31" i="3"/>
  <c r="S31" i="3"/>
  <c r="T31" i="3" s="1"/>
  <c r="P31" i="3"/>
  <c r="O31" i="3"/>
  <c r="M31" i="3"/>
  <c r="L31" i="3"/>
  <c r="H31" i="3"/>
  <c r="Z31" i="3" s="1"/>
  <c r="G31" i="3"/>
  <c r="U31" i="3" s="1"/>
  <c r="F31" i="3"/>
  <c r="X30" i="3"/>
  <c r="W30" i="3"/>
  <c r="U30" i="3"/>
  <c r="S30" i="3"/>
  <c r="T30" i="3" s="1"/>
  <c r="P30" i="3"/>
  <c r="O30" i="3"/>
  <c r="M30" i="3"/>
  <c r="L30" i="3"/>
  <c r="H30" i="3"/>
  <c r="Z30" i="3" s="1"/>
  <c r="G30" i="3"/>
  <c r="V30" i="3" s="1"/>
  <c r="F30" i="3"/>
  <c r="W29" i="3"/>
  <c r="V29" i="3"/>
  <c r="T29" i="3"/>
  <c r="S29" i="3"/>
  <c r="P29" i="3"/>
  <c r="O29" i="3"/>
  <c r="M29" i="3"/>
  <c r="L29" i="3"/>
  <c r="H29" i="3"/>
  <c r="G29" i="3"/>
  <c r="X29" i="3" s="1"/>
  <c r="F29" i="3"/>
  <c r="Y28" i="3"/>
  <c r="T28" i="3"/>
  <c r="S28" i="3"/>
  <c r="P28" i="3"/>
  <c r="O28" i="3"/>
  <c r="M28" i="3"/>
  <c r="L28" i="3"/>
  <c r="H28" i="3"/>
  <c r="Z28" i="3" s="1"/>
  <c r="G28" i="3"/>
  <c r="F28" i="3"/>
  <c r="Z27" i="3"/>
  <c r="Y27" i="3"/>
  <c r="X27" i="3"/>
  <c r="S27" i="3"/>
  <c r="T27" i="3" s="1"/>
  <c r="P27" i="3"/>
  <c r="O27" i="3"/>
  <c r="M27" i="3"/>
  <c r="L27" i="3"/>
  <c r="H27" i="3"/>
  <c r="G27" i="3"/>
  <c r="W27" i="3" s="1"/>
  <c r="F27" i="3"/>
  <c r="Z26" i="3"/>
  <c r="Y26" i="3"/>
  <c r="X26" i="3"/>
  <c r="W26" i="3"/>
  <c r="V26" i="3"/>
  <c r="S26" i="3"/>
  <c r="T26" i="3" s="1"/>
  <c r="P26" i="3"/>
  <c r="O26" i="3"/>
  <c r="M26" i="3"/>
  <c r="L26" i="3"/>
  <c r="H26" i="3"/>
  <c r="G26" i="3"/>
  <c r="U26" i="3" s="1"/>
  <c r="F26" i="3"/>
  <c r="Z25" i="3"/>
  <c r="Y25" i="3"/>
  <c r="X25" i="3"/>
  <c r="W25" i="3"/>
  <c r="V25" i="3"/>
  <c r="S25" i="3"/>
  <c r="T25" i="3" s="1"/>
  <c r="P25" i="3"/>
  <c r="O25" i="3"/>
  <c r="M25" i="3"/>
  <c r="L25" i="3"/>
  <c r="H25" i="3"/>
  <c r="G25" i="3"/>
  <c r="U25" i="3" s="1"/>
  <c r="F25" i="3"/>
  <c r="Z24" i="3"/>
  <c r="Y24" i="3"/>
  <c r="T24" i="3"/>
  <c r="S24" i="3"/>
  <c r="P24" i="3"/>
  <c r="O24" i="3"/>
  <c r="M24" i="3"/>
  <c r="L24" i="3"/>
  <c r="H24" i="3"/>
  <c r="G24" i="3"/>
  <c r="V24" i="3" s="1"/>
  <c r="F24" i="3"/>
  <c r="X23" i="3"/>
  <c r="W23" i="3"/>
  <c r="V23" i="3"/>
  <c r="T23" i="3"/>
  <c r="S23" i="3"/>
  <c r="P23" i="3"/>
  <c r="O23" i="3"/>
  <c r="M23" i="3"/>
  <c r="L23" i="3"/>
  <c r="H23" i="3"/>
  <c r="G23" i="3"/>
  <c r="U23" i="3" s="1"/>
  <c r="F23" i="3"/>
  <c r="U22" i="3"/>
  <c r="S22" i="3"/>
  <c r="T22" i="3" s="1"/>
  <c r="P22" i="3"/>
  <c r="O22" i="3"/>
  <c r="M22" i="3"/>
  <c r="L22" i="3"/>
  <c r="H22" i="3"/>
  <c r="G22" i="3"/>
  <c r="X22" i="3" s="1"/>
  <c r="F22" i="3"/>
  <c r="Z21" i="3"/>
  <c r="T21" i="3"/>
  <c r="S21" i="3"/>
  <c r="P21" i="3"/>
  <c r="O21" i="3"/>
  <c r="M21" i="3"/>
  <c r="L21" i="3"/>
  <c r="E26" i="10" s="1"/>
  <c r="H21" i="3"/>
  <c r="Y21" i="3" s="1"/>
  <c r="G21" i="3"/>
  <c r="F21" i="3"/>
  <c r="Z20" i="3"/>
  <c r="Y20" i="3"/>
  <c r="T20" i="3"/>
  <c r="S20" i="3"/>
  <c r="P20" i="3"/>
  <c r="O20" i="3"/>
  <c r="M20" i="3"/>
  <c r="L20" i="3"/>
  <c r="H20" i="3"/>
  <c r="G20" i="3"/>
  <c r="F20" i="3"/>
  <c r="Z19" i="3"/>
  <c r="Y19" i="3"/>
  <c r="X19" i="3"/>
  <c r="S19" i="3"/>
  <c r="T19" i="3" s="1"/>
  <c r="P19" i="3"/>
  <c r="O19" i="3"/>
  <c r="M19" i="3"/>
  <c r="L19" i="3"/>
  <c r="H19" i="3"/>
  <c r="G19" i="3"/>
  <c r="W19" i="3" s="1"/>
  <c r="F19" i="3"/>
  <c r="Z18" i="3"/>
  <c r="Y18" i="3"/>
  <c r="X18" i="3"/>
  <c r="W18" i="3"/>
  <c r="V18" i="3"/>
  <c r="S18" i="3"/>
  <c r="T18" i="3" s="1"/>
  <c r="P18" i="3"/>
  <c r="O18" i="3"/>
  <c r="M18" i="3"/>
  <c r="L18" i="3"/>
  <c r="H18" i="3"/>
  <c r="G18" i="3"/>
  <c r="U18" i="3" s="1"/>
  <c r="F18" i="3"/>
  <c r="X17" i="3"/>
  <c r="W17" i="3"/>
  <c r="V17" i="3"/>
  <c r="S17" i="3"/>
  <c r="T17" i="3" s="1"/>
  <c r="P17" i="3"/>
  <c r="O17" i="3"/>
  <c r="M17" i="3"/>
  <c r="L17" i="3"/>
  <c r="H17" i="3"/>
  <c r="Z17" i="3" s="1"/>
  <c r="G17" i="3"/>
  <c r="U17" i="3" s="1"/>
  <c r="F17" i="3"/>
  <c r="Z16" i="3"/>
  <c r="Y16" i="3"/>
  <c r="X16" i="3"/>
  <c r="W16" i="3"/>
  <c r="V16" i="3"/>
  <c r="U16" i="3"/>
  <c r="T16" i="3"/>
  <c r="S16" i="3"/>
  <c r="O16" i="3"/>
  <c r="M16" i="3"/>
  <c r="L16" i="3"/>
  <c r="K16" i="3"/>
  <c r="P16" i="3" s="1"/>
  <c r="I16" i="3"/>
  <c r="H16" i="3"/>
  <c r="G16" i="3"/>
  <c r="F16" i="3"/>
  <c r="Z15" i="3"/>
  <c r="Y15" i="3"/>
  <c r="W15" i="3"/>
  <c r="V15" i="3"/>
  <c r="S15" i="3"/>
  <c r="T15" i="3" s="1"/>
  <c r="P15" i="3"/>
  <c r="O15" i="3"/>
  <c r="M15" i="3"/>
  <c r="L15" i="3"/>
  <c r="K15" i="3"/>
  <c r="X15" i="3" s="1"/>
  <c r="I15" i="3"/>
  <c r="H15" i="3"/>
  <c r="G15" i="3"/>
  <c r="U15" i="3" s="1"/>
  <c r="F15" i="3"/>
  <c r="Z14" i="3"/>
  <c r="Y14" i="3"/>
  <c r="X14" i="3"/>
  <c r="W14" i="3"/>
  <c r="V14" i="3"/>
  <c r="S14" i="3"/>
  <c r="T14" i="3" s="1"/>
  <c r="P14" i="3"/>
  <c r="O14" i="3"/>
  <c r="M14" i="3"/>
  <c r="L14" i="3"/>
  <c r="H14" i="3"/>
  <c r="G14" i="3"/>
  <c r="U14" i="3" s="1"/>
  <c r="F14" i="3"/>
  <c r="X13" i="3"/>
  <c r="W13" i="3"/>
  <c r="V13" i="3"/>
  <c r="S13" i="3"/>
  <c r="T13" i="3" s="1"/>
  <c r="P13" i="3"/>
  <c r="O13" i="3"/>
  <c r="M13" i="3"/>
  <c r="L13" i="3"/>
  <c r="H13" i="3"/>
  <c r="Z13" i="3" s="1"/>
  <c r="G13" i="3"/>
  <c r="U13" i="3" s="1"/>
  <c r="F13" i="3"/>
  <c r="Y12" i="3"/>
  <c r="T12" i="3"/>
  <c r="S12" i="3"/>
  <c r="P12" i="3"/>
  <c r="O12" i="3"/>
  <c r="M12" i="3"/>
  <c r="L12" i="3"/>
  <c r="E15" i="10" s="1"/>
  <c r="H12" i="3"/>
  <c r="Z12" i="3" s="1"/>
  <c r="G12" i="3"/>
  <c r="X12" i="3" s="1"/>
  <c r="F12" i="3"/>
  <c r="X11" i="3"/>
  <c r="W11" i="3"/>
  <c r="V11" i="3"/>
  <c r="T11" i="3"/>
  <c r="S11" i="3"/>
  <c r="P11" i="3"/>
  <c r="O11" i="3"/>
  <c r="M11" i="3"/>
  <c r="L11" i="3"/>
  <c r="H11" i="3"/>
  <c r="G11" i="3"/>
  <c r="U11" i="3" s="1"/>
  <c r="F11" i="3"/>
  <c r="S10" i="3"/>
  <c r="T10" i="3" s="1"/>
  <c r="P10" i="3"/>
  <c r="O10" i="3"/>
  <c r="M10" i="3"/>
  <c r="L10" i="3"/>
  <c r="H10" i="3"/>
  <c r="G10" i="3"/>
  <c r="X10" i="3" s="1"/>
  <c r="F10" i="3"/>
  <c r="V9" i="3"/>
  <c r="S9" i="3"/>
  <c r="T9" i="3" s="1"/>
  <c r="P9" i="3"/>
  <c r="O9" i="3"/>
  <c r="M9" i="3"/>
  <c r="L9" i="3"/>
  <c r="H9" i="3"/>
  <c r="Y9" i="3" s="1"/>
  <c r="G9" i="3"/>
  <c r="F9" i="3"/>
  <c r="Z8" i="3"/>
  <c r="Y8" i="3"/>
  <c r="S8" i="3"/>
  <c r="T8" i="3" s="1"/>
  <c r="P8" i="3"/>
  <c r="O8" i="3"/>
  <c r="M8" i="3"/>
  <c r="L8" i="3"/>
  <c r="H8" i="3"/>
  <c r="G8" i="3"/>
  <c r="F8" i="3"/>
  <c r="Z7" i="3"/>
  <c r="Y7" i="3"/>
  <c r="X7" i="3"/>
  <c r="S7" i="3"/>
  <c r="T7" i="3" s="1"/>
  <c r="P7" i="3"/>
  <c r="O7" i="3"/>
  <c r="M7" i="3"/>
  <c r="L7" i="3"/>
  <c r="H7" i="3"/>
  <c r="G7" i="3"/>
  <c r="W7" i="3" s="1"/>
  <c r="F7" i="3"/>
  <c r="Z6" i="3"/>
  <c r="Y6" i="3"/>
  <c r="X6" i="3"/>
  <c r="W6" i="3"/>
  <c r="V6" i="3"/>
  <c r="S6" i="3"/>
  <c r="T6" i="3" s="1"/>
  <c r="P6" i="3"/>
  <c r="O6" i="3"/>
  <c r="M6" i="3"/>
  <c r="L6" i="3"/>
  <c r="H6" i="3"/>
  <c r="G6" i="3"/>
  <c r="U6" i="3" s="1"/>
  <c r="F6" i="3"/>
  <c r="Z5" i="3"/>
  <c r="X5" i="3"/>
  <c r="W5" i="3"/>
  <c r="V5" i="3"/>
  <c r="S5" i="3"/>
  <c r="T5" i="3" s="1"/>
  <c r="P5" i="3"/>
  <c r="O5" i="3"/>
  <c r="M5" i="3"/>
  <c r="L5" i="3"/>
  <c r="H5" i="3"/>
  <c r="Y5" i="3" s="1"/>
  <c r="G5" i="3"/>
  <c r="U5" i="3" s="1"/>
  <c r="F5" i="3"/>
  <c r="X4" i="3"/>
  <c r="W4" i="3"/>
  <c r="V4" i="3"/>
  <c r="T4" i="3"/>
  <c r="S4" i="3"/>
  <c r="P4" i="3"/>
  <c r="O4" i="3"/>
  <c r="M4" i="3"/>
  <c r="L4" i="3"/>
  <c r="H4" i="3"/>
  <c r="Z4" i="3" s="1"/>
  <c r="G4" i="3"/>
  <c r="U4" i="3" s="1"/>
  <c r="F4" i="3"/>
  <c r="Y3" i="3"/>
  <c r="W3" i="3"/>
  <c r="T3" i="3"/>
  <c r="S3" i="3"/>
  <c r="P3" i="3"/>
  <c r="O3" i="3"/>
  <c r="L3" i="3"/>
  <c r="H3" i="3"/>
  <c r="Z3" i="3" s="1"/>
  <c r="G3" i="3"/>
  <c r="F3" i="3"/>
  <c r="Z2" i="3"/>
  <c r="Y2" i="3"/>
  <c r="X2" i="3"/>
  <c r="W2" i="3"/>
  <c r="V2" i="3"/>
  <c r="S2" i="3"/>
  <c r="T2" i="3" s="1"/>
  <c r="P2" i="3"/>
  <c r="O2" i="3"/>
  <c r="M2" i="3"/>
  <c r="L2" i="3"/>
  <c r="H2" i="3"/>
  <c r="G2" i="3"/>
  <c r="U2" i="3" s="1"/>
  <c r="F2" i="3"/>
  <c r="M24" i="1"/>
  <c r="N24" i="1" s="1"/>
  <c r="Q21" i="1"/>
  <c r="P21" i="1"/>
  <c r="O21" i="1"/>
  <c r="O19" i="1"/>
  <c r="N19" i="1"/>
  <c r="L19" i="1"/>
  <c r="M19" i="1" s="1"/>
  <c r="W18" i="1"/>
  <c r="V18" i="1"/>
  <c r="V17" i="1"/>
  <c r="W17" i="1" s="1"/>
  <c r="O17" i="1"/>
  <c r="O20" i="1" s="1"/>
  <c r="L17" i="1"/>
  <c r="W16" i="1"/>
  <c r="V16" i="1"/>
  <c r="W15" i="1"/>
  <c r="V15" i="1"/>
  <c r="L15" i="1"/>
  <c r="M15" i="1" s="1"/>
  <c r="W14" i="1"/>
  <c r="V14" i="1"/>
  <c r="O14" i="1"/>
  <c r="N14" i="1"/>
  <c r="L14" i="1"/>
  <c r="M14" i="1" s="1"/>
  <c r="W13" i="1"/>
  <c r="V13" i="1"/>
  <c r="O13" i="1"/>
  <c r="L13" i="1"/>
  <c r="N13" i="1" s="1"/>
  <c r="O11" i="1"/>
  <c r="O15" i="1" s="1"/>
  <c r="L11" i="1"/>
  <c r="Q8" i="1"/>
  <c r="O8" i="1"/>
  <c r="Q7" i="1"/>
  <c r="O7" i="1"/>
  <c r="Q6" i="1"/>
  <c r="O6" i="1"/>
  <c r="Q5" i="1"/>
  <c r="O5" i="1"/>
  <c r="O4" i="1"/>
  <c r="O3" i="1"/>
  <c r="Q15" i="1" l="1"/>
  <c r="P15" i="1"/>
  <c r="Q20" i="1"/>
  <c r="P20" i="1"/>
  <c r="Y91" i="3"/>
  <c r="Z91" i="3"/>
  <c r="D7" i="4"/>
  <c r="D15" i="4"/>
  <c r="W38" i="3"/>
  <c r="V42" i="3"/>
  <c r="E7" i="4"/>
  <c r="E17" i="4" s="1"/>
  <c r="E18" i="4" s="1"/>
  <c r="E15" i="4"/>
  <c r="Y55" i="3"/>
  <c r="Z55" i="3"/>
  <c r="V80" i="3"/>
  <c r="U80" i="3"/>
  <c r="M13" i="1"/>
  <c r="Q14" i="1"/>
  <c r="P14" i="1"/>
  <c r="Z9" i="3"/>
  <c r="X20" i="3"/>
  <c r="W20" i="3"/>
  <c r="V20" i="3"/>
  <c r="U20" i="3"/>
  <c r="V22" i="3"/>
  <c r="W24" i="3"/>
  <c r="Y31" i="3"/>
  <c r="Y38" i="3"/>
  <c r="Z38" i="3"/>
  <c r="X38" i="3"/>
  <c r="Y42" i="3"/>
  <c r="Z42" i="3"/>
  <c r="W42" i="3"/>
  <c r="Y51" i="3"/>
  <c r="Z51" i="3"/>
  <c r="Z22" i="3"/>
  <c r="Y22" i="3"/>
  <c r="W22" i="3"/>
  <c r="X24" i="3"/>
  <c r="E20" i="10"/>
  <c r="E6" i="10"/>
  <c r="X58" i="3"/>
  <c r="V58" i="3"/>
  <c r="W58" i="3"/>
  <c r="U58" i="3"/>
  <c r="V64" i="3"/>
  <c r="Y90" i="3"/>
  <c r="Z90" i="3"/>
  <c r="Q13" i="1"/>
  <c r="P13" i="1"/>
  <c r="X69" i="3"/>
  <c r="W69" i="3"/>
  <c r="L20" i="1"/>
  <c r="L21" i="1"/>
  <c r="Q19" i="1"/>
  <c r="P19" i="1"/>
  <c r="V10" i="3"/>
  <c r="U12" i="3"/>
  <c r="X28" i="3"/>
  <c r="V28" i="3"/>
  <c r="W28" i="3"/>
  <c r="U28" i="3"/>
  <c r="Y34" i="3"/>
  <c r="W54" i="3"/>
  <c r="X54" i="3"/>
  <c r="V54" i="3"/>
  <c r="U61" i="3"/>
  <c r="W61" i="3"/>
  <c r="X62" i="3"/>
  <c r="W62" i="3"/>
  <c r="Y69" i="3"/>
  <c r="Z69" i="3"/>
  <c r="U107" i="3"/>
  <c r="W10" i="3"/>
  <c r="V12" i="3"/>
  <c r="Y17" i="3"/>
  <c r="X21" i="3"/>
  <c r="W21" i="3"/>
  <c r="U21" i="3"/>
  <c r="Z23" i="3"/>
  <c r="Y23" i="3"/>
  <c r="Y30" i="3"/>
  <c r="W37" i="3"/>
  <c r="X37" i="3"/>
  <c r="U37" i="3"/>
  <c r="W41" i="3"/>
  <c r="V41" i="3"/>
  <c r="X41" i="3"/>
  <c r="U41" i="3"/>
  <c r="X50" i="3"/>
  <c r="W50" i="3"/>
  <c r="U50" i="3"/>
  <c r="Z59" i="3"/>
  <c r="Y59" i="3"/>
  <c r="Z62" i="3"/>
  <c r="Y62" i="3"/>
  <c r="V62" i="3"/>
  <c r="U74" i="3"/>
  <c r="W74" i="3"/>
  <c r="Z92" i="3"/>
  <c r="Y92" i="3"/>
  <c r="Y100" i="3"/>
  <c r="Z100" i="3"/>
  <c r="Z107" i="3"/>
  <c r="Y107" i="3"/>
  <c r="V107" i="3"/>
  <c r="Z10" i="3"/>
  <c r="Y10" i="3"/>
  <c r="Y13" i="3"/>
  <c r="V69" i="3"/>
  <c r="Z72" i="3"/>
  <c r="N15" i="1"/>
  <c r="W12" i="3"/>
  <c r="V21" i="3"/>
  <c r="Y37" i="3"/>
  <c r="Z37" i="3"/>
  <c r="V37" i="3"/>
  <c r="V46" i="3"/>
  <c r="Z50" i="3"/>
  <c r="Y50" i="3"/>
  <c r="V50" i="3"/>
  <c r="W67" i="3"/>
  <c r="V67" i="3"/>
  <c r="X67" i="3"/>
  <c r="Y81" i="3"/>
  <c r="Z81" i="3"/>
  <c r="Y11" i="3"/>
  <c r="Z11" i="3"/>
  <c r="E3" i="10"/>
  <c r="E14" i="10"/>
  <c r="U24" i="3"/>
  <c r="Z29" i="3"/>
  <c r="Y29" i="3"/>
  <c r="Z33" i="3"/>
  <c r="Y33" i="3"/>
  <c r="Y4" i="3"/>
  <c r="X8" i="3"/>
  <c r="V8" i="3"/>
  <c r="W8" i="3"/>
  <c r="U8" i="3"/>
  <c r="U10" i="3"/>
  <c r="X45" i="3"/>
  <c r="V45" i="3"/>
  <c r="W45" i="3"/>
  <c r="E8" i="10"/>
  <c r="E22" i="10"/>
  <c r="U69" i="3"/>
  <c r="E25" i="10"/>
  <c r="E9" i="10"/>
  <c r="W9" i="3"/>
  <c r="X9" i="3"/>
  <c r="U9" i="3"/>
  <c r="U29" i="3"/>
  <c r="W33" i="3"/>
  <c r="X33" i="3"/>
  <c r="U33" i="3"/>
  <c r="V38" i="3"/>
  <c r="U42" i="3"/>
  <c r="Z46" i="3"/>
  <c r="Y46" i="3"/>
  <c r="W46" i="3"/>
  <c r="E9" i="4"/>
  <c r="U43" i="3"/>
  <c r="E21" i="10"/>
  <c r="E7" i="10"/>
  <c r="E44" i="10"/>
  <c r="U56" i="3"/>
  <c r="V70" i="3"/>
  <c r="V77" i="3"/>
  <c r="U77" i="3"/>
  <c r="X77" i="3"/>
  <c r="Y104" i="3"/>
  <c r="U34" i="3"/>
  <c r="W56" i="3"/>
  <c r="E18" i="10"/>
  <c r="E43" i="10"/>
  <c r="Y68" i="3"/>
  <c r="Z70" i="3"/>
  <c r="Y70" i="3"/>
  <c r="W70" i="3"/>
  <c r="U75" i="3"/>
  <c r="Y78" i="3"/>
  <c r="W82" i="3"/>
  <c r="V82" i="3"/>
  <c r="U82" i="3"/>
  <c r="U92" i="3"/>
  <c r="W92" i="3"/>
  <c r="W95" i="3"/>
  <c r="V95" i="3"/>
  <c r="U95" i="3"/>
  <c r="U109" i="3"/>
  <c r="W109" i="3"/>
  <c r="X109" i="3"/>
  <c r="X111" i="3"/>
  <c r="W111" i="3"/>
  <c r="V111" i="3"/>
  <c r="C7" i="4"/>
  <c r="C15" i="4"/>
  <c r="C9" i="4" s="1"/>
  <c r="V96" i="3"/>
  <c r="U96" i="3"/>
  <c r="X96" i="3"/>
  <c r="W96" i="3"/>
  <c r="X99" i="3"/>
  <c r="W99" i="3"/>
  <c r="Y103" i="3"/>
  <c r="V106" i="3"/>
  <c r="U106" i="3"/>
  <c r="Z112" i="3"/>
  <c r="Y112" i="3"/>
  <c r="X112" i="3"/>
  <c r="W112" i="3"/>
  <c r="U19" i="3"/>
  <c r="V7" i="3"/>
  <c r="V19" i="3"/>
  <c r="V27" i="3"/>
  <c r="E41" i="10"/>
  <c r="E16" i="10"/>
  <c r="W32" i="3"/>
  <c r="V36" i="3"/>
  <c r="U40" i="3"/>
  <c r="V49" i="3"/>
  <c r="V53" i="3"/>
  <c r="U57" i="3"/>
  <c r="E28" i="10"/>
  <c r="E37" i="10"/>
  <c r="Z64" i="3"/>
  <c r="Y71" i="3"/>
  <c r="O79" i="3"/>
  <c r="U79" i="3"/>
  <c r="V89" i="3"/>
  <c r="Y99" i="3"/>
  <c r="U99" i="3"/>
  <c r="Y101" i="3"/>
  <c r="Z108" i="3"/>
  <c r="Y108" i="3"/>
  <c r="E10" i="10"/>
  <c r="E30" i="10"/>
  <c r="E46" i="10"/>
  <c r="W103" i="3"/>
  <c r="U7" i="3"/>
  <c r="U27" i="3"/>
  <c r="U32" i="3"/>
  <c r="U36" i="3"/>
  <c r="U49" i="3"/>
  <c r="U53" i="3"/>
  <c r="X32" i="3"/>
  <c r="U48" i="3"/>
  <c r="X49" i="3"/>
  <c r="E45" i="10"/>
  <c r="E17" i="10"/>
  <c r="E4" i="10"/>
  <c r="Z58" i="3"/>
  <c r="U63" i="3"/>
  <c r="X68" i="3"/>
  <c r="W68" i="3"/>
  <c r="U68" i="3"/>
  <c r="U85" i="3"/>
  <c r="W85" i="3"/>
  <c r="Z88" i="3"/>
  <c r="Y88" i="3"/>
  <c r="W89" i="3"/>
  <c r="V99" i="3"/>
  <c r="X101" i="3"/>
  <c r="D9" i="4"/>
  <c r="E34" i="10"/>
  <c r="W65" i="3"/>
  <c r="W72" i="3"/>
  <c r="W78" i="3"/>
  <c r="X93" i="3"/>
  <c r="X97" i="3"/>
  <c r="E19" i="10"/>
  <c r="E35" i="10"/>
  <c r="V76" i="3"/>
  <c r="U94" i="3"/>
  <c r="Y98" i="3"/>
  <c r="V102" i="3"/>
  <c r="U105" i="3"/>
  <c r="W76" i="3"/>
  <c r="U93" i="3"/>
  <c r="V94" i="3"/>
  <c r="U97" i="3"/>
  <c r="V105" i="3"/>
  <c r="V110" i="3"/>
  <c r="D17" i="4" l="1"/>
  <c r="D18" i="4" s="1"/>
  <c r="N21" i="1"/>
  <c r="M21" i="1"/>
  <c r="N20" i="1"/>
  <c r="M20" i="1"/>
  <c r="C17" i="4"/>
  <c r="C18" i="4" s="1"/>
</calcChain>
</file>

<file path=xl/sharedStrings.xml><?xml version="1.0" encoding="utf-8"?>
<sst xmlns="http://schemas.openxmlformats.org/spreadsheetml/2006/main" count="6665" uniqueCount="2882">
  <si>
    <t>Markup y costo de la operación</t>
  </si>
  <si>
    <t xml:space="preserve">Costos </t>
  </si>
  <si>
    <t>A encontrar</t>
  </si>
  <si>
    <t>Con quien competimos?</t>
  </si>
  <si>
    <t xml:space="preserve">Jumbo </t>
  </si>
  <si>
    <t xml:space="preserve">Frest </t>
  </si>
  <si>
    <t>Markup</t>
  </si>
  <si>
    <t>Desc. Jumbo</t>
  </si>
  <si>
    <t>Desc. Frest</t>
  </si>
  <si>
    <t>mínimo - cubre picking+pasarela</t>
  </si>
  <si>
    <t>costo operación</t>
  </si>
  <si>
    <t>minimo
cubre delivery</t>
  </si>
  <si>
    <t>operación (+delivery)</t>
  </si>
  <si>
    <t>% markup  (PVP)</t>
  </si>
  <si>
    <t>La Vega al Costo</t>
  </si>
  <si>
    <t>delivery</t>
  </si>
  <si>
    <t>x</t>
  </si>
  <si>
    <t>precio delivery</t>
  </si>
  <si>
    <t>Mínimo de compra</t>
  </si>
  <si>
    <t xml:space="preserve">- Productos de La Vega de 1° calidad (mucho mejor que el super) al costo </t>
  </si>
  <si>
    <t>picking</t>
  </si>
  <si>
    <t>y</t>
  </si>
  <si>
    <t>delivery gratis?</t>
  </si>
  <si>
    <t>Prime, sobre 22K</t>
  </si>
  <si>
    <t>No</t>
  </si>
  <si>
    <t>Monto delivery gratis</t>
  </si>
  <si>
    <t>----------------------------------------&gt;</t>
  </si>
  <si>
    <t>- 23% menos que el jumbo y 28% menos que frest siempre ("30% menos que verdulerias")</t>
  </si>
  <si>
    <t>pasarela</t>
  </si>
  <si>
    <t>z</t>
  </si>
  <si>
    <t>Mínimo delivery gratis</t>
  </si>
  <si>
    <t>plazo delivery</t>
  </si>
  <si>
    <t>desde 30 minutos</t>
  </si>
  <si>
    <t>desde 90 minutos</t>
  </si>
  <si>
    <t xml:space="preserve">delivery </t>
  </si>
  <si>
    <t>- Delivery gratis ilimitado (sobre $35000)</t>
  </si>
  <si>
    <t>d</t>
  </si>
  <si>
    <t xml:space="preserve">Delivery </t>
  </si>
  <si>
    <t>certeza delivery</t>
  </si>
  <si>
    <t>ventanas de 2 horas</t>
  </si>
  <si>
    <t>ventanas de 3 hrs</t>
  </si>
  <si>
    <t>monto suscripcion mensual</t>
  </si>
  <si>
    <t>s</t>
  </si>
  <si>
    <t>Monto suscripcion mensual</t>
  </si>
  <si>
    <t>cobertura delivery</t>
  </si>
  <si>
    <t>RM</t>
  </si>
  <si>
    <t>No todo RM</t>
  </si>
  <si>
    <t>Comparación</t>
  </si>
  <si>
    <t>Jumbo Prime</t>
  </si>
  <si>
    <t>GoodFresh</t>
  </si>
  <si>
    <t>Mix</t>
  </si>
  <si>
    <t>Individuales</t>
  </si>
  <si>
    <t>packs + unitarios</t>
  </si>
  <si>
    <t>precio productos</t>
  </si>
  <si>
    <t>Mercado oriente</t>
  </si>
  <si>
    <t xml:space="preserve">Sobre mercado </t>
  </si>
  <si>
    <t>Al costo</t>
  </si>
  <si>
    <t>Formato</t>
  </si>
  <si>
    <t>Bolsas</t>
  </si>
  <si>
    <t>Diferenciador</t>
  </si>
  <si>
    <t>one-stop-shop</t>
  </si>
  <si>
    <t>one-stop-shop + delivery gratis</t>
  </si>
  <si>
    <t>Calidad</t>
  </si>
  <si>
    <t xml:space="preserve">Calidad + Precio </t>
  </si>
  <si>
    <t>Ahorro del usuario en productos (8% markup)</t>
  </si>
  <si>
    <t>0 sobre 22</t>
  </si>
  <si>
    <t>Suscripción</t>
  </si>
  <si>
    <t>30.000 6 meses (5.000 mensual )</t>
  </si>
  <si>
    <t>no</t>
  </si>
  <si>
    <t>Nex day</t>
  </si>
  <si>
    <t xml:space="preserve">qué incluye </t>
  </si>
  <si>
    <t>delivery gratis sobre 22.000</t>
  </si>
  <si>
    <t>Carro</t>
  </si>
  <si>
    <t xml:space="preserve">Ahorro/carro jumbo </t>
  </si>
  <si>
    <t>2 ped/mes</t>
  </si>
  <si>
    <t>4 ped/mes</t>
  </si>
  <si>
    <t>Ahorro/carroFrest</t>
  </si>
  <si>
    <t>Precio suscripción</t>
  </si>
  <si>
    <t>N</t>
  </si>
  <si>
    <t>revenue/ mes</t>
  </si>
  <si>
    <t>revenue/ año</t>
  </si>
  <si>
    <t xml:space="preserve">Precios </t>
  </si>
  <si>
    <t>más caro que supermercado</t>
  </si>
  <si>
    <t>Mix productos</t>
  </si>
  <si>
    <t>Individuales - estándar</t>
  </si>
  <si>
    <t xml:space="preserve">packs + unitarios / más premium o nicho </t>
  </si>
  <si>
    <t xml:space="preserve">packs + unitarios / estaciones </t>
  </si>
  <si>
    <t>Cajas</t>
  </si>
  <si>
    <t>Jumo prime</t>
  </si>
  <si>
    <t>Ahorro del usuario en productos (12% markup)</t>
  </si>
  <si>
    <t>"me sale 5000 cada delivery y la sucripcion 5000 por delivery gratis"</t>
  </si>
  <si>
    <t>Costo suscripción (mes)</t>
  </si>
  <si>
    <t>comunicación: "delivery gratis ilimitado"</t>
  </si>
  <si>
    <t>letra chica: sobre 22.000</t>
  </si>
  <si>
    <t xml:space="preserve">1 pedido </t>
  </si>
  <si>
    <t>Objetivo de esta tienda</t>
  </si>
  <si>
    <t xml:space="preserve">Salir del descuento </t>
  </si>
  <si>
    <t xml:space="preserve">Controlar stock </t>
  </si>
  <si>
    <t>Recurrencia</t>
  </si>
  <si>
    <t xml:space="preserve">Que nuestros buyers compren más </t>
  </si>
  <si>
    <t>Margen GF igualando precios (Bruto)</t>
  </si>
  <si>
    <t>Propuesta GF Membresía</t>
  </si>
  <si>
    <t>Margen</t>
  </si>
  <si>
    <t>0-10%</t>
  </si>
  <si>
    <t>Estrategia pricing</t>
  </si>
  <si>
    <t>Costo + 12%</t>
  </si>
  <si>
    <t>Packaging</t>
  </si>
  <si>
    <t xml:space="preserve">Caja que se devuelve </t>
  </si>
  <si>
    <t>Plazo entrega</t>
  </si>
  <si>
    <t>Next day</t>
  </si>
  <si>
    <t>Calidad y Precio</t>
  </si>
  <si>
    <t xml:space="preserve">Beneficio </t>
  </si>
  <si>
    <t xml:space="preserve"> -23% jumbo
-28 frest
 -15% lider</t>
  </si>
  <si>
    <t xml:space="preserve">Costo delivery </t>
  </si>
  <si>
    <t>Membresía acceso</t>
  </si>
  <si>
    <t>Producto</t>
  </si>
  <si>
    <t>Unidad</t>
  </si>
  <si>
    <t>Cantidad</t>
  </si>
  <si>
    <t>Precio Distribuidor C/IVA</t>
  </si>
  <si>
    <t>PVP</t>
  </si>
  <si>
    <t>PVP suscripción (+12%)</t>
  </si>
  <si>
    <t>PVP (+8%)</t>
  </si>
  <si>
    <t>Lider</t>
  </si>
  <si>
    <t>Frest</t>
  </si>
  <si>
    <t>Jumbo</t>
  </si>
  <si>
    <t>Margen PVP frest</t>
  </si>
  <si>
    <t xml:space="preserve">Margen PVP Jumbo </t>
  </si>
  <si>
    <t>Juan esparraguito</t>
  </si>
  <si>
    <t>Dif vs lider %</t>
  </si>
  <si>
    <t>Dif vs Jumbo %</t>
  </si>
  <si>
    <t>Link foto</t>
  </si>
  <si>
    <t>Otro</t>
  </si>
  <si>
    <t xml:space="preserve">PVP sus / Lider </t>
  </si>
  <si>
    <t>PVP sus /Jumbo (12%)</t>
  </si>
  <si>
    <t>PVP suscipcion - frest (12%)</t>
  </si>
  <si>
    <t>costo - jumbo</t>
  </si>
  <si>
    <t>PVP sus /Jumbo (8%)</t>
  </si>
  <si>
    <t>PVP suscipcion - frest (8%)</t>
  </si>
  <si>
    <t>Acelga</t>
  </si>
  <si>
    <t>Paquete</t>
  </si>
  <si>
    <t>https://cdn.shopify.com/s/files/1/0733/7318/8148/files/acelga.jpg?v=1762371793</t>
  </si>
  <si>
    <t>Ají amarillo (peruano)</t>
  </si>
  <si>
    <t>Kilo</t>
  </si>
  <si>
    <t>https://cdn.shopify.com/s/files/1/0733/7318/8148/files/ajiamarillo.jpg?v=1762286889</t>
  </si>
  <si>
    <t>Ají verde (infierno)</t>
  </si>
  <si>
    <t>https://cdn.shopify.com/s/files/1/0733/7318/8148/files/ajiverde.png?v=1762371744</t>
  </si>
  <si>
    <t>Ajo</t>
  </si>
  <si>
    <t>https://cdn.shopify.com/s/files/1/0733/7318/8148/files/ajo.jpg?v=1762371704</t>
  </si>
  <si>
    <t>Albahaca</t>
  </si>
  <si>
    <t>https://cdn.shopify.com/s/files/1/0733/7318/8148/files/zoomfotonoticia-129.jpg?v=1762371661</t>
  </si>
  <si>
    <t>Apio</t>
  </si>
  <si>
    <t>https://cdn.shopify.com/s/files/1/0733/7318/8148/files/apio.jpg?v=1762371609</t>
  </si>
  <si>
    <t>Alcachofas españolas</t>
  </si>
  <si>
    <t>https://cdn.shopify.com/s/files/1/0733/7318/8148/files/alcachofa_espaola_1ce9f8da-7a49-4ca2-9f3c-dad8035d9680.jpg?v=1762273270</t>
  </si>
  <si>
    <t>Berenjena</t>
  </si>
  <si>
    <t>https://cdn.shopify.com/s/files/1/0733/7318/8148/files/berenjena.jpg?v=1762371565</t>
  </si>
  <si>
    <t>Berros</t>
  </si>
  <si>
    <t>https://cdn.shopify.com/s/files/1/0733/7318/8148/files/berro.png?v=1762371522</t>
  </si>
  <si>
    <t>Betarraga</t>
  </si>
  <si>
    <t>https://cdn.shopify.com/s/files/1/0733/7318/8148/files/betarraga.jpg?v=1762371470</t>
  </si>
  <si>
    <t>Brocoli</t>
  </si>
  <si>
    <t>https://cdn.shopify.com/s/files/1/0733/7318/8148/files/brocoli.jpg?v=1762371426</t>
  </si>
  <si>
    <t>Bruselas</t>
  </si>
  <si>
    <t>https://cdn.shopify.com/s/files/1/0733/7318/8148/files/brusela_7ad88d5e-8c5a-44de-b1b8-f5077d48c88a.jpg?v=1770824864</t>
  </si>
  <si>
    <t>Camote Morado</t>
  </si>
  <si>
    <t>https://cdn.shopify.com/s/files/1/0733/7318/8148/files/camotemorado.jpg?v=1762371378</t>
  </si>
  <si>
    <t>Cebolla</t>
  </si>
  <si>
    <t>https://cdn.shopify.com/s/files/1/0733/7318/8148/files/cebolla.jpg?v=1762371345</t>
  </si>
  <si>
    <t>Cebolla morada</t>
  </si>
  <si>
    <t>https://cdn.shopify.com/s/files/1/0733/7318/8148/files/cebollamorada.jpg?v=1762371301</t>
  </si>
  <si>
    <t>Cebollín</t>
  </si>
  <si>
    <t>https://cdn.shopify.com/s/files/1/0733/7318/8148/files/cebollin.jpg?v=1762371254</t>
  </si>
  <si>
    <t xml:space="preserve">Champiñon </t>
  </si>
  <si>
    <t>Bandeja</t>
  </si>
  <si>
    <t>https://cdn.shopify.com/s/files/1/0733/7318/8148/files/champinon.png?v=1762371200</t>
  </si>
  <si>
    <t>Choclo americano</t>
  </si>
  <si>
    <t>https://cdn.shopify.com/s/files/1/0733/7318/8148/files/chocloamericano.jpg?v=1762371104</t>
  </si>
  <si>
    <t>Ciboulette</t>
  </si>
  <si>
    <t>https://cdn.shopify.com/s/files/1/0733/7318/8148/files/ciboulette.jpg?v=1762371149</t>
  </si>
  <si>
    <t>Cilantro</t>
  </si>
  <si>
    <t>https://cdn.shopify.com/s/files/1/0733/7318/8148/files/cilantro.jpg?v=1762371069</t>
  </si>
  <si>
    <t>Coliflor</t>
  </si>
  <si>
    <t>https://cdn.shopify.com/s/files/1/0733/7318/8148/files/coliflor.jpg?v=1762371015</t>
  </si>
  <si>
    <t>Diente de dragon</t>
  </si>
  <si>
    <t>no hay</t>
  </si>
  <si>
    <t>https://cdn.shopify.com/s/files/1/0733/7318/8148/files/diente-de-dragon.jpg?v=1762286722</t>
  </si>
  <si>
    <t>Esparragos</t>
  </si>
  <si>
    <t>https://cdn.shopify.com/s/files/1/0733/7318/8148/files/esparragos-verdes.jpg?v=1774095995</t>
  </si>
  <si>
    <t>Jengibre</t>
  </si>
  <si>
    <t>https://cdn.shopify.com/s/files/1/0733/7318/8148/files/jengibre.jpg?v=1762370932</t>
  </si>
  <si>
    <t>Lechuga costina</t>
  </si>
  <si>
    <t>https://cdn.shopify.com/s/files/1/0733/7318/8148/files/lechugacostina.png?v=1762370884</t>
  </si>
  <si>
    <t>Lechuga escarola</t>
  </si>
  <si>
    <t>https://cdn.shopify.com/s/files/1/0733/7318/8148/files/lechugaescarola.jpg?v=1762370847</t>
  </si>
  <si>
    <t>Lechuga española</t>
  </si>
  <si>
    <t>https://cdn.shopify.com/s/files/1/0733/7318/8148/files/lechugaespanola.jpg?v=1762370805</t>
  </si>
  <si>
    <t>Lechuga Francesa</t>
  </si>
  <si>
    <t>https://cdn.shopify.com/s/files/1/0733/7318/8148/files/lechugafrancesa.jpg?v=1762370766</t>
  </si>
  <si>
    <t>Lechuga Marina</t>
  </si>
  <si>
    <t>https://cdn.shopify.com/s/files/1/0733/7318/8148/files/lechugamarina.png?v=1762370725</t>
  </si>
  <si>
    <t>Lechuga hidroponica</t>
  </si>
  <si>
    <t>https://cdn.shopify.com/s/files/1/0733/7318/8148/files/2076542.jpg?v=1762286622</t>
  </si>
  <si>
    <t>Menta</t>
  </si>
  <si>
    <t>https://cdn.shopify.com/s/files/1/0733/7318/8148/files/menta.jpg?v=1762370549</t>
  </si>
  <si>
    <t>Papa</t>
  </si>
  <si>
    <t>https://cdn.shopify.com/s/files/1/0733/7318/8148/files/papasemillon_744a31b4-760a-4b2c-ba89-e2fd58430be6.jpg?v=1762273302</t>
  </si>
  <si>
    <t>Pepinos</t>
  </si>
  <si>
    <t>https://cdn.shopify.com/s/files/1/0733/7318/8148/files/pepino.jpg?v=1762370475</t>
  </si>
  <si>
    <t>Perejil</t>
  </si>
  <si>
    <t>https://cdn.shopify.com/s/files/1/0733/7318/8148/files/perejil.jpg?v=1762370436</t>
  </si>
  <si>
    <t>Pimentón amarillo</t>
  </si>
  <si>
    <t>https://cdn.shopify.com/s/files/1/0733/7318/8148/files/pimentonamarillo.jpg?v=1762370398</t>
  </si>
  <si>
    <t>Pimentón rojo</t>
  </si>
  <si>
    <t>https://cdn.shopify.com/s/files/1/0733/7318/8148/files/pimentonrojo.jpg?v=1762370356</t>
  </si>
  <si>
    <t>Pimentón verde</t>
  </si>
  <si>
    <t>https://cdn.shopify.com/s/files/1/0733/7318/8148/files/pimentonverde.jpg?v=1762370310</t>
  </si>
  <si>
    <t>Porotos verdes</t>
  </si>
  <si>
    <t>https://cdn.shopify.com/s/files/1/0733/7318/8148/files/poroto-verde.jpg?v=1762286507</t>
  </si>
  <si>
    <t>Rabanitos</t>
  </si>
  <si>
    <t>https://cdn.shopify.com/s/files/1/0733/7318/8148/files/Rabanito.jpg?v=1762370275</t>
  </si>
  <si>
    <t>Repollo morado</t>
  </si>
  <si>
    <t>https://cdn.shopify.com/s/files/1/0733/7318/8148/files/fresh-whole-purple-cabbage-and-cut-in-half-isolate-on-white-background-free-photo.jpg?v=1779204441</t>
  </si>
  <si>
    <t>Repollo crespo</t>
  </si>
  <si>
    <t>https://cdn.shopify.com/s/files/1/0733/7318/8148/files/medio-repollo.jpg?v=1762271335</t>
  </si>
  <si>
    <t>Rúcula</t>
  </si>
  <si>
    <t>https://cdn.shopify.com/s/files/1/0733/7318/8148/files/rucula.png?v=1762370236</t>
  </si>
  <si>
    <t>Tomate larga vida</t>
  </si>
  <si>
    <t>https://cdn.shopify.com/s/files/1/0733/7318/8148/files/tomate.jpg?v=1762370196</t>
  </si>
  <si>
    <t>Tomate Cherry</t>
  </si>
  <si>
    <t>https://cdn.shopify.com/s/files/1/0733/7318/8148/files/tomatecherry.jpg?v=1762370168</t>
  </si>
  <si>
    <t>Tomate pomarola</t>
  </si>
  <si>
    <t>https://cdn.shopify.com/s/files/1/0733/7318/8148/files/tomate-pera.jpg?v=1762272039</t>
  </si>
  <si>
    <t>Zanahoria</t>
  </si>
  <si>
    <t>https://cdn.shopify.com/s/files/1/0733/7318/8148/files/zanahoria-600x359.jpg?v=1762370132</t>
  </si>
  <si>
    <t>Zapallo camote</t>
  </si>
  <si>
    <t>Corte</t>
  </si>
  <si>
    <t>https://cdn.shopify.com/s/files/1/0733/7318/8148/files/zapallocamote.jpg?v=1762370096</t>
  </si>
  <si>
    <t>Zapallo italiano</t>
  </si>
  <si>
    <t>https://cdn.shopify.com/s/files/1/0733/7318/8148/files/images_1_98edaab3-dc56-49cd-b2bc-d0b9fd52c71c.jpg?v=1774713847</t>
  </si>
  <si>
    <t>Arandano</t>
  </si>
  <si>
    <t>https://cdn.shopify.com/s/files/1/0733/7318/8148/files/membrillo.jpg?v=1770900939</t>
  </si>
  <si>
    <t>Frutillas</t>
  </si>
  <si>
    <t>https://cdn.shopify.com/s/files/1/0733/7318/8148/files/frutilla_9ca7ca2a-6dcc-402a-97bc-24eea4405672.jpg?v=1762272265</t>
  </si>
  <si>
    <t>Kiwi</t>
  </si>
  <si>
    <t>https://cdn.shopify.com/s/files/1/0733/7318/8148/files/kiwi.jpg?v=1762372030</t>
  </si>
  <si>
    <t>Limon</t>
  </si>
  <si>
    <t>https://cdn.shopify.com/s/files/1/0733/7318/8148/files/limon.jpg?v=1762372971</t>
  </si>
  <si>
    <t>Limón sutil</t>
  </si>
  <si>
    <t>https://cdn.shopify.com/s/files/1/0733/7318/8148/files/limonsutil.jpg?v=1762372937</t>
  </si>
  <si>
    <t>Limon de pica</t>
  </si>
  <si>
    <t>Mandarina</t>
  </si>
  <si>
    <t>https://cdn.shopify.com/s/files/1/0733/7318/8148/files/mandarinesInt.webp?v=1780761611</t>
  </si>
  <si>
    <t>Mango</t>
  </si>
  <si>
    <t>https://cdn.shopify.com/s/files/1/0733/7318/8148/files/mango.jpg?v=1762372871</t>
  </si>
  <si>
    <t>Manzana fuji</t>
  </si>
  <si>
    <t>https://cdn.shopify.com/s/files/1/0733/7318/8148/files/manzanafuji-600x600.jpg?v=1762372835</t>
  </si>
  <si>
    <t>Manzana verde</t>
  </si>
  <si>
    <t>https://cdn.shopify.com/s/files/1/0733/7318/8148/files/manzanaverde.jpg?v=1762372779</t>
  </si>
  <si>
    <t>Manzana pink lady</t>
  </si>
  <si>
    <t>https://cdn.shopify.com/s/files/1/0733/7318/8148/files/manzanapink.jpg?v=1762273338</t>
  </si>
  <si>
    <t>Mancaqui</t>
  </si>
  <si>
    <t>https://cdn.shopify.com/s/files/1/0733/7318/8148/files/caqui-fruta-1-xl-668x400x80xX_1.jpg?v=1770900746</t>
  </si>
  <si>
    <t>Naranjas</t>
  </si>
  <si>
    <t>https://cdn.shopify.com/s/files/1/0733/7318/8148/files/naranja_6e3b5b89-6076-4161-8be6-af8ef573eb08.jpg?v=1762372259</t>
  </si>
  <si>
    <t xml:space="preserve">Palta hass chilena </t>
  </si>
  <si>
    <t>https://cdn.shopify.com/s/files/1/0733/7318/8148/files/paltahass.png?v=1762372204</t>
  </si>
  <si>
    <t>Palta hass peruana</t>
  </si>
  <si>
    <t>https://cdn.shopify.com/s/files/1/0733/7318/8148/files/Disenosintitulo_4.png?v=1780880764</t>
  </si>
  <si>
    <t>Pera</t>
  </si>
  <si>
    <t>https://cdn.shopify.com/s/files/1/0733/7318/8148/files/pera.jpg?v=1762372159</t>
  </si>
  <si>
    <t>Pepinodulce</t>
  </si>
  <si>
    <t>https://cdn.shopify.com/s/files/1/0733/7318/8148/files/pepinodulce.jpg?v=1762372072</t>
  </si>
  <si>
    <t>Piña caramelo</t>
  </si>
  <si>
    <t>https://cdn.shopify.com/s/files/1/0733/7318/8148/files/Pina-un.png?v=1780761811</t>
  </si>
  <si>
    <t>Plátano</t>
  </si>
  <si>
    <t>https://cdn.shopify.com/s/files/1/0733/7318/8148/files/platano.jpg?v=1762371982</t>
  </si>
  <si>
    <t>Pomelo</t>
  </si>
  <si>
    <t>https://cdn.shopify.com/s/files/1/0733/7318/8148/files/Pomelo.jpg?v=1762371883</t>
  </si>
  <si>
    <t>Tuna</t>
  </si>
  <si>
    <t>https://cdn.shopify.com/s/files/1/0733/7318/8148/files/tuna.jpg?v=1762371838</t>
  </si>
  <si>
    <t>Uva roja</t>
  </si>
  <si>
    <t>https://cdn.shopify.com/s/files/1/0733/7318/8148/files/grape-fruit-table-grapes-2612718.jpg?v=1770901113</t>
  </si>
  <si>
    <t>Uva verde</t>
  </si>
  <si>
    <t>https://cdn.shopify.com/s/files/1/0733/7318/8148/files/uva_verde-2_3e8a8775-5689-43f3-8bc9-6602340551c4.png?v=1770901178</t>
  </si>
  <si>
    <t xml:space="preserve">Almendras </t>
  </si>
  <si>
    <t>https://cdn.shopify.com/s/files/1/0733/7318/8148/files/almendras_jpg.jpg?v=1762365216</t>
  </si>
  <si>
    <t xml:space="preserve">Almendras con chocolate </t>
  </si>
  <si>
    <t>https://cdn.shopify.com/s/files/1/0733/7318/8148/files/almendraschocolate_jpg.jpg?v=1762365179</t>
  </si>
  <si>
    <t xml:space="preserve">Aloe vera </t>
  </si>
  <si>
    <t>https://ibb.co/ycgY92GC</t>
  </si>
  <si>
    <t xml:space="preserve">Avellanas europea </t>
  </si>
  <si>
    <t>https://cdn.shopify.com/s/files/1/0733/7318/8148/files/5-avellana-europea3011.jpg?v=1762365142</t>
  </si>
  <si>
    <t xml:space="preserve">Castañas de caju </t>
  </si>
  <si>
    <t>https://cdn.shopify.com/s/files/1/0733/7318/8148/files/castanascaju_jpg.jpg?v=1762271831</t>
  </si>
  <si>
    <t xml:space="preserve">Chips de banana </t>
  </si>
  <si>
    <t>No hay</t>
  </si>
  <si>
    <t>https://cdn.shopify.com/s/files/1/0733/7318/8148/files/chipsbanana_jpg.jpg?v=1762365247</t>
  </si>
  <si>
    <t xml:space="preserve">Ciruela deshidratada </t>
  </si>
  <si>
    <t>https://cdn.shopify.com/s/files/1/0733/7318/8148/files/cirueladeshidratada.jpg-600x503.jpg?v=1762365715</t>
  </si>
  <si>
    <t xml:space="preserve">Coco en cubos </t>
  </si>
  <si>
    <t>https://ibb.co/Tx0NwCNN</t>
  </si>
  <si>
    <t>Coco laminado</t>
  </si>
  <si>
    <t>https://cdn.shopify.com/s/files/1/0733/7318/8148/files/cocolaminado_jpg.jpg?v=1770819410</t>
  </si>
  <si>
    <t xml:space="preserve">Coco rallado </t>
  </si>
  <si>
    <t>https://cdn.shopify.com/s/files/1/0733/7318/8148/files/cocorallado.jpg?v=1770819461</t>
  </si>
  <si>
    <t xml:space="preserve">Cranberries </t>
  </si>
  <si>
    <t>https://cdn.shopify.com/s/files/1/0733/7318/8148/files/cramberries_jpg.jpg?v=1762365110</t>
  </si>
  <si>
    <t>Dátiles</t>
  </si>
  <si>
    <t>https://cdn.shopify.com/s/files/1/0733/7318/8148/files/datiles_jpg.jpg?v=1762365547</t>
  </si>
  <si>
    <t xml:space="preserve">Flor de hibiscos </t>
  </si>
  <si>
    <t>https://cdn.shopify.com/s/files/1/0733/7318/8148/files/florhibiscos_jpg.jpg?v=1762365517</t>
  </si>
  <si>
    <t xml:space="preserve">Goji </t>
  </si>
  <si>
    <t>https://cdn.shopify.com/s/files/1/0733/7318/8148/files/goji.jpg-600x399.jpg?v=1762365073</t>
  </si>
  <si>
    <t>Huesillo grande</t>
  </si>
  <si>
    <t>https://cdn.shopify.com/s/files/1/0733/7318/8148/files/huesillomediano_jpg.jpg?v=1762365483</t>
  </si>
  <si>
    <t xml:space="preserve">Kiwi deshidratado </t>
  </si>
  <si>
    <t>https://cdn.shopify.com/s/files/1/0733/7318/8148/files/kiwideshidratado_jpg.jpg?v=1762365454</t>
  </si>
  <si>
    <t xml:space="preserve">Linaza </t>
  </si>
  <si>
    <t>https://cdn.shopify.com/s/files/1/0733/7318/8148/files/linaza_jpg.jpg?v=1762365040</t>
  </si>
  <si>
    <t>Maíz curagua</t>
  </si>
  <si>
    <t>https://cdn.shopify.com/s/files/1/0733/7318/8148/files/maizcuragua_jpg.jpg?v=1762365004</t>
  </si>
  <si>
    <t xml:space="preserve">Mango deshidratado </t>
  </si>
  <si>
    <t>https://cdn.shopify.com/s/files/1/0733/7318/8148/files/mangodeshidratado_jpg.png?v=1762365419</t>
  </si>
  <si>
    <t xml:space="preserve">Maní chocolate </t>
  </si>
  <si>
    <t>https://cdn.shopify.com/s/files/1/0733/7318/8148/files/manichocolate.jpg-600x400.jpg?v=1762355468</t>
  </si>
  <si>
    <t xml:space="preserve">Mani con sal </t>
  </si>
  <si>
    <t>https://cdn.shopify.com/s/files/1/0733/7318/8148/files/manisal_jpg_41282ef1-8b71-4224-b828-4b944d2fcd6b.jpg?v=1762355433</t>
  </si>
  <si>
    <t>Maní confitado</t>
  </si>
  <si>
    <t>https://cdn.shopify.com/s/files/1/0733/7318/8148/files/maniconfitado.jpg-600x600.jpg?v=1762355380</t>
  </si>
  <si>
    <t xml:space="preserve">Maní japonés natural </t>
  </si>
  <si>
    <t>https://cdn.shopify.com/s/files/1/0733/7318/8148/files/maninatural_jpg.jpg?v=1762355303</t>
  </si>
  <si>
    <t xml:space="preserve">Maní Japonés picante </t>
  </si>
  <si>
    <t>https://cdn.shopify.com/s/files/1/0733/7318/8148/files/manipicante_jpg.jpg?v=1762355268</t>
  </si>
  <si>
    <t xml:space="preserve">Maní sin sal </t>
  </si>
  <si>
    <t>https://cdn.shopify.com/s/files/1/0733/7318/8148/files/manisal_jpg.jpg?v=1762355236</t>
  </si>
  <si>
    <t xml:space="preserve">Manzana deshidratada </t>
  </si>
  <si>
    <t>https://cdn.shopify.com/s/files/1/0733/7318/8148/files/manzanadeshidratada_jpg.jpg?v=1762365347</t>
  </si>
  <si>
    <t xml:space="preserve">Nueces </t>
  </si>
  <si>
    <t>https://cdn.shopify.com/s/files/1/0733/7318/8148/files/nuez_jpg_94116685-22eb-4355-bdab-95e8df89c813.jpg?v=1762355019</t>
  </si>
  <si>
    <t>Papaya deshidratada</t>
  </si>
  <si>
    <t>https://cdn.shopify.com/s/files/1/0733/7318/8148/files/papayadeshidratada_jpg.jpg?v=1762365310</t>
  </si>
  <si>
    <t xml:space="preserve">Pasas con chocolate </t>
  </si>
  <si>
    <t>https://cdn.shopify.com/s/files/1/0733/7318/8148/files/pasaschocolate_jpg.jpg?v=1762354985</t>
  </si>
  <si>
    <t xml:space="preserve">Pasas negras </t>
  </si>
  <si>
    <t>https://cdn.shopify.com/s/files/1/0733/7318/8148/files/pasasnegras.jpg-600x450.jpg?v=1762354947</t>
  </si>
  <si>
    <t xml:space="preserve">Pasas rubias </t>
  </si>
  <si>
    <t>https://cdn.shopify.com/s/files/1/0733/7318/8148/files/pasasrubiar-1.jpg-1.jpg?v=1762354879</t>
  </si>
  <si>
    <t xml:space="preserve">Pepas de zapallo </t>
  </si>
  <si>
    <t>https://cdn.shopify.com/s/files/1/0733/7318/8148/files/pepaszapallo.jpg-600x450.jpg?v=1762354846</t>
  </si>
  <si>
    <t>Pistacho con sal</t>
  </si>
  <si>
    <t>https://cdn.shopify.com/s/files/1/0733/7318/8148/files/pistacho_jpg.jpg?v=1762354809</t>
  </si>
  <si>
    <t xml:space="preserve">Pomelo deshidratado </t>
  </si>
  <si>
    <t>https://cdn.shopify.com/s/files/1/0733/7318/8148/files/pomelodeshidratado_jpg.jpg?v=1762365278</t>
  </si>
  <si>
    <t xml:space="preserve">Semilla de maravilla </t>
  </si>
  <si>
    <t>https://cdn.shopify.com/s/files/1/0733/7318/8148/files/semillamaravilla.jpg-600x338.jpg?v=1762354780</t>
  </si>
  <si>
    <t xml:space="preserve">Tomate deshidratado </t>
  </si>
  <si>
    <t>https://cdn.shopify.com/s/files/1/0733/7318/8148/files/tomatedeshidratado_jpg.jpg?v=1770819609</t>
  </si>
  <si>
    <t xml:space="preserve">Huevo Primera Blanco 30 </t>
  </si>
  <si>
    <t>https://i.ibb.co/mF9CJFDg/Huevo-Blanco.jpg</t>
  </si>
  <si>
    <t>Huevos Primera Color 30</t>
  </si>
  <si>
    <t>https://i.ibb.co/fYSSh11S/huevos-de-campo-30-un-granja-magdalena-granja-magdalena-aldea-nativa-6075899.jpg</t>
  </si>
  <si>
    <t>Huevo Primera Blanco</t>
  </si>
  <si>
    <t>https://i.ibb.co/nsppLTpL/huevosblancos-jpg-1.jpg</t>
  </si>
  <si>
    <t>Huevo Primera Color</t>
  </si>
  <si>
    <t>https://i.ibb.co/tpRx9X2D/huevoscolor-jpg-1.jpg</t>
  </si>
  <si>
    <t>Monto pedido mínimo</t>
  </si>
  <si>
    <t>Productos</t>
  </si>
  <si>
    <t>Delivery bruto</t>
  </si>
  <si>
    <t>Service Fee</t>
  </si>
  <si>
    <t>GOV Bruto</t>
  </si>
  <si>
    <t>GOV Neto</t>
  </si>
  <si>
    <t>Costos directos netos</t>
  </si>
  <si>
    <t xml:space="preserve">Picking </t>
  </si>
  <si>
    <t>Packing</t>
  </si>
  <si>
    <t>Delivery</t>
  </si>
  <si>
    <t>Cashback (5%)</t>
  </si>
  <si>
    <t>Pasarela de pagos (2%)</t>
  </si>
  <si>
    <t>Margen neto $</t>
  </si>
  <si>
    <t>Margen neto %</t>
  </si>
  <si>
    <t>Frambuesa</t>
  </si>
  <si>
    <t xml:space="preserve">sin stock </t>
  </si>
  <si>
    <t>Higo</t>
  </si>
  <si>
    <t>Granada</t>
  </si>
  <si>
    <t>Ciruela</t>
  </si>
  <si>
    <t>Borrar/ fuera de temp.</t>
  </si>
  <si>
    <t>Palta hass chilena</t>
  </si>
  <si>
    <t>Platano peruano</t>
  </si>
  <si>
    <t>Ajo chileno</t>
  </si>
  <si>
    <t>Ajo chilote</t>
  </si>
  <si>
    <t>Alcachofas madrigal</t>
  </si>
  <si>
    <t xml:space="preserve">Sin stock </t>
  </si>
  <si>
    <t>Brotes alfalfa</t>
  </si>
  <si>
    <t>Brotes arveja</t>
  </si>
  <si>
    <t>Choclo humero</t>
  </si>
  <si>
    <t>Fuera de temporada</t>
  </si>
  <si>
    <t>Habas</t>
  </si>
  <si>
    <t>Habas peladas</t>
  </si>
  <si>
    <t>Espinaca (pura hoja)</t>
  </si>
  <si>
    <t>Lechuga Milanesa</t>
  </si>
  <si>
    <t>Mix hojas</t>
  </si>
  <si>
    <t>Papa semillón</t>
  </si>
  <si>
    <t>Pepino alaska</t>
  </si>
  <si>
    <t>Puerro</t>
  </si>
  <si>
    <t>Verdura surtida</t>
  </si>
  <si>
    <t xml:space="preserve">Cramberries </t>
  </si>
  <si>
    <t>Producto proveedor</t>
  </si>
  <si>
    <t>Lider (precio)</t>
  </si>
  <si>
    <t>Jumbo (precio)</t>
  </si>
  <si>
    <t>Juan Esparraguito (precio)</t>
  </si>
  <si>
    <t>Proxy de búsqueda</t>
  </si>
  <si>
    <t>Lider - producto encontrado (gramaje)</t>
  </si>
  <si>
    <t>Jumbo - producto encontrado (gramaje)</t>
  </si>
  <si>
    <t>Juan Esparraguito - producto encontrado (gramaje)</t>
  </si>
  <si>
    <t>Lider normalizado</t>
  </si>
  <si>
    <t>Jumbo normalizado</t>
  </si>
  <si>
    <t>Juan Esparraguito normalizado</t>
  </si>
  <si>
    <t>Juan esparraguito 
vs Jumbo 
(+31% promedio)</t>
  </si>
  <si>
    <t>acelga</t>
  </si>
  <si>
    <t>Acelga Bolsa, 500 g</t>
  </si>
  <si>
    <t>Acelga 500 g</t>
  </si>
  <si>
    <t>$2.980/kg</t>
  </si>
  <si>
    <t>$3.180/kg</t>
  </si>
  <si>
    <t>ají amarillo / peruano</t>
  </si>
  <si>
    <t>Ají Peruano (100 grs)</t>
  </si>
  <si>
    <t>$13.900/kg</t>
  </si>
  <si>
    <t>ají verde</t>
  </si>
  <si>
    <t>Ají Verde Granel</t>
  </si>
  <si>
    <t>Ají Verde (un)</t>
  </si>
  <si>
    <t>$5.390/kg</t>
  </si>
  <si>
    <t>$579/kg</t>
  </si>
  <si>
    <t>$590/un</t>
  </si>
  <si>
    <t>ajo</t>
  </si>
  <si>
    <t>Ajo en Malla, 3 Un</t>
  </si>
  <si>
    <t>Ajo 3 un.</t>
  </si>
  <si>
    <t>Ajo (un)</t>
  </si>
  <si>
    <t>$363/un</t>
  </si>
  <si>
    <t>$397/un</t>
  </si>
  <si>
    <t>$400/un</t>
  </si>
  <si>
    <t>albahaca</t>
  </si>
  <si>
    <t>Albahaca Bolsa, 1 Un</t>
  </si>
  <si>
    <t>Albahaca 1 un.</t>
  </si>
  <si>
    <t>$1.590/un</t>
  </si>
  <si>
    <t>$1.690/un</t>
  </si>
  <si>
    <t>alcachofa (cualquier variedad)</t>
  </si>
  <si>
    <t>Alcachofa Francesa, 1 Un</t>
  </si>
  <si>
    <t>Alcachofa Española 1 un.</t>
  </si>
  <si>
    <t>Alcachofa Española (un)</t>
  </si>
  <si>
    <t>$790/un</t>
  </si>
  <si>
    <t>$1.290/un</t>
  </si>
  <si>
    <t>Almendras</t>
  </si>
  <si>
    <t>almendras</t>
  </si>
  <si>
    <t>Almendras Naturales Granel</t>
  </si>
  <si>
    <t>$1.899/kg</t>
  </si>
  <si>
    <t>Almendras con chocolate</t>
  </si>
  <si>
    <t>almendras con chocolate</t>
  </si>
  <si>
    <t>Aloe vera</t>
  </si>
  <si>
    <t>aloe vera</t>
  </si>
  <si>
    <t>Aloe Vera Hoja, 1 Un</t>
  </si>
  <si>
    <t>Hoja Aloe Vera 1 un.</t>
  </si>
  <si>
    <t>$2.790/un</t>
  </si>
  <si>
    <t>$2.890/un</t>
  </si>
  <si>
    <t>apio</t>
  </si>
  <si>
    <t>Apio Mata Bolsa, 1 Un</t>
  </si>
  <si>
    <t>Apio Mata 1 un.</t>
  </si>
  <si>
    <t>Apio (un)</t>
  </si>
  <si>
    <t>$1.000/un</t>
  </si>
  <si>
    <t>$1.490/un</t>
  </si>
  <si>
    <t>$1.990/un</t>
  </si>
  <si>
    <t>arándano</t>
  </si>
  <si>
    <t>Arándanos Importado Pote, 125 g</t>
  </si>
  <si>
    <t>Arándanos Pote 125 g</t>
  </si>
  <si>
    <t>Arándanos (250 grs)</t>
  </si>
  <si>
    <t>$19.120/kg</t>
  </si>
  <si>
    <t>$19.920/kg</t>
  </si>
  <si>
    <t>$41.960/kg</t>
  </si>
  <si>
    <t>Avellanas europea</t>
  </si>
  <si>
    <t>avellana europea</t>
  </si>
  <si>
    <t>Avellana Europea Granel</t>
  </si>
  <si>
    <t>berenjena</t>
  </si>
  <si>
    <t>Berenjena Negra, 1 Un</t>
  </si>
  <si>
    <t>Berenjena 1 un.</t>
  </si>
  <si>
    <t>Berenjena (un)</t>
  </si>
  <si>
    <t>$890/un</t>
  </si>
  <si>
    <t>berro</t>
  </si>
  <si>
    <t>Berro Bolsa, 200 gr</t>
  </si>
  <si>
    <t>Berro Hidropónico 200 g</t>
  </si>
  <si>
    <t>Berros Hidropónicos (200 grs)</t>
  </si>
  <si>
    <t>$8.450/kg</t>
  </si>
  <si>
    <t>$9.100/kg</t>
  </si>
  <si>
    <t>$13.450/kg</t>
  </si>
  <si>
    <t>betarraga</t>
  </si>
  <si>
    <t>Betarraga Tubular Malla, 5 Un</t>
  </si>
  <si>
    <t>Betarraga Feria 5 un.</t>
  </si>
  <si>
    <t>Betarraga (4 un)</t>
  </si>
  <si>
    <t>$278/un</t>
  </si>
  <si>
    <t>$298/un</t>
  </si>
  <si>
    <t>$548/un</t>
  </si>
  <si>
    <t>brócoli</t>
  </si>
  <si>
    <t>Brócoli, 1 Un</t>
  </si>
  <si>
    <t>Brócoli Films 1 un.</t>
  </si>
  <si>
    <t>Brocoli (un)</t>
  </si>
  <si>
    <t>$1.090/un</t>
  </si>
  <si>
    <t>bruselas</t>
  </si>
  <si>
    <t>Brusela Malla, 500 gr</t>
  </si>
  <si>
    <t>Brusela 500 g</t>
  </si>
  <si>
    <t>Bruselas (500 grs)</t>
  </si>
  <si>
    <t>$6.380/kg</t>
  </si>
  <si>
    <t>$6.580/kg</t>
  </si>
  <si>
    <t>$4.980/kg</t>
  </si>
  <si>
    <t>camote</t>
  </si>
  <si>
    <t>Camote Granel</t>
  </si>
  <si>
    <t>Camote Peruano Granel</t>
  </si>
  <si>
    <t>Papa Camote (2 un aprox)</t>
  </si>
  <si>
    <t>$3.090/kg</t>
  </si>
  <si>
    <t>$1.545/kg</t>
  </si>
  <si>
    <t>$698/un</t>
  </si>
  <si>
    <t>Castañas de caju</t>
  </si>
  <si>
    <t>castañas de cajú</t>
  </si>
  <si>
    <t>Castañas de Cajú Tostadas Sin Sal Granel</t>
  </si>
  <si>
    <t>cebolla</t>
  </si>
  <si>
    <t>Cebolla Granel.</t>
  </si>
  <si>
    <t>Cebolla Granel (1 a 2 un. Aprox)</t>
  </si>
  <si>
    <t>Cebolla (1 a 2 un aprox.)</t>
  </si>
  <si>
    <t>$1.550/kg</t>
  </si>
  <si>
    <t>$845/kg</t>
  </si>
  <si>
    <t>$398/un</t>
  </si>
  <si>
    <t>cebolla morada</t>
  </si>
  <si>
    <t>Cebolla Morada Malla, 1 Kg</t>
  </si>
  <si>
    <t>Cebolla Morada Granel</t>
  </si>
  <si>
    <t>Cebolla Morada (1 a 2 un aprox.)</t>
  </si>
  <si>
    <t>$1.990/kg</t>
  </si>
  <si>
    <t>$995/kg</t>
  </si>
  <si>
    <t>$498/un</t>
  </si>
  <si>
    <t>cebollín</t>
  </si>
  <si>
    <t>Cebollín Pack Bolsa, 6 Un</t>
  </si>
  <si>
    <t>Cebollín Feria 3 un.</t>
  </si>
  <si>
    <t>Cebollín (3 un)</t>
  </si>
  <si>
    <t>$258/un</t>
  </si>
  <si>
    <t>$283/un</t>
  </si>
  <si>
    <t>$330/un</t>
  </si>
  <si>
    <t>Champiñon</t>
  </si>
  <si>
    <t>champiñón blanco</t>
  </si>
  <si>
    <t>Champiñones Blanco Bandeja, 200 g</t>
  </si>
  <si>
    <t>Champiñón Bandeja 200 g</t>
  </si>
  <si>
    <t>Champiñón Blanco (200 grs)</t>
  </si>
  <si>
    <t>$7.950/kg</t>
  </si>
  <si>
    <t>$8.250/kg</t>
  </si>
  <si>
    <t>$10.950/kg</t>
  </si>
  <si>
    <t>Chips de banana</t>
  </si>
  <si>
    <t>chips de banana</t>
  </si>
  <si>
    <t>Banana Chips 400 g</t>
  </si>
  <si>
    <t>$9.975/kg</t>
  </si>
  <si>
    <t>choclo</t>
  </si>
  <si>
    <t>Choclo Dulce Bandeja 4Un, 1 Un</t>
  </si>
  <si>
    <t>Choclo 4 un.</t>
  </si>
  <si>
    <t>Choclo Americano (un)</t>
  </si>
  <si>
    <t>$898/un</t>
  </si>
  <si>
    <t>$925/un</t>
  </si>
  <si>
    <t>$990/un</t>
  </si>
  <si>
    <t>ciboulette</t>
  </si>
  <si>
    <t>Ciboulette Bandeja, 20 g</t>
  </si>
  <si>
    <t>Ciboulette Display 20 g</t>
  </si>
  <si>
    <t>Ciboulette (20 grs)</t>
  </si>
  <si>
    <t>$34.500/kg</t>
  </si>
  <si>
    <t>$37.000/kg</t>
  </si>
  <si>
    <t>$39.500/kg</t>
  </si>
  <si>
    <t>cilantro</t>
  </si>
  <si>
    <t>Cilantro Baby Pote, 60 gr</t>
  </si>
  <si>
    <t>Cilantro Paquete 120 g</t>
  </si>
  <si>
    <t>Cilantro Sanitizado (100 grs)</t>
  </si>
  <si>
    <t>$23.167/kg</t>
  </si>
  <si>
    <t>$12.900/kg</t>
  </si>
  <si>
    <t>Ciruela deshidratada</t>
  </si>
  <si>
    <t>ciruela deshidratada</t>
  </si>
  <si>
    <t>Ciruelas Deshidratadas Pote 500 g</t>
  </si>
  <si>
    <t>$9.980/kg</t>
  </si>
  <si>
    <t>Coco en cubos</t>
  </si>
  <si>
    <t>coco (cubos/lonjas)</t>
  </si>
  <si>
    <t>Coco en Lonjas Granel</t>
  </si>
  <si>
    <t>$1.399/kg</t>
  </si>
  <si>
    <t>coco laminado/lonjas</t>
  </si>
  <si>
    <t>Coco rallado</t>
  </si>
  <si>
    <t>coco rallado</t>
  </si>
  <si>
    <t>coliflor</t>
  </si>
  <si>
    <t>Coliflor, 1 Un</t>
  </si>
  <si>
    <t>Coliflor Films 1 un.</t>
  </si>
  <si>
    <t>Coliflor (un)</t>
  </si>
  <si>
    <t>Cranberries</t>
  </si>
  <si>
    <t>cranberries</t>
  </si>
  <si>
    <t>Cranberries Mitad Granel</t>
  </si>
  <si>
    <t>$1.299/kg</t>
  </si>
  <si>
    <t>dátiles</t>
  </si>
  <si>
    <t>Dátil Sin Carozo 700 g</t>
  </si>
  <si>
    <t>$7.129/kg</t>
  </si>
  <si>
    <t>diente de dragón / pitahaya</t>
  </si>
  <si>
    <t>Diente de Dragón Bolsa, 1 Kg</t>
  </si>
  <si>
    <t>Diente de Dragón Granel</t>
  </si>
  <si>
    <t>$1.790/kg</t>
  </si>
  <si>
    <t>espárrago</t>
  </si>
  <si>
    <t>Flor de hibiscos</t>
  </si>
  <si>
    <t>flor de hibisco</t>
  </si>
  <si>
    <t>frutilla</t>
  </si>
  <si>
    <t>Frutillas Pote, 300 g</t>
  </si>
  <si>
    <t>Frutilla Pote 300 g</t>
  </si>
  <si>
    <t>Frutillas (500 grs)</t>
  </si>
  <si>
    <t>$8.633/kg</t>
  </si>
  <si>
    <t>$9.380/kg</t>
  </si>
  <si>
    <t>Goji</t>
  </si>
  <si>
    <t>goji</t>
  </si>
  <si>
    <t>Goji 100 g</t>
  </si>
  <si>
    <t>$16.500/kg</t>
  </si>
  <si>
    <t>huesillo grande</t>
  </si>
  <si>
    <t>Huesillo Grande 600 g</t>
  </si>
  <si>
    <t>$13.317/kg</t>
  </si>
  <si>
    <t>huevo blanco (no es F&amp;V)</t>
  </si>
  <si>
    <t>Huevo Primera Blanco 30</t>
  </si>
  <si>
    <t>huevo color (no es F&amp;V)</t>
  </si>
  <si>
    <t>jengibre</t>
  </si>
  <si>
    <t>Jengibre Pote, 120 g</t>
  </si>
  <si>
    <t>Jengibre 100 g</t>
  </si>
  <si>
    <t>Jengibre (100 grs)</t>
  </si>
  <si>
    <t>$12.417/kg</t>
  </si>
  <si>
    <t>$15.900/kg</t>
  </si>
  <si>
    <t>kiwi</t>
  </si>
  <si>
    <t>Kiwi Bolsa, 1 kg</t>
  </si>
  <si>
    <t>Kiwi Exportación Granel</t>
  </si>
  <si>
    <t>Kiwi (3 un aprox.)</t>
  </si>
  <si>
    <t>$2.590/kg</t>
  </si>
  <si>
    <t>$2.145/kg</t>
  </si>
  <si>
    <t>$730/un</t>
  </si>
  <si>
    <t>Kiwi deshidratado</t>
  </si>
  <si>
    <t>kiwi deshidratado</t>
  </si>
  <si>
    <t>lechuga costina</t>
  </si>
  <si>
    <t>Lechuga Costina Bolsa, 1 Un</t>
  </si>
  <si>
    <t>Lechuga Costina 1 un.</t>
  </si>
  <si>
    <t>Lechuga Costina (un)</t>
  </si>
  <si>
    <t>$1.420/un</t>
  </si>
  <si>
    <t>lechuga escarola</t>
  </si>
  <si>
    <t>Lechuga Escarola Bolsa, 2 Un</t>
  </si>
  <si>
    <t>Lechuga Escarola 1 un.</t>
  </si>
  <si>
    <t>Lechuga Escarola (un)</t>
  </si>
  <si>
    <t>$1.245/un</t>
  </si>
  <si>
    <t>$1.460/un</t>
  </si>
  <si>
    <t>lechuga española</t>
  </si>
  <si>
    <t>Lechuga Española Bolsa, 1 Un</t>
  </si>
  <si>
    <t>Lechuga Española 1 un.</t>
  </si>
  <si>
    <t>Lechuga Española Hidropónica (un)</t>
  </si>
  <si>
    <t>$1.250/un</t>
  </si>
  <si>
    <t>$1.890/un</t>
  </si>
  <si>
    <t>lechuga francesa</t>
  </si>
  <si>
    <t>Lechuga Francesa Bolsa, 1 Un</t>
  </si>
  <si>
    <t>Lechuga Francesa 1 un.</t>
  </si>
  <si>
    <t>lechuga hidropónica</t>
  </si>
  <si>
    <t>Lechuga Hoja De Roble Verde Hidroponica Bolsa, 1 Un</t>
  </si>
  <si>
    <t>Lechuga Hidropónica Española 1 un.</t>
  </si>
  <si>
    <t>$1.740/un</t>
  </si>
  <si>
    <t>lechuga marina</t>
  </si>
  <si>
    <t>Lechuga Marina Bolsa, 1 Un</t>
  </si>
  <si>
    <t>Lechuga Hidropónica Marina 1 un.</t>
  </si>
  <si>
    <t>$1.360/un</t>
  </si>
  <si>
    <t>limón</t>
  </si>
  <si>
    <t>Limón Granel</t>
  </si>
  <si>
    <t>Limón Granel (1 a 2 un. Aprox)</t>
  </si>
  <si>
    <t>Limón (3 un aprox.)</t>
  </si>
  <si>
    <t>$1.950/kg</t>
  </si>
  <si>
    <t>$795/kg</t>
  </si>
  <si>
    <t>$332/un</t>
  </si>
  <si>
    <t>limón de pica</t>
  </si>
  <si>
    <t>limón sutil</t>
  </si>
  <si>
    <t>Limón Sutil Malla, 1 kg</t>
  </si>
  <si>
    <t>Limón Sutil Granel</t>
  </si>
  <si>
    <t>Limón Sutil (8 un aprox.)</t>
  </si>
  <si>
    <t>$3.650/kg</t>
  </si>
  <si>
    <t>$1.845/kg</t>
  </si>
  <si>
    <t>$224/un</t>
  </si>
  <si>
    <t>Linaza</t>
  </si>
  <si>
    <t>linaza</t>
  </si>
  <si>
    <t>Semillas de Linaza Granel</t>
  </si>
  <si>
    <t>$999/kg</t>
  </si>
  <si>
    <t>maíz curagua</t>
  </si>
  <si>
    <t>mancaqui</t>
  </si>
  <si>
    <t>Mancaqui Granel</t>
  </si>
  <si>
    <t>mandarina</t>
  </si>
  <si>
    <t>Mandarina Malla, 1 kg</t>
  </si>
  <si>
    <t>Mandarina Granel</t>
  </si>
  <si>
    <t>Mandarina (6 un aprox.)</t>
  </si>
  <si>
    <t>$2.000/kg</t>
  </si>
  <si>
    <t>$1.395/kg</t>
  </si>
  <si>
    <t>$241/un</t>
  </si>
  <si>
    <t>mango</t>
  </si>
  <si>
    <t>Mango Granel</t>
  </si>
  <si>
    <t>Mango Granel (1 un. Aprox)</t>
  </si>
  <si>
    <t>Mango (un) - Normal</t>
  </si>
  <si>
    <t>$2.890/kg</t>
  </si>
  <si>
    <t>$1.505/kg</t>
  </si>
  <si>
    <t>$2.690/un</t>
  </si>
  <si>
    <t>Mango deshidratado</t>
  </si>
  <si>
    <t>mango deshidratado / en lonja</t>
  </si>
  <si>
    <t>Mango en Lonja 150 g</t>
  </si>
  <si>
    <t>$30.600/kg</t>
  </si>
  <si>
    <t>Maní chocolate</t>
  </si>
  <si>
    <t>maní con chocolate</t>
  </si>
  <si>
    <t>Mani con sal</t>
  </si>
  <si>
    <t>maní con sal / tostado</t>
  </si>
  <si>
    <t>Maní Tostado 700 g</t>
  </si>
  <si>
    <t>$5.414/kg</t>
  </si>
  <si>
    <t>maní confitado</t>
  </si>
  <si>
    <t>Maní japonés natural</t>
  </si>
  <si>
    <t>maní japonés natural</t>
  </si>
  <si>
    <t>Maní Japonés picante</t>
  </si>
  <si>
    <t>maní japonés picante</t>
  </si>
  <si>
    <t>Maní sin sal</t>
  </si>
  <si>
    <t>maní sin sal</t>
  </si>
  <si>
    <t>Maní Tostado Sin Sal 700 g</t>
  </si>
  <si>
    <t>$5.700/kg</t>
  </si>
  <si>
    <t>Manzana deshidratada</t>
  </si>
  <si>
    <t>manzana deshidratada</t>
  </si>
  <si>
    <t>Manzana Deshidratada Secao 80 g</t>
  </si>
  <si>
    <t>$43.625/kg</t>
  </si>
  <si>
    <t>manzana fuji</t>
  </si>
  <si>
    <t>Manzana Fuji Bolsa., 1 kg</t>
  </si>
  <si>
    <t>Manzana Fuji Importada Granel (2 a 3 un. Aprox)</t>
  </si>
  <si>
    <t>Manzana Fuji (2 un aprox.)</t>
  </si>
  <si>
    <t>$1.295/kg</t>
  </si>
  <si>
    <t>$722/un</t>
  </si>
  <si>
    <t>manzana pink lady</t>
  </si>
  <si>
    <t>Manzana Pink Lady Bolsa, 1 kg</t>
  </si>
  <si>
    <t>Manzana Pink Lady Granel</t>
  </si>
  <si>
    <t>Manzana Pink Lady (2 un aprox.)</t>
  </si>
  <si>
    <t>$1.890/kg</t>
  </si>
  <si>
    <t>manzana verde</t>
  </si>
  <si>
    <t>Manzana Verde Bolsa, 1 kg</t>
  </si>
  <si>
    <t>Manzana Verde Granel</t>
  </si>
  <si>
    <t>Manzana Verde (2 un aprox.)</t>
  </si>
  <si>
    <t>menta</t>
  </si>
  <si>
    <t>Menta Pote, 1 Un</t>
  </si>
  <si>
    <t>Menta Bandeja 30 g</t>
  </si>
  <si>
    <t>Menta Sanitizada (100 grs)</t>
  </si>
  <si>
    <t>$35.000/kg</t>
  </si>
  <si>
    <t>$26.900/kg</t>
  </si>
  <si>
    <t>naranja</t>
  </si>
  <si>
    <t>Naranja Granel</t>
  </si>
  <si>
    <t>Naranja Granel (2 a 3 un. Aprox)</t>
  </si>
  <si>
    <t>Naranja (2 un aprox.)</t>
  </si>
  <si>
    <t>$2.690/kg</t>
  </si>
  <si>
    <t>$1.445/kg</t>
  </si>
  <si>
    <t>Nueces</t>
  </si>
  <si>
    <t>nueces</t>
  </si>
  <si>
    <t>Nueces en Trozo Granel</t>
  </si>
  <si>
    <t>$1.499/kg</t>
  </si>
  <si>
    <t>palta hass chilena</t>
  </si>
  <si>
    <t>Palta Hass Chilena Malla, 1 kg</t>
  </si>
  <si>
    <t>Palta Hass Malla 1 kg</t>
  </si>
  <si>
    <t>Palta Hass (4 un aprox.) - Para Hoy</t>
  </si>
  <si>
    <t>$4.990/kg</t>
  </si>
  <si>
    <t>$1.622/un</t>
  </si>
  <si>
    <t>palta hass peruana / importada</t>
  </si>
  <si>
    <t>Palta Hass Extra Importada Granel</t>
  </si>
  <si>
    <t>$5.990/kg</t>
  </si>
  <si>
    <t>papa</t>
  </si>
  <si>
    <t>Papas Granel</t>
  </si>
  <si>
    <t>Papa Granel</t>
  </si>
  <si>
    <t>Papa (4 un aprox.)</t>
  </si>
  <si>
    <t>$1.590/kg</t>
  </si>
  <si>
    <t>$199/un</t>
  </si>
  <si>
    <t>papaya deshidratada</t>
  </si>
  <si>
    <t>Pasas con chocolate</t>
  </si>
  <si>
    <t>pasas con chocolate</t>
  </si>
  <si>
    <t>Pasas negras</t>
  </si>
  <si>
    <t>pasas negras / morenas</t>
  </si>
  <si>
    <t>Pasas Morenas 300 g</t>
  </si>
  <si>
    <t>$10.567/kg</t>
  </si>
  <si>
    <t>Pasas rubias</t>
  </si>
  <si>
    <t>pasas rubias</t>
  </si>
  <si>
    <t>Pasas Rubias 100 g</t>
  </si>
  <si>
    <t>$9.990/kg</t>
  </si>
  <si>
    <t>Pepas de zapallo</t>
  </si>
  <si>
    <t>pepas / semillas de zapallo</t>
  </si>
  <si>
    <t>Semillas de Zapallo Granel</t>
  </si>
  <si>
    <t>pepino dulce</t>
  </si>
  <si>
    <t>Pepino Dulce Granel</t>
  </si>
  <si>
    <t>Pepino dulce (2 un aprox.)</t>
  </si>
  <si>
    <t>$3.290/kg</t>
  </si>
  <si>
    <t>$1.745/kg</t>
  </si>
  <si>
    <t>$848/un</t>
  </si>
  <si>
    <t>pepino ensalada</t>
  </si>
  <si>
    <t>Pepino Ensalada, 1 Un</t>
  </si>
  <si>
    <t>Pepino Ensalada 1 un.</t>
  </si>
  <si>
    <t>Pepino (un)</t>
  </si>
  <si>
    <t>$720/un</t>
  </si>
  <si>
    <t>$750/un</t>
  </si>
  <si>
    <t>pera</t>
  </si>
  <si>
    <t>Pera Bolsa., 1 kg</t>
  </si>
  <si>
    <t>Pera Packham's Granel</t>
  </si>
  <si>
    <t>Pera (2 un aprox.)</t>
  </si>
  <si>
    <t>$1.095/kg</t>
  </si>
  <si>
    <t>$672/un</t>
  </si>
  <si>
    <t>perejil</t>
  </si>
  <si>
    <t>Perejil Bolsa, 120 g</t>
  </si>
  <si>
    <t>Perejil 1 un.</t>
  </si>
  <si>
    <t>Perejil Sanitizado (100 grs)</t>
  </si>
  <si>
    <t>$5.250/kg</t>
  </si>
  <si>
    <t>$650/un</t>
  </si>
  <si>
    <t>$12.500/kg</t>
  </si>
  <si>
    <t>pimiento/pimentón amarillo</t>
  </si>
  <si>
    <t>Pimiento Amarillo, 1 Un</t>
  </si>
  <si>
    <t>Pimiento Amarillo 1 un.</t>
  </si>
  <si>
    <t>$1.790/un</t>
  </si>
  <si>
    <t>pimiento/pimentón rojo</t>
  </si>
  <si>
    <t>Pimiento Rojo, 1 Un</t>
  </si>
  <si>
    <t>Pimiento Rojo Extra</t>
  </si>
  <si>
    <t>Pimentón Rojo (un)</t>
  </si>
  <si>
    <t>pimiento/pimentón verde</t>
  </si>
  <si>
    <t>Pimiento Verde, 1 Un</t>
  </si>
  <si>
    <t>Pimiento Verde 1 un.</t>
  </si>
  <si>
    <t>Pimentón Verde (un)</t>
  </si>
  <si>
    <t>$950/un</t>
  </si>
  <si>
    <t>$1.190/un</t>
  </si>
  <si>
    <t>piña</t>
  </si>
  <si>
    <t>Piña, 1 Un</t>
  </si>
  <si>
    <t>Piña Calibre 7 - 1 un.</t>
  </si>
  <si>
    <t>Piña (un)</t>
  </si>
  <si>
    <t>$2.590/un</t>
  </si>
  <si>
    <t>$3.990/un</t>
  </si>
  <si>
    <t>pistacho con sal</t>
  </si>
  <si>
    <t>Pistachos Sin Cáscara 100 g</t>
  </si>
  <si>
    <t>$46.900/kg</t>
  </si>
  <si>
    <t>plátano</t>
  </si>
  <si>
    <t>Plátano Granel</t>
  </si>
  <si>
    <t>Plátano Extra Granel (1 a 2 un. Aprox)</t>
  </si>
  <si>
    <t>Plátano Kg (4 un aprox.) - Más verdes</t>
  </si>
  <si>
    <t>$1.450/kg</t>
  </si>
  <si>
    <t>pomelo</t>
  </si>
  <si>
    <t>Pomelo Granel</t>
  </si>
  <si>
    <t>Pomelo Rosado 2 kg</t>
  </si>
  <si>
    <t>Pomelos (1 un aprox.)</t>
  </si>
  <si>
    <t>$2.150/kg</t>
  </si>
  <si>
    <t>$1.930/kg</t>
  </si>
  <si>
    <t>$1.595/un</t>
  </si>
  <si>
    <t>Pomelo deshidratado</t>
  </si>
  <si>
    <t>pomelo deshidratado</t>
  </si>
  <si>
    <t>porotos verdes</t>
  </si>
  <si>
    <t>Porotos Verdes Granel</t>
  </si>
  <si>
    <t>$1.995/kg</t>
  </si>
  <si>
    <t>rabanito</t>
  </si>
  <si>
    <t>Rabanitos Bandeja, 8 Un</t>
  </si>
  <si>
    <t>Rabanitos Atado 8 un.</t>
  </si>
  <si>
    <t>Rabanitos baby sanitizados 220 grs</t>
  </si>
  <si>
    <t>$169/un</t>
  </si>
  <si>
    <t>$181/un</t>
  </si>
  <si>
    <t>$9.045/kg</t>
  </si>
  <si>
    <t>repollo crespo</t>
  </si>
  <si>
    <t>Repollo Crespo, 1 Un</t>
  </si>
  <si>
    <t>Repollo Crespo 1 un.</t>
  </si>
  <si>
    <t>Repollo Crespo (un)</t>
  </si>
  <si>
    <t>$1.710/un</t>
  </si>
  <si>
    <t>repollo morado</t>
  </si>
  <si>
    <t>Repollo Morado, 1 Un</t>
  </si>
  <si>
    <t>Repollo Morado Film 1 un.</t>
  </si>
  <si>
    <t>Repollo Morado (un)</t>
  </si>
  <si>
    <t>rúcula</t>
  </si>
  <si>
    <t>Rúcula Bolsa, 200 g</t>
  </si>
  <si>
    <t>Rúcula Bolsa 200 g</t>
  </si>
  <si>
    <t>Rúcula Sanitizada (200 grs)</t>
  </si>
  <si>
    <t>Semilla de maravilla</t>
  </si>
  <si>
    <t>semilla de maravilla / maíz</t>
  </si>
  <si>
    <t>Semilla de Maravilla Alto La Cruz 300 g</t>
  </si>
  <si>
    <t>$6.633/kg</t>
  </si>
  <si>
    <t>tomate cherry / cóctel</t>
  </si>
  <si>
    <t>Tomate Cocktail Pote, 250 gr</t>
  </si>
  <si>
    <t>Tomate Cherry Clamshell 500 g</t>
  </si>
  <si>
    <t>Tomate Cherry (500 grs)</t>
  </si>
  <si>
    <t>$7.560/kg</t>
  </si>
  <si>
    <t>$6.500/kg</t>
  </si>
  <si>
    <t>$5.980/kg</t>
  </si>
  <si>
    <t>Tomate deshidratado</t>
  </si>
  <si>
    <t>tomate deshidratado</t>
  </si>
  <si>
    <t>Tomate Deshidratado Pote, 100 g</t>
  </si>
  <si>
    <t>Tomate Deshidratado 200 g</t>
  </si>
  <si>
    <t>$18.950/kg</t>
  </si>
  <si>
    <t>tomate larga vida / común</t>
  </si>
  <si>
    <t>Tomate Larga Vida Granel</t>
  </si>
  <si>
    <t>Tomate Larga Vida Granel (1 a 2 un. Aprox)</t>
  </si>
  <si>
    <t>Tomate (2 un aprox.)</t>
  </si>
  <si>
    <t>tomate salsa / pera / pomarola</t>
  </si>
  <si>
    <t>Tomate Pera Granel</t>
  </si>
  <si>
    <t>Tomate San Marzano Granel</t>
  </si>
  <si>
    <t>Tomate para salsa (500 grs)</t>
  </si>
  <si>
    <t>$2.290/kg</t>
  </si>
  <si>
    <t>$1.245/kg</t>
  </si>
  <si>
    <t>$1.690/kg</t>
  </si>
  <si>
    <t>tuna</t>
  </si>
  <si>
    <t>Tuna Malla, 1 kg</t>
  </si>
  <si>
    <t>Tunas Granel</t>
  </si>
  <si>
    <t>uva roja</t>
  </si>
  <si>
    <t>Uva Roja Granel</t>
  </si>
  <si>
    <t>$4.490/kg</t>
  </si>
  <si>
    <t>uva verde</t>
  </si>
  <si>
    <t>Uva Verde Granel</t>
  </si>
  <si>
    <t>$5.592/kg</t>
  </si>
  <si>
    <t>zanahoria</t>
  </si>
  <si>
    <t>Zanahoria Jugo Bolsa, 1 Kg</t>
  </si>
  <si>
    <t>Zanahoria Granel (3 a 4 un. Aprox)</t>
  </si>
  <si>
    <t>Zanahorias (4 un aprox.)</t>
  </si>
  <si>
    <t>$1.190/kg</t>
  </si>
  <si>
    <t>$595/kg</t>
  </si>
  <si>
    <t>$174/un</t>
  </si>
  <si>
    <t>zapallo camote / butternut</t>
  </si>
  <si>
    <t>Zapallo Camote, 1 Un</t>
  </si>
  <si>
    <t>Zapallo Camote Picado 500 g</t>
  </si>
  <si>
    <t>Zapallo Butternut</t>
  </si>
  <si>
    <t>$4.180/kg</t>
  </si>
  <si>
    <t>$2.490/un</t>
  </si>
  <si>
    <t>zapallo italiano</t>
  </si>
  <si>
    <t>Zapallo Italiano, 1 Un</t>
  </si>
  <si>
    <t>Zapallo Italiano 1 un.</t>
  </si>
  <si>
    <t>Zapallo Italiano (un)</t>
  </si>
  <si>
    <t>Nombre completo del producto</t>
  </si>
  <si>
    <t>Precio actual</t>
  </si>
  <si>
    <t>Url de la imagen</t>
  </si>
  <si>
    <t>Categoria</t>
  </si>
  <si>
    <t>Cantidad de medida</t>
  </si>
  <si>
    <t>Limón Malla, 1 kg</t>
  </si>
  <si>
    <t>https://i5.walmartimages.cl/asr/248bd1b1-37a4-464f-aa17-53104ebe63ac.7840608b4f5e2e75776c79060f2de2f4.jpeg?odnHeight=580&amp;odnWidth=580&amp;odnBg=FFFFFF</t>
  </si>
  <si>
    <t>Frutas</t>
  </si>
  <si>
    <t>kilos</t>
  </si>
  <si>
    <t>https://i5.walmartimages.cl/asr/083eabb8-cd7f-46c2-ace0-8664f45a0cd8.906cbaffd69e0d8a60626c5fe9f8b7cb.jpeg?null=&amp;odnHeight=580&amp;odnWidth=580&amp;odnBg=FFFFFF</t>
  </si>
  <si>
    <t>Manzana Royal Bolsa, 1 kg</t>
  </si>
  <si>
    <t>https://i5.walmartimages.cl/asr/87055fe6-e907-4a58-8677-0563ee63c3d1.2bb397d62720c4a73ec62b5bc6edd4f3.jpeg?odnHeight=580&amp;odnWidth=580&amp;odnBg=FFFFFF</t>
  </si>
  <si>
    <t>https://i5.walmartimages.cl/asr/26816f7e-4d05-463b-b73e-cd6f05220db8.a49fa7c44acb5d70eadb6d39e4a02ddd.jpeg?odnHeight=580&amp;odnWidth=580&amp;odnBg=FFFFFF</t>
  </si>
  <si>
    <t>Palta Hass Chilena Granel</t>
  </si>
  <si>
    <t>https://i5.walmartimages.cl/asr/c1231a68-55a7-4c9e-9f6f-35163325a1d0.a02a9ad32ba8f2ea5afbffbeafce3d6d.jpeg?odnHeight=580&amp;odnWidth=580&amp;odnBg=FFFFFF</t>
  </si>
  <si>
    <t>https://i5.walmartimages.cl/asr/c1a030d6-88b6-44fb-9fe1-f5374fcdf51e.0431f1fccec368ba6a244b84b17e5b01.jpeg?odnHeight=580&amp;odnWidth=580&amp;odnBg=FFFFFF</t>
  </si>
  <si>
    <t>Manzana Fuji Granel.</t>
  </si>
  <si>
    <t>https://i5.walmartimages.cl/asr/aaf18678-bd4f-4e39-8f25-582207e7d87d.1713ece21412bcf8549cfdd3877aa35a.jpeg?odnHeight=580&amp;odnWidth=580&amp;odnBg=FFFFFF</t>
  </si>
  <si>
    <t>https://i5.walmartimages.cl/asr/3eb1e73d-5fc6-4d43-87c6-590c56eb24a2.1c2d56a033728a5ab87d862c2ce0ae61.jpeg?odnHeight=580&amp;odnWidth=580&amp;odnBg=FFFFFF</t>
  </si>
  <si>
    <t>gramos</t>
  </si>
  <si>
    <t>Naranja Importada Granel</t>
  </si>
  <si>
    <t>https://i5.walmartimages.cl/asr/7cec853e-fb16-4a48-9eec-c763cee05513.cf714b9536fcc0d6ea89e1eee7afe81a.jpeg?odnHeight=580&amp;odnWidth=580&amp;odnBg=FFFFFF</t>
  </si>
  <si>
    <t>Naranja Malla, 2 kg</t>
  </si>
  <si>
    <t>https://i5.walmartimages.cl/asr/49eac9c8-a6ab-49fb-8b03-978ccd8ab53c.fd750cbb4b081ea4cb169b99a94d0f4c.jpeg?odnHeight=580&amp;odnWidth=580&amp;odnBg=FFFFFF</t>
  </si>
  <si>
    <t>https://i5.walmartimages.cl/asr/09467583-8b9c-4d63-b52b-bf7d3828704a.91674db31600eb4eb8bb0d34699b672e.jpeg?odnHeight=580&amp;odnWidth=580&amp;odnBg=FFFFFF</t>
  </si>
  <si>
    <t>Kiwi Granel</t>
  </si>
  <si>
    <t>https://i5.walmartimages.cl/asr/a3ff5ea4-0eea-4483-9d33-8bef94fa9ebc.78ebe29f03a715ed65a2cfc62ab6d095.jpeg?odnHeight=580&amp;odnWidth=580&amp;odnBg=FFFFFF</t>
  </si>
  <si>
    <t>https://i5.walmartimages.cl/asr/10501d7f-d13b-4d03-a92d-c54e4e2edf00.3eaa498c6b6241f28c91a215098036eb.jpeg?odnHeight=580&amp;odnWidth=580&amp;odnBg=FFFFFF</t>
  </si>
  <si>
    <t>https://i5.walmartimages.cl/asr/c066ef38-c032-4231-bb5f-1f27768442c4.9e8a2b716e182594b8248a443a88cc6e.jpeg?odnHeight=580&amp;odnWidth=580&amp;odnBg=FFFFFF</t>
  </si>
  <si>
    <t>https://i5.walmartimages.cl/asr/9296aaae-51d5-488d-ac29-883412c7b872.3c4a859594370810ee98a3337ee3af21.jpeg?odnHeight=580&amp;odnWidth=580&amp;odnBg=FFFFFF</t>
  </si>
  <si>
    <t>Palta Hass Chilena Lista</t>
  </si>
  <si>
    <t>https://i5.walmartimages.cl/asr/40cbf5ab-c9ad-4e9a-8d3c-2da09be63fa3.7e334af70061cd2816dd582188606bf4.jpeg?odnHeight=580&amp;odnWidth=580&amp;odnBg=FFFFFF</t>
  </si>
  <si>
    <t>Manzana Pink Lady Granel.</t>
  </si>
  <si>
    <t>https://i5.walmartimages.cl/asr/4ac6a051-bf10-4705-8711-c5f279bf9ece.c4dac71ef3fd543890640665d3893645.jpeg?null=&amp;odnHeight=580&amp;odnWidth=580&amp;odnBg=FFFFFF</t>
  </si>
  <si>
    <t>https://i5.walmartimages.cl/asr/a93666f4-6b8b-4483-907b-57ec204f5822.877d029c11afa51b18a6baab89bee45a.jpeg?odnHeight=580&amp;odnWidth=580&amp;odnBg=FFFFFF</t>
  </si>
  <si>
    <t>unidad</t>
  </si>
  <si>
    <t>https://i5.walmartimages.cl/asr/9ec3c315-2567-4067-88a9-c63de4965078.8b2c25a93d3d7ae4417ef14c93a64106.jpeg?odnHeight=580&amp;odnWidth=580&amp;odnBg=FFFFFF</t>
  </si>
  <si>
    <t>https://i5.walmartimages.cl/asr/20df7f10-f765-47be-9147-9dbc72e5d56f.2b926841f31184654a8b84c90873c27b.jpeg?odnHeight=580&amp;odnWidth=580&amp;odnBg=FFFFFF</t>
  </si>
  <si>
    <t>Mix de Frutas (Manzanas, naranjas y Peras) Bolsa, 1,5 kg</t>
  </si>
  <si>
    <t>https://i5.walmartimages.cl/asr/e3df83ee-22d4-4354-a8d5-b575c62aab3c.6388bb26100f035705c1cbd655803392.jpeg?odnHeight=580&amp;odnWidth=580&amp;odnBg=FFFFFF</t>
  </si>
  <si>
    <t>1,5</t>
  </si>
  <si>
    <t>https://i5.walmartimages.cl/asr/a1171bcc-9ed2-48fe-935e-e09d4e7c6622.635d05bd27937258640b697749e2dddf.jpeg?odnHeight=580&amp;odnWidth=580&amp;odnBg=FFFFFF</t>
  </si>
  <si>
    <t>https://i5.walmartimages.cl/asr/f0e61f15-8f9f-4617-90fb-692827840f9f.94b758636bcafa818ae67e3eb1c5bc88.jpeg?odnHeight=580&amp;odnWidth=580&amp;odnBg=FFFFFF</t>
  </si>
  <si>
    <t>https://i5.walmartimages.cl/asr/83aed111-738b-4da4-8ec2-bd0d276a88bf.e427a0a7d8d2fd2e7853f16c3ddf39c7.jpeg?odnHeight=580&amp;odnWidth=580&amp;odnBg=FFFFFF</t>
  </si>
  <si>
    <t>Manzana Verde Granel.</t>
  </si>
  <si>
    <t>https://i5.walmartimages.cl/asr/ec8c8ad9-0518-4d8a-8f2b-6954e34fcde5.8431f0f3a2a78283f3f579bd931c629f.jpeg?odnHeight=580&amp;odnWidth=580&amp;odnBg=FFFFFF</t>
  </si>
  <si>
    <t>https://i5.walmartimages.cl/asr/6e91773b-2219-416f-be21-571d2a150a59.93b3dc03226d82221f635e108c4a882f.jpeg?odnHeight=580&amp;odnWidth=580&amp;odnBg=FFFFFF</t>
  </si>
  <si>
    <t>https://i5.walmartimages.cl/asr/b4883972-a340-4960-b082-80df64a5e6f1.d11cccdf2d520234e7c34584c4715701.jpeg?odnHeight=580&amp;odnWidth=580&amp;odnBg=FFFFFF</t>
  </si>
  <si>
    <t>Pera Packams Granel</t>
  </si>
  <si>
    <t>https://i5.walmartimages.cl/asr/241bd205-b6b9-429b-b68b-91c78ef59c8a.96082974a4b67edc985e53ec84efe4b2.jpeg?odnHeight=580&amp;odnWidth=580&amp;odnBg=FFFFFF</t>
  </si>
  <si>
    <t>Frutillas Pote, 500 g</t>
  </si>
  <si>
    <t>https://i5.walmartimages.cl/asr/3f93ee9f-29e1-4ec6-9357-623c62793713.a6641a8ae20a6bd07255e02fbabe9faf.jpeg?odnHeight=580&amp;odnWidth=580&amp;odnBg=FFFFFF</t>
  </si>
  <si>
    <t>Arándano Pote, 300 g</t>
  </si>
  <si>
    <t>https://i5.walmartimages.cl/asr/93895a7e-108f-466b-b076-6e0e83282232.6a18620121058c55c18f6cc2d69fffbf.jpeg?null=&amp;odnHeight=580&amp;odnWidth=580&amp;odnBg=FFFFFF</t>
  </si>
  <si>
    <t>Granada Granel</t>
  </si>
  <si>
    <t>https://i5.walmartimages.cl/asr/9b694b29-44c2-49b4-a997-4625bc2f8e1e.0e64d26c7dd4a11eed203d828c7d41e6.jpeg?null=&amp;odnHeight=580&amp;odnWidth=580&amp;odnBg=FFFFFF</t>
  </si>
  <si>
    <t>Kiwi Amarillo Pote, 500 g</t>
  </si>
  <si>
    <t>https://i5.walmartimages.cl/asr/a5564f5c-8c35-418a-9808-2eccef53bac1.55449767a32f5445560d29a9f6b961c7.jpeg?odnHeight=580&amp;odnWidth=580&amp;odnBg=FFFFFF</t>
  </si>
  <si>
    <t>Plátano Barraganete Granel</t>
  </si>
  <si>
    <t>https://i5.walmartimages.cl/asr/67639522-2e1b-41fd-8415-a18342dfe374.8a23b5eaae7fc2f4cac9602954828cd9.jpeg?odnHeight=580&amp;odnWidth=580&amp;odnBg=FFFFFF</t>
  </si>
  <si>
    <t>Mandarina Sofruco Malla, 1,5 kg</t>
  </si>
  <si>
    <t>https://i5.walmartimages.cl/asr/bc84d819-d9d4-4af2-9c5c-0f78e499a10a.df7cea40eebf648c19df2e1cc034f7a5.jpeg?odnHeight=580&amp;odnWidth=580&amp;odnBg=FFFFFF</t>
  </si>
  <si>
    <t>Pera Abate Granel.</t>
  </si>
  <si>
    <t>https://i5.walmartimages.cl/asr/020d1058-f205-4af2-9132-a3ad49f232c0.0e34653ea39927e158544b800d928ecd.jpeg?odnHeight=580&amp;odnWidth=580&amp;odnBg=FFFFFF</t>
  </si>
  <si>
    <t>Plátano Baby Orito Granel</t>
  </si>
  <si>
    <t>https://i5.walmartimages.cl/asr/f4170aac-aa5d-4d07-a018-0570ef72d9e1.77714a1d8f5693d3af642554f47f9af6.jpeg?odnHeight=580&amp;odnWidth=580&amp;odnBg=FFFFFF</t>
  </si>
  <si>
    <t>Limón Sin Semillas Malla, 900 g</t>
  </si>
  <si>
    <t>https://i5.walmartimages.cl/asr/122b0b25-3f2a-4665-872e-848f663caec7.dfd1e39ba1fac8248edf239f49a943e4.jpeg?odnHeight=580&amp;odnWidth=580&amp;odnBg=FFFFFF</t>
  </si>
  <si>
    <t>Frambuesas Pote, 70 g</t>
  </si>
  <si>
    <t>https://i5.walmartimages.cl/asr/45bef92f-1d02-45c8-9603-18d9a9cab63d.d1c55c070f1545f75f9162a65148a3e2.jpeg?odnHeight=580&amp;odnWidth=580&amp;odnBg=FFFFFF</t>
  </si>
  <si>
    <t>https://i5.walmartimages.cl/asr/f454eabc-a704-4051-9cc2-61ae3a9ea708.bced8adf7ec553a8090f89307c2c1209.jpeg?odnHeight=580&amp;odnWidth=580&amp;odnBg=FFFFFF</t>
  </si>
  <si>
    <t>Tuna Granel</t>
  </si>
  <si>
    <t>https://i5.walmartimages.cl/asr/945e5518-2a01-460c-ab47-0bbc57535333.a3085046531cd30670182a88928b43d3.jpeg?odnHeight=580&amp;odnWidth=580&amp;odnBg=FFFFFF</t>
  </si>
  <si>
    <t>Membrillo Granel</t>
  </si>
  <si>
    <t>https://i5.walmartimages.cl/asr/f5c7878d-2051-4bdf-9def-f0c742aa2f05.c70df7278aaa19bb79c3b753ced98cbf.jpeg?null=&amp;odnHeight=580&amp;odnWidth=580&amp;odnBg=FFFFFF</t>
  </si>
  <si>
    <t>Manzana Roja Bolsa, 1 kg</t>
  </si>
  <si>
    <t>https://i5.walmartimages.cl/asr/9be25181-4fa4-4d4c-80ec-78a6cdb3e21f.78b8b6dd7091ae87f32c369b6899146f.jpeg?odnHeight=580&amp;odnWidth=580&amp;odnBg=FFFFFF</t>
  </si>
  <si>
    <t>Pomelo Malla, 2 kg</t>
  </si>
  <si>
    <t>https://i5.walmartimages.cl/asr/f732e2ee-6e52-47fd-a2c8-668b3f55be61.5c1b0adbe47499e39fe12b0cd35e03c3.jpeg?odnHeight=580&amp;odnWidth=580&amp;odnBg=FFFFFF</t>
  </si>
  <si>
    <t>Palta Negra La Cruz Malla, 1 kg</t>
  </si>
  <si>
    <t>https://i5.walmartimages.cl/asr/0dbee476-6ddb-4f2d-ae73-eb68608d1add.730bf0363fd9c98703bad21f801acea4.jpeg?odnHeight=580&amp;odnWidth=580&amp;odnBg=FFFFFF</t>
  </si>
  <si>
    <t>https://i5.walmartimages.cl/asr/c2e7395a-5e45-40b6-bd41-8d4be8612e31.e7293d2995edcc31407df3b2f1a6e7df.jpeg?null=&amp;odnHeight=580&amp;odnWidth=580&amp;odnBg=FFFFFF</t>
  </si>
  <si>
    <t>Castaña Granel</t>
  </si>
  <si>
    <t>https://i5.walmartimages.cl/asr/6605b742-d7b3-4e0d-8b71-a0fc353af7dd.e5785c7e01ae4cde1b8e5beb78894825.jpeg?null=&amp;odnHeight=580&amp;odnWidth=580&amp;odnBg=FFFFFF</t>
  </si>
  <si>
    <t>Piña Pelada Pote, 500 g</t>
  </si>
  <si>
    <t>https://i5.walmartimages.cl/asr/7bb1c22e-ef23-4d05-abaf-e59f17906727.a73616b27e3c752e6b3a86fb1d5099ad.jpeg?odnHeight=580&amp;odnWidth=580&amp;odnBg=FFFFFF</t>
  </si>
  <si>
    <t>Pera red danjou Granel</t>
  </si>
  <si>
    <t>https://i5.walmartimages.cl/asr/0fac941f-f3d3-4c1b-ba28-c113441686ec.0aaf02993fe09fff586cd4c77635a551.jpeg?odnHeight=580&amp;odnWidth=580&amp;odnBg=FFFFFF</t>
  </si>
  <si>
    <t>Piña Picada Pote, 400 g</t>
  </si>
  <si>
    <t>https://i5.walmartimages.cl/asr/0d0f9119-b379-47e8-b018-d64544cffe74.05fd7279a06d6414fc71010f1e1ade22.jpeg?odnHeight=580&amp;odnWidth=580&amp;odnBg=FFFFFF</t>
  </si>
  <si>
    <t>Papaya Tropical Granel</t>
  </si>
  <si>
    <t>https://i5.walmartimages.cl/asr/e3c82ade-7de4-4b43-9cd1-529cf4c477bc.0ccfd353ea7f818e786ed13848dd6bb4.jpeg?odnHeight=580&amp;odnWidth=580&amp;odnBg=FFFFFF</t>
  </si>
  <si>
    <t>Pitahaya</t>
  </si>
  <si>
    <t>https://i5.walmartimages.cl/asr/7878d651-e90d-48de-bccd-d2b1bb98d545.8ec83b7517c9a9ee5af3bc867ef7453f.jpeg?null=&amp;odnHeight=580&amp;odnWidth=580&amp;odnBg=FFFFFF</t>
  </si>
  <si>
    <t>Arándanos premium Pote, 125 g</t>
  </si>
  <si>
    <t>https://i5.walmartimages.cl/asr/42047681-e6dc-4fba-87a7-020dbf30b08f.0c9ee26c67ac41f238fe615b0ff31473.jpeg?odnHeight=580&amp;odnWidth=580&amp;odnBg=FFFFFF</t>
  </si>
  <si>
    <t>Piña Rodaja Bandeja, 500 g</t>
  </si>
  <si>
    <t>https://i5.walmartimages.cl/asr/39605424-d29b-4e49-aab3-4e644a854f62.635ecd350cfe449083d38d5def0840ec.jpeg?odnHeight=580&amp;odnWidth=580&amp;odnBg=FFFFFF</t>
  </si>
  <si>
    <t>Frutilla Blanca Pote, 200 g</t>
  </si>
  <si>
    <t>https://i5.walmartimages.cl/asr/f38f1568-1a18-45b7-9498-009c4b661090.b1a438ac1617d5c12db2d62c550a91cd.jpeg?null=&amp;odnHeight=580&amp;odnWidth=580&amp;odnBg=FFFFFF</t>
  </si>
  <si>
    <t>https://i5.walmartimages.cl/asr/f6c613ac-ef49-47ea-9f27-1ac29c8f5063.5f032761b98899a2354ee6f36a852843.jpeg?odnHeight=580&amp;odnWidth=580&amp;odnBg=FFFFFF</t>
  </si>
  <si>
    <t>https://i5.walmartimages.cl/asr/3d2b04e1-132f-4ece-818b-2ffb28d89e39.4f51f492d0230a78a2cd183c649de78d.jpeg?null=&amp;odnHeight=580&amp;odnWidth=580&amp;odnBg=FFFFFF</t>
  </si>
  <si>
    <t>Piña Picada Pequeño Pote, 250 g</t>
  </si>
  <si>
    <t>https://i5.walmartimages.cl/asr/2a86ce15-4e9f-47f6-841e-d8bdcc0eacd1.77ecb04d402cfdabaa8803b55067a4df.jpeg?odnHeight=580&amp;odnWidth=580&amp;odnBg=FFFFFF</t>
  </si>
  <si>
    <t>Mix de Frutas Pote, 400 g</t>
  </si>
  <si>
    <t>https://i5.walmartimages.cl/asr/edc7aa22-9444-48e0-8633-8fd49d078a32.aca353ff9d09fae8085f823a39ffb049.jpeg?null=&amp;odnHeight=580&amp;odnWidth=580&amp;odnBg=FFFFFF</t>
  </si>
  <si>
    <t>Mix de Frutas Pote, 250 g</t>
  </si>
  <si>
    <t>https://i5.walmartimages.cl/asr/3aaae334-4057-47e7-ad48-3aa8ddde82e6.bbaa90660f8ca7f61552a2b7deb8f12b.jpeg?null=&amp;odnHeight=580&amp;odnWidth=580&amp;odnBg=FFFFFF</t>
  </si>
  <si>
    <t>Limón Gourmet Malla, 500 g</t>
  </si>
  <si>
    <t>https://i5.walmartimages.cl/asr/cb3c4d2d-2161-43cc-8f91-b1e005517252.f1abf81334dd7fb88debd641a64bc119.jpeg?odnHeight=580&amp;odnWidth=580&amp;odnBg=FFFFFF</t>
  </si>
  <si>
    <t>https://i5.walmartimages.cl/asr/e7139b2d-66d2-433a-944f-60143d327256.d2f949111f1f698c2eefc805b570c708.jpeg?odnHeight=580&amp;odnWidth=580&amp;odnBg=FFFFFF</t>
  </si>
  <si>
    <t>Ciruelas Usa Granel</t>
  </si>
  <si>
    <t>https://i5.walmartimages.cl/asr/7abdad1d-07df-4856-92e8-4f036f75964b.014123888e7e0a2903e306e8a1be4224.jpeg?null=&amp;odnHeight=580&amp;odnWidth=580&amp;odnBg=FFFFFF</t>
  </si>
  <si>
    <t>Manzana Gala Granel</t>
  </si>
  <si>
    <t>https://i5.walmartimages.cl/asr/1a3832b7-80db-4543-9758-54aae1e4c1e8.c299835fec5761a4dbc8041243405410.jpeg?null=&amp;odnHeight=580&amp;odnWidth=580&amp;odnBg=FFFFFF</t>
  </si>
  <si>
    <t>Feijoa pote, 300 g</t>
  </si>
  <si>
    <t>https://i5.walmartimages.cl/asr/2cb8482c-9860-418b-9f58-2865e637621e.40914c9848e4b1b37a28632e0450476c.jpeg?odnHeight=580&amp;odnWidth=580&amp;odnBg=FFFFFF</t>
  </si>
  <si>
    <t>Manzanas kids, 4 Un</t>
  </si>
  <si>
    <t>https://i5.walmartimages.cl/asr/9b133499-f0a9-41dd-a9b7-5955df27aa10.35a42b158af8bdd226a55026fd3a4f39.jpeg?odnHeight=580&amp;odnWidth=580&amp;odnBg=FFFFFF</t>
  </si>
  <si>
    <t>Limón Organico Malla, 1 Kg</t>
  </si>
  <si>
    <t>https://i5.walmartimages.cl/asr/e5abfc2a-d811-4bf1-8ae7-2754e33cc5ed.298f5f9637e1ecbcd3408bf8fcb82ba4.jpeg?odnHeight=580&amp;odnWidth=580&amp;odnBg=FFFFFF</t>
  </si>
  <si>
    <t>Mango Picado Pote, 400 g</t>
  </si>
  <si>
    <t>https://i5.walmartimages.cl/asr/88ffc8d8-5eef-4589-ac51-31557c9a447b.d40ca5a66891d796a80095177ebc5d8d.jpeg?odnHeight=580&amp;odnWidth=580&amp;odnBg=FFFFFF</t>
  </si>
  <si>
    <t>Pera Winter</t>
  </si>
  <si>
    <t>https://i5.walmartimages.cl/asr/3033a908-d1cc-486b-beb0-0e8497c36326.ab17a63b20a103ffb60aa2e533cfc301.jpeg?null=&amp;odnHeight=580&amp;odnWidth=580&amp;odnBg=FFFFFF</t>
  </si>
  <si>
    <t>Manzana Envy Granel.</t>
  </si>
  <si>
    <t>https://i5.walmartimages.cl/asr/08597117-bb0d-41b1-a260-2eb3477fc262.f0d4347e084eeb972294e159d90c0916.jpeg?null=&amp;odnHeight=580&amp;odnWidth=580&amp;odnBg=FFFFFF</t>
  </si>
  <si>
    <t>Naranja Sofruco Malla, 3 kg</t>
  </si>
  <si>
    <t>https://i5.walmartimages.cl/asr/d2cc3e1c-525d-4d2a-be32-73d88c65f5e2.7c1f1339d1329aaf2717562a9b8a951d.jpeg?odnHeight=580&amp;odnWidth=580&amp;odnBg=FFFFFF</t>
  </si>
  <si>
    <t>Durazno Usa Granel</t>
  </si>
  <si>
    <t>https://i5.walmartimages.cl/asr/29a58cec-dfd4-4f68-bf52-69f84dbad6fe.3bcb8f5108996efd57431d07fcd42ad9.jpeg?odnHeight=580&amp;odnWidth=580&amp;odnBg=FFFFFF</t>
  </si>
  <si>
    <t>Moras pote, 70 g</t>
  </si>
  <si>
    <t>https://i5.walmartimages.cl/asr/c73fde10-2b93-4e19-9ecc-8c4d617cd060.c09ee639728519d6c07af34886ad693b.jpeg?odnHeight=580&amp;odnWidth=580&amp;odnBg=FFFFFF</t>
  </si>
  <si>
    <t>Limón Malla Imperfecto, 1 Un</t>
  </si>
  <si>
    <t>https://i5.walmartimages.cl/asr/cc5c5c73-6f6f-452b-9d6b-e14d28dc5f5e.6e748baecbabd98467bef711e6feee52.jpeg?null=&amp;odnHeight=580&amp;odnWidth=580&amp;odnBg=FFFFFF</t>
  </si>
  <si>
    <t>Manzana Verde. Imperfecta, 1 kg</t>
  </si>
  <si>
    <t>https://i5.walmartimages.cl/asr/68ec8569-79d6-4ce8-9026-a4ff9154b69f.57a932a7573e705436895d68b2f72bb4.jpeg?null=&amp;odnHeight=580&amp;odnWidth=580&amp;odnBg=FFFFFF</t>
  </si>
  <si>
    <t>Nectarin Amarillo Usa Granel</t>
  </si>
  <si>
    <t>https://i5.walmartimages.cl/asr/febc3514-ec3d-4da7-8e08-da0d2ea38bb9.ee9f76e0d2c26f756f66d28312ccc335.jpeg?odnHeight=580&amp;odnWidth=580&amp;odnBg=FFFFFF</t>
  </si>
  <si>
    <t>Manzana ambrosia Bolsa, 1 kg</t>
  </si>
  <si>
    <t>https://i5.walmartimages.cl/asr/e4b302ea-46a7-493d-84e9-13ce5eee6799.c9bed11ab2ff40ce26ccfff55aaabaf9.jpeg?odnHeight=580&amp;odnWidth=580&amp;odnBg=FFFFFF</t>
  </si>
  <si>
    <t>Manzana Fuji Imperfecta, 1 kg</t>
  </si>
  <si>
    <t>https://i5.walmartimages.cl/asr/2ffcb9de-77d7-4e15-bbfe-aa155d21e60e.01279039e1f16eeb3153ce638e13578f.jpeg?null=&amp;odnHeight=580&amp;odnWidth=580&amp;odnBg=FFFFFF</t>
  </si>
  <si>
    <t>Mango Pote, 250 g</t>
  </si>
  <si>
    <t>https://i5.walmartimages.cl/asr/b64272c4-ede5-46f4-ad31-236e56bb654a.1109b3ff9e3af98ed32fe3d21b854d9a.jpeg?null=&amp;odnHeight=580&amp;odnWidth=580&amp;odnBg=FFFFFF</t>
  </si>
  <si>
    <t>Tomate Romanita Cocktail Pote, 340 g</t>
  </si>
  <si>
    <t>https://i5.walmartimages.cl/asr/7f61fe46-09ed-4376-b9fc-14fa60023a6d.3f44a3b2bb802a94ed5de21b427c1eb0.jpeg?odnHeight=580&amp;odnWidth=580&amp;odnBg=FFFFFF</t>
  </si>
  <si>
    <t>Verduras</t>
  </si>
  <si>
    <t>Zapallo Entero, 1 Un</t>
  </si>
  <si>
    <t>https://i5.walmartimages.cl/asr/b302d8f2-ddde-450b-afa5-fe254c9bdc3c.5f28a3c4e332d4c9b45cb7348bc54f10.jpeg?odnHeight=580&amp;odnWidth=580&amp;odnBg=FFFFFF</t>
  </si>
  <si>
    <t>https://i5.walmartimages.cl/asr/8af00696-a82b-48a1-a20c-0f811e074534.d63d6be33ced72343e5641fe4f593bb7.jpeg?odnHeight=580&amp;odnWidth=580&amp;odnBg=FFFFFF</t>
  </si>
  <si>
    <t>Papa Malla, 2 Kg</t>
  </si>
  <si>
    <t>https://i5.walmartimages.cl/asr/299e483f-a619-4a1d-baf1-2879e05b5d0e.ecd370b8869027707db14557030b85f3.jpeg?odnHeight=580&amp;odnWidth=580&amp;odnBg=FFFFFF</t>
  </si>
  <si>
    <t>https://i5.walmartimages.cl/asr/e5b0af54-6078-4fe7-830e-542ef6799acf.b5b7dc6bd0e9a4213687f6e9fe4d324a.jpeg?odnHeight=580&amp;odnWidth=580&amp;odnBg=FFFFFF</t>
  </si>
  <si>
    <t>Alcachofa Argentina, 1 Un</t>
  </si>
  <si>
    <t>https://i5.walmartimages.cl/asr/f2f678d7-bdf1-4f7e-b2f1-e93f1e7d1089.cbe73517df97798a0262f0e189246707.jpeg?null=&amp;odnHeight=580&amp;odnWidth=580&amp;odnBg=FFFFFF</t>
  </si>
  <si>
    <t>Tomate Larga Vida Malla, 1 Kg</t>
  </si>
  <si>
    <t>https://i5.walmartimages.cl/asr/46b9d5fa-18a7-4811-b6fc-a06020023142.ff218f6c075f9a5d76b51ec79a7979ea.jpeg?odnHeight=580&amp;odnWidth=580&amp;odnBg=FFFFFF</t>
  </si>
  <si>
    <t>Champiñones Shitake Bandeja, 100 g</t>
  </si>
  <si>
    <t>https://i5.walmartimages.cl/asr/33b5839d-884c-45c7-9b0d-36dd3c41005f.3db91213ea151c70d97ca3eef1bc86e7.jpeg?odnHeight=580&amp;odnWidth=580&amp;odnBg=FFFFFF</t>
  </si>
  <si>
    <t>https://i5.walmartimages.cl/asr/1a9d9a9b-1c43-409f-bb9a-55a647fada26.fdb8229b79b969b0413a725b2e6118ed.jpeg?odnHeight=580&amp;odnWidth=580&amp;odnBg=FFFFFF</t>
  </si>
  <si>
    <t>Champiñones Portobello Bandeja, 200 g</t>
  </si>
  <si>
    <t>https://i5.walmartimages.cl/asr/f25884ce-b6d7-442f-9be0-8f4f0509e7f0.8ddd991b96f38425bb6d8220afcbc350.jpeg?odnHeight=580&amp;odnWidth=580&amp;odnBg=FFFFFF</t>
  </si>
  <si>
    <t>Cebolla Malla, 1 Kg</t>
  </si>
  <si>
    <t>https://i5.walmartimages.cl/asr/acc7e04d-a2aa-4697-beb4-61e42ae1032a.777f194c23a77cfad5fb05112af33941.jpeg?odnHeight=580&amp;odnWidth=580&amp;odnBg=FFFFFF</t>
  </si>
  <si>
    <t>https://i5.walmartimages.cl/asr/5f548827-24d4-4ee6-aaf9-710f15eb7910.1ac17739dfc9dc64af8bcb7e30814ab6.jpeg?odnHeight=580&amp;odnWidth=580&amp;odnBg=FFFFFF</t>
  </si>
  <si>
    <t>https://i5.walmartimages.cl/asr/28631ab6-f346-4458-b5ae-78d5d4e22e2b.cf06ab893dd7a67e6207d6cb2b088b3c.jpeg?odnHeight=580&amp;odnWidth=580&amp;odnBg=FFFFFF</t>
  </si>
  <si>
    <t>https://i5.walmartimages.cl/asr/968b814b-ac9f-47f8-a576-d2425fdc7fc4.96147120992ae84801fa1f3b007e7706.jpeg?odnHeight=580&amp;odnWidth=580&amp;odnBg=FFFFFF</t>
  </si>
  <si>
    <t>https://i5.walmartimages.cl/asr/a29098ad-b21b-4059-b5e9-33103e838c07.f58f4542731ee0ff89b115f710f24c7c.jpeg?odnHeight=580&amp;odnWidth=580&amp;odnBg=FFFFFF</t>
  </si>
  <si>
    <t>Ensalada Toscana Bolsa, 300 gr</t>
  </si>
  <si>
    <t>https://i5.walmartimages.cl/asr/259f3853-c859-47ce-ab66-476577d878c6.278c4beb8cc580f043e514fdac8d64a1.jpeg?odnHeight=580&amp;odnWidth=580&amp;odnBg=FFFFFF</t>
  </si>
  <si>
    <t>Ensalada Espinaca Bolsa, 200 gr</t>
  </si>
  <si>
    <t>https://i5.walmartimages.cl/asr/91151f17-0efc-4d44-9c7a-6a96d26fed38.41ae7410d8e4588ce4951fefdb3c9dbb.jpeg?odnHeight=580&amp;odnWidth=580&amp;odnBg=FFFFFF</t>
  </si>
  <si>
    <t>https://i5.walmartimages.cl/asr/8f2ee30a-42ae-4251-8b34-cdbec37d34f3.28fa55140a184fd7b0863de7d9cdbd02.jpeg?odnHeight=580&amp;odnWidth=580&amp;odnBg=FFFFFF</t>
  </si>
  <si>
    <t>https://i5.walmartimages.cl/asr/99977e16-10a8-4723-87cf-bd9b074e6dee.55b9de18ab0f96c3483874c893543e35.jpeg?odnHeight=580&amp;odnWidth=580&amp;odnBg=FFFFFF</t>
  </si>
  <si>
    <t>https://i5.walmartimages.cl/asr/3bc906dc-83ba-44f4-8965-1aef47ea88a8.bc01c6f1ebc2bf1e7b1307f7ca9b7b52.jpeg?odnHeight=580&amp;odnWidth=580&amp;odnBg=FFFFFF</t>
  </si>
  <si>
    <t>https://i5.walmartimages.cl/asr/6365cbf6-4e5a-4ba4-ad4d-17b829963dc4.0f2a91e0e6e7d908f76e2d475d83dda5.jpeg?odnHeight=580&amp;odnWidth=580&amp;odnBg=FFFFFF</t>
  </si>
  <si>
    <t>https://i5.walmartimages.cl/asr/8f93665a-3be3-47d2-80e3-95506304be86.374be27569eea10c8167440e6c5e1c29.jpeg?odnHeight=580&amp;odnWidth=580&amp;odnBg=FFFFFF</t>
  </si>
  <si>
    <t>https://i5.walmartimages.cl/asr/1647c3fa-45d8-455d-9b2f-efd48eea39ed.0b69dde2e60bfa25c285918e433e65c1.jpeg?odnHeight=580&amp;odnWidth=580&amp;odnBg=FFFFFF</t>
  </si>
  <si>
    <t>https://i5.walmartimages.cl/asr/3a8d3df6-de73-474b-be16-f6afe3c4be07.55e5155a2c602c6a2d2614fea7f1cf79.jpeg?odnHeight=580&amp;odnWidth=580&amp;odnBg=FFFFFF</t>
  </si>
  <si>
    <t>https://i5.walmartimages.cl/asr/ff54e475-bb4f-4ece-a8ae-40d707f6a5db.aa6c906b7fe799adbbf9ce71771630b3.jpeg?odnHeight=580&amp;odnWidth=580&amp;odnBg=FFFFFF</t>
  </si>
  <si>
    <t>Papas Soufflé Malla, 2 Kg</t>
  </si>
  <si>
    <t>https://i5.walmartimages.cl/asr/d4626bf5-c396-4557-95a5-3802e10d778e.a1445ae43d01537bd96f58eb8caa368e.jpeg?odnHeight=580&amp;odnWidth=580&amp;odnBg=FFFFFF</t>
  </si>
  <si>
    <t>https://i5.walmartimages.cl/asr/d2b4b933-3316-4b55-9a47-ab97d5a8f034.650b1a42fd9ffc8482c678b392f0587c.jpeg?odnHeight=580&amp;odnWidth=580&amp;odnBg=FFFFFF</t>
  </si>
  <si>
    <t>https://i5.walmartimages.cl/asr/d460dd01-dbed-4a81-870b-9ba5bb2d4ea8.916913e74deeacd29be5af0f2c31a327.jpeg?odnHeight=580&amp;odnWidth=580&amp;odnBg=FFFFFF</t>
  </si>
  <si>
    <t>Espinaca Bolsa, 500 gr</t>
  </si>
  <si>
    <t>https://i5.walmartimages.cl/asr/26f1f990-5512-4c05-b8d9-e538bf205d71.1e2f69b92916e5df37829e6991e8d973.jpeg?odnHeight=580&amp;odnWidth=580&amp;odnBg=FFFFFF</t>
  </si>
  <si>
    <t>https://i5.walmartimages.cl/asr/e8c132a1-2a66-4321-bffc-5f448d04767f.c064de5fff7589df111f890a1abbf7d4.jpeg?odnHeight=580&amp;odnWidth=580&amp;odnBg=FFFFFF</t>
  </si>
  <si>
    <t>https://i5.walmartimages.cl/asr/1c32829c-b035-441c-aa21-ebad6a9d8646.639097b91b8c49e35853c648f88086ba.jpeg?odnHeight=580&amp;odnWidth=580&amp;odnBg=FFFFFF</t>
  </si>
  <si>
    <t>https://i5.walmartimages.cl/asr/24fd89c3-57c2-4315-a75d-c354c243a68a.085d20bb12f6dd6ea97948f33572d3da.jpeg?odnHeight=580&amp;odnWidth=580&amp;odnBg=FFFFFF</t>
  </si>
  <si>
    <t>https://i5.walmartimages.cl/asr/a1ab1399-f5f5-47ef-9c44-6a88de0e3023.8b903e691552a5f118b3fd255e3a1203.jpeg?odnHeight=580&amp;odnWidth=580&amp;odnBg=FFFFFF</t>
  </si>
  <si>
    <t>Champiñones Enteros Bandeja, 500 g</t>
  </si>
  <si>
    <t>https://i5.walmartimages.cl/asr/bbc3d792-27fe-4764-80b7-00ceb7af17a3.3f12a3d73f34f8abccbe9ac5081772aa.jpeg?odnHeight=580&amp;odnWidth=580&amp;odnBg=FFFFFF</t>
  </si>
  <si>
    <t>Zapallo Picado Bolsa, 500 gr</t>
  </si>
  <si>
    <t>https://i5.walmartimages.cl/asr/6807b3a8-45d4-4487-9d7b-8d2e6635e0f2.cbd9bed2bbcf0d4cb4e9a67701ad38ee.jpeg?odnHeight=580&amp;odnWidth=580&amp;odnBg=FFFFFF</t>
  </si>
  <si>
    <t>https://i5.walmartimages.cl/asr/9281c906-161e-4722-a669-9499f2a69658.b30ebd8099e0d4792d87dcc52bdea6b8.jpeg?odnHeight=580&amp;odnWidth=580&amp;odnBg=FFFFFF</t>
  </si>
  <si>
    <t>Papa Malla., 5 Kg</t>
  </si>
  <si>
    <t>https://i5.walmartimages.cl/asr/a6b4b9fe-9cd6-483b-b61b-5d87cadb73bd.c603d54ae2205700a3f90e13670d582a.jpeg?null=&amp;odnHeight=580&amp;odnWidth=580&amp;odnBg=FFFFFF</t>
  </si>
  <si>
    <t>Papa Mix Colores Bolsa, 650 gr</t>
  </si>
  <si>
    <t>https://i5.walmartimages.cl/asr/3f320c3c-0310-449d-8a50-e0be52c61218.3217f921b8401f339132b7b33f47505a.jpeg?odnHeight=580&amp;odnWidth=580&amp;odnBg=FFFFFF</t>
  </si>
  <si>
    <t>https://i5.walmartimages.cl/asr/276d8b8b-3a52-4840-8430-ae370d49bf34.b15f5fae8fe1755af1a699a4d2f75958.jpeg?odnHeight=580&amp;odnWidth=580&amp;odnBg=FFFFFF</t>
  </si>
  <si>
    <t>Tomate Cocktail Mix Pote, 250 g</t>
  </si>
  <si>
    <t>https://i5.walmartimages.cl/asr/1bb0ce5e-d064-411e-816c-850b82d50be1.09b8150177e87f3c146f3de285fc2ccd.jpeg?odnHeight=580&amp;odnWidth=580&amp;odnBg=FFFFFF</t>
  </si>
  <si>
    <t>https://i5.walmartimages.cl/asr/199cb323-58dc-4ced-b265-5f5e0c79a5e5.e0aac7d3d9c06ed8fb7256dd6f169205.jpeg?odnHeight=580&amp;odnWidth=580&amp;odnBg=FFFFFF</t>
  </si>
  <si>
    <t>https://i5.walmartimages.cl/asr/47333582-eb52-470a-b9d5-8cae7c6404c8.3ac387d0bb89e2774e1fb80b3ceb079d.jpeg?odnHeight=580&amp;odnWidth=580&amp;odnBg=FFFFFF</t>
  </si>
  <si>
    <t>https://i5.walmartimages.cl/asr/62135c53-b6b9-46d9-b124-c3d729396465.3259d982c1f4f9e5ee2f3966df529590.jpeg?odnHeight=580&amp;odnWidth=580&amp;odnBg=FFFFFF</t>
  </si>
  <si>
    <t>Tomate Cocktail Pote, 500 gr</t>
  </si>
  <si>
    <t>https://i5.walmartimages.cl/asr/27a53a46-1a96-47ab-a0d7-04ec9bcd510a.4c49af82a34f177dd5db1030d32ce133.jpeg?odnHeight=580&amp;odnWidth=580&amp;odnBg=FFFFFF</t>
  </si>
  <si>
    <t>https://i5.walmartimages.cl/asr/d06cee3b-8dec-4350-9199-f326bf91b4c1.c22c3fff03e9f08289060dc005f0292c.jpeg?odnHeight=580&amp;odnWidth=580&amp;odnBg=FFFFFF</t>
  </si>
  <si>
    <t>Apio Bastones Bolsa, 500 g</t>
  </si>
  <si>
    <t>https://i5.walmartimages.cl/asr/f1857b10-732b-4bc3-ad82-026eb2e2f653.36a9f27d47caaf362f76bc6c0c22e09a.jpeg?odnHeight=580&amp;odnWidth=580&amp;odnBg=FFFFFF</t>
  </si>
  <si>
    <t>https://i5.walmartimages.cl/asr/41426f9e-1b9c-4ab2-a0db-8f2f3bdcc606.d1a3433ed8085d1b7064f7fc0ce81c0a.jpeg?odnHeight=580&amp;odnWidth=580&amp;odnBg=FFFFFF</t>
  </si>
  <si>
    <t>https://i5.walmartimages.cl/asr/736030fe-e3b3-49b6-b647-67f665a8839a.c6a09e22296ce00371c25272b0c91773.jpeg?odnHeight=580&amp;odnWidth=580&amp;odnBg=FFFFFF</t>
  </si>
  <si>
    <t>Cebolla Tubular Malla, 3 Un</t>
  </si>
  <si>
    <t>https://i5.walmartimages.cl/asr/a40c8d0a-0366-4396-b4ee-cd29a5431259.1b2df964e893aedacc00683787aadf32.jpeg?odnHeight=580&amp;odnWidth=580&amp;odnBg=FFFFFF</t>
  </si>
  <si>
    <t>Lechuga 3 Corazones de Costina Bolsa, 1 Un</t>
  </si>
  <si>
    <t>https://i5.walmartimages.cl/asr/1df5dce1-99a9-456d-ad52-382908957450.104bffb1406dff7096cbafdbe022af5e.jpeg?null=&amp;odnHeight=580&amp;odnWidth=580&amp;odnBg=FFFFFF</t>
  </si>
  <si>
    <t>https://i5.walmartimages.cl/asr/765e2ce3-8bdd-40fb-a53d-aeacaa1230c8.dc769c061aace2e2ef866d2b914acfce.jpeg?odnHeight=580&amp;odnWidth=580&amp;odnBg=FFFFFF</t>
  </si>
  <si>
    <t>https://i5.walmartimages.cl/asr/413329a9-2777-4e00-8bac-54e3aa75377a.86e5d6506fbf401a93fdf2d9fd8c27b1.jpeg?odnHeight=580&amp;odnWidth=580&amp;odnBg=FFFFFF</t>
  </si>
  <si>
    <t>https://i5.walmartimages.cl/asr/b4c9ee7f-c0a2-4c5b-ac09-c996a6f11ed7.f40c329d11eebd77f23cc69e0613672a.jpeg?null=&amp;odnHeight=580&amp;odnWidth=580&amp;odnBg=FFFFFF</t>
  </si>
  <si>
    <t>https://i5.walmartimages.cl/asr/872f91be-b8fa-4b69-9209-81c81d322d5c.e8faf4e286200fbdb4c620967fce3d26.jpeg?odnHeight=580&amp;odnWidth=580&amp;odnBg=FFFFFF</t>
  </si>
  <si>
    <t>Zapallo Cubo Envasado, 500 g</t>
  </si>
  <si>
    <t>https://i5.walmartimages.cl/asr/367613a7-4fc0-42dd-9475-d5fc0921ae4d.47f243912ddce1c5ac010925ba312605.jpeg?null=&amp;odnHeight=580&amp;odnWidth=580&amp;odnBg=FFFFFF</t>
  </si>
  <si>
    <t>Betarraga Cocida Bolsa, 500 g</t>
  </si>
  <si>
    <t>https://i5.walmartimages.cl/asr/c1f70d0b-9c73-4f1b-876a-113211a66e0f.10a5295c81981f8c2a921bd206293d9b.jpeg?odnHeight=580&amp;odnWidth=580&amp;odnBg=FFFFFF</t>
  </si>
  <si>
    <t>Papas mini bolsa, 650 g</t>
  </si>
  <si>
    <t>https://i5.walmartimages.cl/asr/7befd389-f534-4747-9b14-fc0643e4cd08.9f1fe72f1e9639742777398bfad0d596.jpeg?odnHeight=580&amp;odnWidth=580&amp;odnBg=FFFFFF</t>
  </si>
  <si>
    <t>Champiñones Blancos Laminados Bandeja, 200 g</t>
  </si>
  <si>
    <t>https://i5.walmartimages.cl/asr/428b58e1-bb6f-4a9d-a063-392553ab6aa6.4a865dabde2176dec8d39e36ad755ae6.jpeg?odnHeight=580&amp;odnWidth=580&amp;odnBg=FFFFFF</t>
  </si>
  <si>
    <t>Papa Baby Bolsa, 1 Kg</t>
  </si>
  <si>
    <t>https://i5.walmartimages.cl/asr/36c368e7-0226-4ae5-a919-e953495c75f6.0a73be7c25ea6b971e4975f67713daf8.jpeg?null=&amp;odnHeight=580&amp;odnWidth=580&amp;odnBg=FFFFFF</t>
  </si>
  <si>
    <t>Lechuga Bionda Hidropónica Bolsa, 1 Un</t>
  </si>
  <si>
    <t>https://i5.walmartimages.cl/asr/5eb2976c-a2df-4606-a35d-ce8dfa033a24.67e31e5f569533c5ee00f57e8057e82b.jpeg?odnHeight=580&amp;odnWidth=580&amp;odnBg=FFFFFF</t>
  </si>
  <si>
    <t>https://i5.walmartimages.cl/asr/37f2c708-b8bb-4263-863e-9032e0747390.3ef5a7c69f74b6fb2062452e0e12b479.jpeg?odnHeight=580&amp;odnWidth=580&amp;odnBg=FFFFFF</t>
  </si>
  <si>
    <t>https://i5.walmartimages.cl/asr/2b9a68e2-be2a-4956-8dc7-738d747650ce.531ec77d8de604bd7aa2b0a115195e37.jpeg?odnHeight=580&amp;odnWidth=580&amp;odnBg=FFFFFF</t>
  </si>
  <si>
    <t>Ensalada Apio Media Luna Bolsa, 420 gr</t>
  </si>
  <si>
    <t>https://i5.walmartimages.cl/asr/625fe92d-b8d8-44fd-849a-b8196c975b56.1364a84abcb514e4f8161745c7953d4b.jpeg?odnHeight=580&amp;odnWidth=580&amp;odnBg=FFFFFF</t>
  </si>
  <si>
    <t>https://i5.walmartimages.cl/asr/c956637a-1a8b-4d96-bc11-83655b485860.8026ff1b5724754a3d26dd5ff16d9263.jpeg?odnHeight=580&amp;odnWidth=580&amp;odnBg=FFFFFF</t>
  </si>
  <si>
    <t>https://i5.walmartimages.cl/asr/afd0b5cd-ada3-4afb-bebd-deec85ca137c.f84c1dd4f84bd6b735cc67f2ce207e43.jpeg?odnHeight=580&amp;odnWidth=580&amp;odnBg=FFFFFF</t>
  </si>
  <si>
    <t>Espinaca Bolsa, 280 g</t>
  </si>
  <si>
    <t>https://i5.walmartimages.cl/asr/35fb2373-ddd7-48cc-a39f-0435358d4dee.3edb7a9a212204bb369e12540b4a18cd.jpeg?odnHeight=580&amp;odnWidth=580&amp;odnBg=FFFFFF</t>
  </si>
  <si>
    <t>https://i5.walmartimages.cl/asr/0d5ee8ad-3ade-47ba-9fba-8ec3c8ac58f1.c2f7472433dfc0f10bb04450d4bd6df4.jpeg?odnHeight=580&amp;odnWidth=580&amp;odnBg=FFFFFF</t>
  </si>
  <si>
    <t>Papa Ox Malla, 1,5 kg</t>
  </si>
  <si>
    <t>https://i5.walmartimages.cl/asr/6861e6bd-07fb-4de4-bf01-9689e4628191.51fd7c65a58d496121a0f0c6c759817c.jpeg?null=&amp;odnHeight=580&amp;odnWidth=580&amp;odnBg=FFFFFF</t>
  </si>
  <si>
    <t>https://i5.walmartimages.cl/asr/455622bf-4599-46c8-b680-f11cfdb3f537.8821a6a9d31ac2e91be53430f61c9cff.jpeg?odnHeight=580&amp;odnWidth=580&amp;odnBg=FFFFFF</t>
  </si>
  <si>
    <t>Rúcula Hojas Bolsa, 150 gr</t>
  </si>
  <si>
    <t>https://i5.walmartimages.cl/asr/fcf394f4-5846-4531-b1ce-496ca7d37b21.1845f897c0fa9ebc288945c3ff97e5c8.jpeg?odnHeight=580&amp;odnWidth=580&amp;odnBg=FFFFFF</t>
  </si>
  <si>
    <t>https://i5.walmartimages.cl/asr/b721aa79-e5f0-42f2-86f4-ca509ce058a4.e0e520416276f2fb62fa8df3d633103e.jpeg?odnHeight=580&amp;odnWidth=580&amp;odnBg=FFFFFF</t>
  </si>
  <si>
    <t>Zapallo Butternut, 1 Un</t>
  </si>
  <si>
    <t>https://i5.walmartimages.cl/asr/b3b43ca1-fb05-4487-b4e5-5c6df573d5ec.37f79297d58ee523f29cb3119181ac02.jpeg?odnHeight=580&amp;odnWidth=580&amp;odnBg=FFFFFF</t>
  </si>
  <si>
    <t>Ciboulette Oriental Bolsa, 50 g</t>
  </si>
  <si>
    <t>https://i5.walmartimages.cl/asr/27c70d74-f31c-4ffe-8222-ce7c6d62d165.1b9f7a08ec3552fe58e1fb9a777e1d54.jpeg?odnHeight=580&amp;odnWidth=580&amp;odnBg=FFFFFF</t>
  </si>
  <si>
    <t>Pepino Alaska, 1 Un</t>
  </si>
  <si>
    <t>https://i5.walmartimages.cl/asr/779a19d1-13b0-4427-a2e4-18e972e41320.7462cefe6c32c26cabfea6a855bec662.jpeg?odnHeight=580&amp;odnWidth=580&amp;odnBg=FFFFFF</t>
  </si>
  <si>
    <t>Espinaca Baby Pote, 150 g</t>
  </si>
  <si>
    <t>https://i5.walmartimages.cl/asr/aa7d56dd-0911-437b-a57c-d636d1117a21.eb0b997ce81ed4937b09f0996763686d.jpeg?odnHeight=580&amp;odnWidth=580&amp;odnBg=FFFFFF</t>
  </si>
  <si>
    <t>Ensalada Zanahoria Juliana Bolsa, 180 g</t>
  </si>
  <si>
    <t>https://i5.walmartimages.cl/asr/8887b7e8-29d1-4e92-aad5-6bacd809ccdd.6e301f2c777c78f644b1bae250b82b82.jpeg?odnHeight=580&amp;odnWidth=580&amp;odnBg=FFFFFF</t>
  </si>
  <si>
    <t>Espinaca baby, 150 g</t>
  </si>
  <si>
    <t>https://i5.walmartimages.cl/asr/89ce73b1-6f82-40b5-9e07-ab35ac3dbf13.3d23c24f8d330e15858739aee70c1452.jpeg?odnHeight=580&amp;odnWidth=580&amp;odnBg=FFFFFF</t>
  </si>
  <si>
    <t>Apio Corazones Bolsa, 1 Un</t>
  </si>
  <si>
    <t>https://i5.walmartimages.cl/asr/c8746a4d-a89b-430e-ab8f-33f21aad793a.58c692ad6f63ed57ee980c600fa385d2.jpeg?odnHeight=580&amp;odnWidth=580&amp;odnBg=FFFFFF</t>
  </si>
  <si>
    <t>Ensalada Coleslaw Bolsa, 180 g</t>
  </si>
  <si>
    <t>https://i5.walmartimages.cl/asr/72711c0f-874b-4615-9c6f-e03632b04cb7.b9bf661b8c2a6a6016dc54253e7cbb90.jpeg?odnHeight=580&amp;odnWidth=580&amp;odnBg=FFFFFF</t>
  </si>
  <si>
    <t>Tomate Mix Cóctel Granel</t>
  </si>
  <si>
    <t>https://i5.walmartimages.cl/asr/475ecb33-fcca-410f-8fc0-77756c25f250.71e5e33d904fb5672bd1634b66dec649.jpeg?null=&amp;odnHeight=580&amp;odnWidth=580&amp;odnBg=FFFFFF</t>
  </si>
  <si>
    <t>https://i5.walmartimages.cl/asr/333e7647-7018-4f65-99b0-d5fca3e39977.a297c7e11e1eb14453dd7172dee8fad4.jpeg?odnHeight=580&amp;odnWidth=580&amp;odnBg=FFFFFF</t>
  </si>
  <si>
    <t>Lechuga Crespa Roja Bolsa, 1 Un</t>
  </si>
  <si>
    <t>https://i5.walmartimages.cl/asr/cd2ff945-bf8f-44af-8bb9-fb355b9dd2b8.0befc49c4cf58dc3608dc98617e14e05.jpeg?odnHeight=580&amp;odnWidth=580&amp;odnBg=FFFFFF</t>
  </si>
  <si>
    <t>Espinaca Picada Bolsa, 250 g</t>
  </si>
  <si>
    <t>https://i5.walmartimages.cl/asr/0b86c1db-fc6e-45ee-92bc-44058ec474ae.a71a4e528b75aac987c3c9bac1a05a65.jpeg?odnHeight=580&amp;odnWidth=580&amp;odnBg=FFFFFF</t>
  </si>
  <si>
    <t>Ajo Desgranado Malla, 150 g</t>
  </si>
  <si>
    <t>https://i5.walmartimages.cl/asr/6ac3c064-3cda-4351-b6e5-eee3981de406.30ff04d430f8d31073a616d81b81bc3c.jpeg?odnHeight=580&amp;odnWidth=580&amp;odnBg=FFFFFF</t>
  </si>
  <si>
    <t>Puerro, 1 Un</t>
  </si>
  <si>
    <t>https://i5.walmartimages.cl/asr/dda850a1-ea55-42e6-9d20-29db09667068.2f597bceb5d76da493797c551d48cedf.jpeg?odnHeight=580&amp;odnWidth=580&amp;odnBg=FFFFFF</t>
  </si>
  <si>
    <t>Ají Verde Bandeja, 125 g</t>
  </si>
  <si>
    <t>https://i5.walmartimages.cl/asr/5bf7a952-406b-40fb-a7d3-9a08bff4b488.da7eac1924ffccc9f8e842554b2894a5.jpeg?odnHeight=580&amp;odnWidth=580&amp;odnBg=FFFFFF</t>
  </si>
  <si>
    <t>Cebolla Tubular Trío Malla, 3 Un</t>
  </si>
  <si>
    <t>https://i5.walmartimages.cl/asr/f801f63d-6550-4002-9d93-5987492072c0.b927f94eb3acafbc943badbe0db05621.jpeg?odnHeight=580&amp;odnWidth=580&amp;odnBg=FFFFFF</t>
  </si>
  <si>
    <t>Lechuga Costina Bolsa, 2 Un</t>
  </si>
  <si>
    <t>https://i5.walmartimages.cl/asr/c9e1386a-3398-4fd4-a3a6-d3e78522d0c7.6d04ec4695fb2efdbff97f74162e67d5.jpeg?odnHeight=580&amp;odnWidth=580&amp;odnBg=FFFFFF</t>
  </si>
  <si>
    <t>Tomate Beef Granel</t>
  </si>
  <si>
    <t>https://i5.walmartimages.cl/asr/88649284-354d-418d-98a1-c64b9d468dd3.80e95b9827e9f55df47414fa68ef706d.jpeg?odnHeight=580&amp;odnWidth=580&amp;odnBg=FFFFFF</t>
  </si>
  <si>
    <t>Rúcula Baby Pote, 60 gr</t>
  </si>
  <si>
    <t>https://i5.walmartimages.cl/asr/593b4f38-db9e-4321-9b28-35ca952539c6.87c5823935e9276fca8248d108f6f4e8.jpeg?null=&amp;odnHeight=580&amp;odnWidth=580&amp;odnBg=FFFFFF</t>
  </si>
  <si>
    <t>Lechuga TRío Hidropónica Bolsa, 1 Un</t>
  </si>
  <si>
    <t>https://i5.walmartimages.cl/asr/69711c4b-56f5-4dd1-9088-083c5debc105.3391e2a4390dd2c80ac768741f781453.jpeg?odnHeight=580&amp;odnWidth=580&amp;odnBg=FFFFFF</t>
  </si>
  <si>
    <t>Ensalada Baby Leaf Pote, 150 gr</t>
  </si>
  <si>
    <t>https://i5.walmartimages.cl/asr/7ba85336-a1d1-4ded-ad81-52585b560133.ffabb143f155c99a83e8a56708693065.jpeg?odnHeight=580&amp;odnWidth=580&amp;odnBg=FFFFFF</t>
  </si>
  <si>
    <t>Ensalada Mix Toscana Bolsa, 180 g</t>
  </si>
  <si>
    <t>https://i5.walmartimages.cl/asr/94f76ba3-b664-4ed5-8422-b4f96b9d6abe.0402e1bfec000b8e34bc205d4b2df593.jpeg?odnHeight=580&amp;odnWidth=580&amp;odnBg=FFFFFF</t>
  </si>
  <si>
    <t>Espinaca, 200 g</t>
  </si>
  <si>
    <t>https://i5.walmartimages.cl/asr/a8c0f9f6-e159-427a-a34b-6ff85880ee59.2465e0e190873b86cc18d1d0ac051575.jpeg?odnHeight=580&amp;odnWidth=580&amp;odnBg=FFFFFF</t>
  </si>
  <si>
    <t>Ensalada napolitana, 300 g</t>
  </si>
  <si>
    <t>https://i5.walmartimages.cl/asr/9009435f-f9f2-48c3-a9ca-b9c378f78309.9fd6fa71c4a2fcdca9bfe325e2d5f5a9.jpeg?odnHeight=580&amp;odnWidth=580&amp;odnBg=FFFFFF</t>
  </si>
  <si>
    <t>Ensalada repollo blanco, 300 g</t>
  </si>
  <si>
    <t>https://i5.walmartimages.cl/asr/0aee0593-6a4d-4e80-a4af-0d08f2250dfa.2dde2c2a3a9b1be82790353ab506a1b7.jpeg?odnHeight=580&amp;odnWidth=580&amp;odnBg=FFFFFF</t>
  </si>
  <si>
    <t>Zanahoria juliana, 300 g</t>
  </si>
  <si>
    <t>https://i5.walmartimages.cl/asr/e591dd9f-f69a-4d3f-b0a1-62f8c354cb88.1ccd1b41d82c28edf32a6933b50f31e0.jpeg?odnHeight=580&amp;odnWidth=580&amp;odnBg=FFFFFF</t>
  </si>
  <si>
    <t>Zanahoria baby, 454 g</t>
  </si>
  <si>
    <t>https://i5.walmartimages.cl/asr/7b9d420f-a813-404d-884f-269db1c02322.a14d1b2975f697751232bd255abbe8a2.jpeg?odnHeight=580&amp;odnWidth=580&amp;odnBg=FFFFFF</t>
  </si>
  <si>
    <t>Rúcula baby, 150 g</t>
  </si>
  <si>
    <t>https://i5.walmartimages.cl/asr/1abd4a0d-c013-4a2a-bd69-779d9dd043cd.676c10266aee8ab5898878db65994cf7.jpeg?odnHeight=580&amp;odnWidth=580&amp;odnBg=FFFFFF</t>
  </si>
  <si>
    <t>Chucrut Fermentado Verdes Vivos Frasco, 400 g</t>
  </si>
  <si>
    <t>https://i5.walmartimages.cl/asr/2d325131-7930-45f0-9767-4afd31db7dc9.3760a3e859d9eb0080dc874013b80b62.jpeg?null=&amp;odnHeight=580&amp;odnWidth=580&amp;odnBg=FFFFFF</t>
  </si>
  <si>
    <t>Chucrut Fermentado Raices Nobles Frasco, 400 g</t>
  </si>
  <si>
    <t>https://i5.walmartimages.cl/asr/1af58ec6-4db3-442b-9d13-2d72f36a801d.f4fff86004e4021c194c1d04693ab984.jpeg?null=&amp;odnHeight=580&amp;odnWidth=580&amp;odnBg=FFFFFF</t>
  </si>
  <si>
    <t>Lechuga Roble Verde Pote, 150 g</t>
  </si>
  <si>
    <t>https://i5.walmartimages.cl/asr/c4dde834-d22d-4c9d-abd7-5260a77ef58f.a9d61f9cc879aa579055efde379fa822.jpeg?odnHeight=580&amp;odnWidth=580&amp;odnBg=FFFFFF</t>
  </si>
  <si>
    <t>Mix de Verduras Surtido Pote, 150 g</t>
  </si>
  <si>
    <t>https://i5.walmartimages.cl/asr/b9983881-9509-46f3-92a0-76b8fbecabe2.f382dd272c988678c158310510be3c9a.jpeg?odnHeight=580&amp;odnWidth=580&amp;odnBg=FFFFFF</t>
  </si>
  <si>
    <t>Pimentones Mini Pote, 200 gr</t>
  </si>
  <si>
    <t>https://i5.walmartimages.cl/asr/4f1658af-bb82-4e44-9e03-b22c836c80fa.7cce6efaadbc8e159898637b7273e975.jpeg?null=&amp;odnHeight=580&amp;odnWidth=580&amp;odnBg=FFFFFF</t>
  </si>
  <si>
    <t>Chucrut Fermentado Clasico Purpura Pote, 400 g</t>
  </si>
  <si>
    <t>https://i5.walmartimages.cl/asr/2bb4437a-6ec9-48e0-a834-714cce1a46ee.697f7820f2301b0b13725de78695b6ca.jpeg?null=&amp;odnHeight=580&amp;odnWidth=580&amp;odnBg=FFFFFF</t>
  </si>
  <si>
    <t>Mix de Vegetales Kimchi Frasco, 400 g</t>
  </si>
  <si>
    <t>https://i5.walmartimages.cl/asr/edbdd4fe-7058-40f8-b4c8-4d45ddf42c3b.3175e3df0c3d72e5e2289845992284a0.jpeg?null=&amp;odnHeight=580&amp;odnWidth=580&amp;odnBg=FFFFFF</t>
  </si>
  <si>
    <t>Kale Baby Bolsa, 150 g</t>
  </si>
  <si>
    <t>https://i5.walmartimages.cl/asr/8c24717d-4c2d-41d9-b570-ac2b9fca9ecf.7ac2374f299e11edbcbb2625f994aa0d.jpeg?odnHeight=580&amp;odnWidth=580&amp;odnBg=FFFFFF</t>
  </si>
  <si>
    <t>Tomate Triple Tasty Cocktail Pote, 500 gr</t>
  </si>
  <si>
    <t>https://i5.walmartimages.cl/asr/ef05c852-55bb-44b1-89c7-19f549facccb.0136e4e780f9c301ae4ef27dac965ae3.jpeg?odnHeight=580&amp;odnWidth=580&amp;odnBg=FFFFFF</t>
  </si>
  <si>
    <t>Ensalada Cesar Bolsa, 300 gr</t>
  </si>
  <si>
    <t>https://i5.walmartimages.cl/asr/b1d44db3-de53-462f-b48a-e957ef422335.491a53b46d8573ae69306bc4f771d001.jpeg?odnHeight=580&amp;odnWidth=580&amp;odnBg=FFFFFF</t>
  </si>
  <si>
    <t>Albahaca Orgánica, 1 Un</t>
  </si>
  <si>
    <t>https://i5.walmartimages.cl/asr/0ee2f0fa-07fa-49e4-9f01-e8fa76936349.640e965f7c7da1c5807d70eb1461a91b.jpeg?null=&amp;odnHeight=580&amp;odnWidth=580&amp;odnBg=FFFFFF</t>
  </si>
  <si>
    <t>Cilantro Orgánico, 1 Un</t>
  </si>
  <si>
    <t>https://i5.walmartimages.cl/asr/e77f73de-d360-4569-9c7f-69b5bc87a73e.931172b96b528929460cd60f7191b8aa.jpeg?null=&amp;odnHeight=580&amp;odnWidth=580&amp;odnBg=FFFFFF</t>
  </si>
  <si>
    <t>Luche Bolsa, 30 gr</t>
  </si>
  <si>
    <t>https://i5.walmartimages.cl/asr/cc8d7095-b27b-43dc-bc73-6596d51253fa.4501c86b823f3a144f404ce6bde2155b.jpeg?odnHeight=580&amp;odnWidth=580&amp;odnBg=FFFFFF</t>
  </si>
  <si>
    <t>Zapallo Picado Orgánico Bolsa, 500 gr</t>
  </si>
  <si>
    <t>https://i5.walmartimages.cl/asr/7fe3ebac-7998-4d30-8d4e-48db0cb1a94c.69f7f5f96d6c65599fe375c9fda1e6cb.jpeg?odnHeight=580&amp;odnWidth=580&amp;odnBg=FFFFFF</t>
  </si>
  <si>
    <t>Crutones Estilo César Bolsa, 80 g</t>
  </si>
  <si>
    <t>https://i5.walmartimages.cl/asr/814babec-6fbc-447c-ac31-3a3e4e3869c1.ed7515d26dbe7bd077dcc276275101e8.jpeg?null=&amp;odnHeight=580&amp;odnWidth=580&amp;odnBg=FFFFFF</t>
  </si>
  <si>
    <t>Cebolla Blanca Malla, 1 Kg</t>
  </si>
  <si>
    <t>https://i5.walmartimages.cl/asr/cbe6d996-267a-4e8f-96c7-d052f14c5f27.22c881ed9712df2033440737fa7f6af0.jpeg?odnHeight=580&amp;odnWidth=580&amp;odnBg=FFFFFF</t>
  </si>
  <si>
    <t>Papa Topinambur Pote., 250 gr</t>
  </si>
  <si>
    <t>https://i5.walmartimages.cl/asr/ae6a9059-f486-465c-8aad-3a168792dfe9.b54d521619c41e6831c61c27d359404a.jpeg?odnHeight=580&amp;odnWidth=580&amp;odnBg=FFFFFF</t>
  </si>
  <si>
    <t>Rúcula Orgánica Bolsa, 200 g</t>
  </si>
  <si>
    <t>https://i5.walmartimages.cl/asr/f39c97a9-d80b-4722-9485-7c5e122b4fff.e12e75f574b0f4706cde063d138cdd1f.jpeg?null=&amp;odnHeight=580&amp;odnWidth=580&amp;odnBg=FFFFFF</t>
  </si>
  <si>
    <t>Lechuga Corazones de Tudela Pote, 600 g</t>
  </si>
  <si>
    <t>https://i5.walmartimages.cl/asr/891f64cb-45a3-4aec-91d3-5173925bc317.a3cfd70797f0ea27637cd726e8ee7158.jpeg?odnHeight=580&amp;odnWidth=580&amp;odnBg=FFFFFF</t>
  </si>
  <si>
    <t>Cochayuyo Bolsa, 80 gr</t>
  </si>
  <si>
    <t>https://i5.walmartimages.cl/asr/4348d754-bf32-4552-9741-ff26da3dee99.89f43890fcdae81790b503ee65c43121.jpeg?odnHeight=580&amp;odnWidth=580&amp;odnBg=FFFFFF</t>
  </si>
  <si>
    <t>https://i5.walmartimages.cl/asr/97dbb37b-866a-4f54-b4a2-afeee9b04039.214196a639b692e4300cb895203a1ae0.jpeg?odnHeight=580&amp;odnWidth=580&amp;odnBg=FFFFFF</t>
  </si>
  <si>
    <t>Cúrcuma Pote, 100 g</t>
  </si>
  <si>
    <t>https://i5.walmartimages.cl/asr/d6816cdd-ec71-4cae-981a-16ba4b8191bc.baf07445c9a27819eba5b0ed724cafbc.jpeg?odnHeight=580&amp;odnWidth=580&amp;odnBg=FFFFFF</t>
  </si>
  <si>
    <t>Champiñones Portobello Laminados Bandeja, 200 g</t>
  </si>
  <si>
    <t>https://i5.walmartimages.cl/asr/1ae984d1-7a8b-47a6-be30-9ddd3a1af9a1.ac6c8fc2cdc39f5c89f383e6bb3cf4b6.jpeg?odnHeight=580&amp;odnWidth=580&amp;odnBg=FFFFFF</t>
  </si>
  <si>
    <t>Champiñones Portobello Pote, 400 g</t>
  </si>
  <si>
    <t>https://i5.walmartimages.cl/asr/134feb56-a298-4a21-a1b4-7eb1e4749ea5.79cb97e043ffa67d5f139aa675987759.jpeg?odnHeight=580&amp;odnWidth=580&amp;odnBg=FFFFFF</t>
  </si>
  <si>
    <t>Acelga Roja Organica Bolsa, 700 g</t>
  </si>
  <si>
    <t>https://i5.walmartimages.cl/asr/bdb12923-5841-436d-83e8-e724fb371c9e.64901777df39c801fc792bea9f5ac411.jpeg?odnHeight=580&amp;odnWidth=580&amp;odnBg=FFFFFF</t>
  </si>
  <si>
    <t>Flores Comestibles Pote, 30 gr</t>
  </si>
  <si>
    <t>https://i5.walmartimages.cl/asr/3b21bfbf-374b-454f-9469-43395dbbbedc.bfe5a9d4ab1ebca53621e8c4b3f3ec6f.jpeg?odnHeight=580&amp;odnWidth=580&amp;odnBg=FFFFFF</t>
  </si>
  <si>
    <t>Pak Choi, 400 gr</t>
  </si>
  <si>
    <t>https://i5.walmartimages.cl/asr/cd79a0d0-76f5-47b9-8a4f-680a0c0332b4.f521911fb89cfcffd21e9c0810a5a677.jpeg?odnHeight=580&amp;odnWidth=580&amp;odnBg=FFFFFF</t>
  </si>
  <si>
    <t>Tomate Regy Cocktail Pote, 250 gr</t>
  </si>
  <si>
    <t>https://i5.walmartimages.cl/asr/38220c80-fe85-44da-9784-d8b7eb44a3d4.54a54483d160cc00b89d45e1afc850bb.jpeg?odnHeight=580&amp;odnWidth=580&amp;odnBg=FFFFFF</t>
  </si>
  <si>
    <t>Champiñones Ostra Bandeja, 200 g</t>
  </si>
  <si>
    <t>https://i5.walmartimages.cl/asr/b3f5b7cd-cd4d-4882-b894-8ca7d675f596.c1d7777baa6ea6be2d862e5259cec7a5.jpeg?odnHeight=580&amp;odnWidth=580&amp;odnBg=FFFFFF</t>
  </si>
  <si>
    <t>Cebolla Cubo Pote, 200 gr</t>
  </si>
  <si>
    <t>https://i5.walmartimages.cl/asr/3b47e714-cf5a-4be0-8613-16be49acb708.2eb4fe338ad51f96e9bbe47c40012148.jpeg?odnHeight=580&amp;odnWidth=580&amp;odnBg=FFFFFF</t>
  </si>
  <si>
    <t>Chapsui Col Bandeja, 1 Un</t>
  </si>
  <si>
    <t>https://i5.walmartimages.cl/asr/47ea8e85-b846-49ee-afbd-68cfd97b3bea.e78a70d8dfc78417fbce79c7bcb6dfb1.jpeg?odnHeight=580&amp;odnWidth=580&amp;odnBg=FFFFFF</t>
  </si>
  <si>
    <t>Tomate Berry Cocktail Pote, 250 g</t>
  </si>
  <si>
    <t>https://i5.walmartimages.cl/asr/e68c43b1-47dc-450b-9993-03fa0e06e19e.a4a66ed1988bdb265277e15a46d72235.jpeg?odnHeight=580&amp;odnWidth=580&amp;odnBg=FFFFFF</t>
  </si>
  <si>
    <t>Champiñon Ostra Bandeja, 300 g</t>
  </si>
  <si>
    <t>https://i5.walmartimages.cl/asr/cd7d91aa-06b0-406d-883e-4dcd3ccd59cd.b1e16dbcae36e23b0c2a261e543d7b3c.jpeg?odnHeight=580&amp;odnWidth=580&amp;odnBg=FFFFFF</t>
  </si>
  <si>
    <t>Ensalada Apio Juliana Bolsa, 300 gr</t>
  </si>
  <si>
    <t>https://i5.walmartimages.cl/asr/0be44c51-290b-4a14-910c-7bb580f36a92.a39ffa4007e45d2c48c5286f10246fc0.jpeg?odnHeight=580&amp;odnWidth=580&amp;odnBg=FFFFFF</t>
  </si>
  <si>
    <t>Papa cocida bolsa, 500 g</t>
  </si>
  <si>
    <t>https://i5.walmartimages.cl/asr/2dcde29d-1850-40bc-9be8-030285808758.fec49da6e7e19f1c95198773cba1b40e.jpeg?odnHeight=580&amp;odnWidth=580&amp;odnBg=FFFFFF</t>
  </si>
  <si>
    <t>Ensalada Lechuga Escarola Bolsa, 300 g</t>
  </si>
  <si>
    <t>https://i5.walmartimages.cl/asr/b6362e98-51e2-4f98-8f23-98a04b3513dd.ccbf5238d4a537a6838e0e3bf34a5839.jpeg?odnHeight=580&amp;odnWidth=580&amp;odnBg=FFFFFF</t>
  </si>
  <si>
    <t>Hierba Buena Pote, 1 Un</t>
  </si>
  <si>
    <t>https://i5.walmartimages.cl/asr/6803a7e3-7307-4f9d-9357-887f3d6ea4b0.6b8326ab837212bd6af62aab814e6ab1.jpeg?odnHeight=580&amp;odnWidth=580&amp;odnBg=FFFFFF</t>
  </si>
  <si>
    <t>https://i5.walmartimages.cl/asr/2de8cf0e-304e-4b61-bae8-37d363168408.cf2191069c3a76f2101512a2e3a3cba4.jpeg?odnHeight=580&amp;odnWidth=580&amp;odnBg=FFFFFF</t>
  </si>
  <si>
    <t>https://i5.walmartimages.cl/asr/8dd937fc-b867-415e-af86-1ff44eb7db84.e32b2b7e16dc5bff917bcdb975727ab1.jpeg?odnHeight=580&amp;odnWidth=580&amp;odnBg=FFFFFF</t>
  </si>
  <si>
    <t>Sofrito Pote, 200 g</t>
  </si>
  <si>
    <t>https://i5.walmartimages.cl/asr/90f0a290-5f96-43f4-8f28-016bd2386687.b676bc77ea4e0d619bddba6029b1cd06.jpeg?odnHeight=580&amp;odnWidth=580&amp;odnBg=FFFFFF</t>
  </si>
  <si>
    <t>https://i5.walmartimages.cl/asr/70d488da-9d5c-4772-9e56-c0270c407bb5.65ed0aa28775f22f3734c88b0acd307a.jpeg?odnHeight=580&amp;odnWidth=580&amp;odnBg=FFFFFF</t>
  </si>
  <si>
    <t>Mix de Verduras Pote, 500 g</t>
  </si>
  <si>
    <t>https://i5.walmartimages.cl/asr/f22cd832-c44e-4993-871d-37c6dc6a3cd1.230b20c33c272f8e2d09697bde5f1c79.jpeg?odnHeight=580&amp;odnWidth=580&amp;odnBg=FFFFFF</t>
  </si>
  <si>
    <t>Apio Zanahoria Bolsa, 300 g</t>
  </si>
  <si>
    <t>https://i5.walmartimages.cl/asr/9cf5d0ff-d82a-4cfd-8360-4b3e890e0aa8.4eaa5bb8a1b53e57e72d1d691ebe9b05.jpeg?null=&amp;odnHeight=580&amp;odnWidth=580&amp;odnBg=FFFFFF</t>
  </si>
  <si>
    <t>Diente de Dragón Bolsa, 250 gr</t>
  </si>
  <si>
    <t>https://i5.walmartimages.cl/asr/a7250332-e932-497f-b096-ebd8f393bd8b.f29c47ab84608024f2aff86e820c06ca.jpeg?odnHeight=580&amp;odnWidth=580&amp;odnBg=FFFFFF</t>
  </si>
  <si>
    <t>https://i5.walmartimages.cl/asr/598e7117-bd6e-4599-9f92-65c64504ddeb.3697b06a9b04953471c021fc3a132a1d.jpeg?odnHeight=580&amp;odnWidth=580&amp;odnBg=FFFFFF</t>
  </si>
  <si>
    <t>Endibia Bandeja, 500 gr</t>
  </si>
  <si>
    <t>https://i5.walmartimages.cl/asr/9612ad94-4842-4eb6-b91a-1d97511e0feb.afeb50cb4ff07a12b74cbfb9c45aaf6a.jpeg?odnHeight=580&amp;odnWidth=580&amp;odnBg=FFFFFF</t>
  </si>
  <si>
    <t>Apio juliana bolsa, 300 g</t>
  </si>
  <si>
    <t>https://i5.walmartimages.cl/asr/2d9f8e7c-3f33-4e10-8024-ad38225fc974.8762166b90f7e64ab0ab260818755e65.jpeg?odnHeight=580&amp;odnWidth=580&amp;odnBg=FFFFFF</t>
  </si>
  <si>
    <t>Ensalada Sunflower Crunch Bolsa, 350 g</t>
  </si>
  <si>
    <t>https://i5.walmartimages.cl/asr/775c8666-6e94-45fe-b7bf-2c568283e5a0.95db7e685eb097b1d4cfac4d2393aa1b.jpeg?null=&amp;odnHeight=580&amp;odnWidth=580&amp;odnBg=FFFFFF</t>
  </si>
  <si>
    <t>Ensalada Repollo Blanco Bolsa, 300 g</t>
  </si>
  <si>
    <t>https://i5.walmartimages.cl/asr/0ad007bd-a2bf-4dcc-9a28-675398e465ad.939b6df5adcaa7f8850abafbf6297d28.jpeg?odnHeight=580&amp;odnWidth=580&amp;odnBg=FFFFFF</t>
  </si>
  <si>
    <t>Kale Bolsa, 300 g</t>
  </si>
  <si>
    <t>https://i5.walmartimages.cl/asr/441498b2-d072-4f87-a468-2686eca363cc.8796b51e4a2ff44686ea500ba730f0a2.jpeg?odnHeight=580&amp;odnWidth=580&amp;odnBg=FFFFFF</t>
  </si>
  <si>
    <t>Cebolla Crujientes Ligeramente Saladas Bolsa, 80 g</t>
  </si>
  <si>
    <t>https://i5.walmartimages.cl/asr/03112ec6-a1be-4f4b-801d-af89ae67fac3.a62031d17299b7f6e3fcab80fba24530.jpeg?null=&amp;odnHeight=580&amp;odnWidth=580&amp;odnBg=FFFFFF</t>
  </si>
  <si>
    <t>Tomate Racimo Granel.</t>
  </si>
  <si>
    <t>https://i5.walmartimages.cl/asr/f5d50858-a239-4b29-b6d2-89ab11325ef0.182649ef201e1d5e336b9bcd4091f968.jpeg?odnHeight=580&amp;odnWidth=580&amp;odnBg=FFFFFF</t>
  </si>
  <si>
    <t>Albahaca Baby Pote, 60 gr</t>
  </si>
  <si>
    <t>https://i5.walmartimages.cl/asr/3db41098-11ba-4d57-ab01-cb4947af40b4.5d8f11ec7d3bf29028e5c122e4e81d1f.jpeg?odnHeight=580&amp;odnWidth=580&amp;odnBg=FFFFFF</t>
  </si>
  <si>
    <t>Brotes de Alfalfa Bandeja, 150 gr</t>
  </si>
  <si>
    <t>https://i5.walmartimages.cl/asr/a31b72e8-0143-47d3-9bf3-2568966014a5.ae3509ae641f5ab664fe9aa7ab521c70.jpeg?odnHeight=580&amp;odnWidth=580&amp;odnBg=FFFFFF</t>
  </si>
  <si>
    <t>Ensalada Salad Kit Asiática Bolsa, 300 g</t>
  </si>
  <si>
    <t>https://i5.walmartimages.cl/asr/4a3264ce-676a-447e-9104-d099de5185b0.9929c3596675d4449c70541fba5edc74.jpeg?null=&amp;odnHeight=580&amp;odnWidth=580&amp;odnBg=FFFFFF</t>
  </si>
  <si>
    <t>Salsa Verde Pote, 200 g</t>
  </si>
  <si>
    <t>https://i5.walmartimages.cl/asr/686c43d2-9f15-48b3-9495-5008caf098e0.0f4d004df0b69fcd6bd8734a74f17311.jpeg?odnHeight=580&amp;odnWidth=580&amp;odnBg=FFFFFF</t>
  </si>
  <si>
    <t>Brotes de Arveja Bandeja, 150 gr</t>
  </si>
  <si>
    <t>https://i5.walmartimages.cl/asr/0b869194-f44b-434a-b5f6-78e4686b034f.f71d72a58a296b08c3d7778b3b5469eb.jpeg?odnHeight=580&amp;odnWidth=580&amp;odnBg=FFFFFF</t>
  </si>
  <si>
    <t>Perejil Crespo Bolsa, 30 gr</t>
  </si>
  <si>
    <t>https://i5.walmartimages.cl/asr/618d4afd-38e2-46ff-bdc4-f871a5bf7e8d.3babc10aab982ace56b139859696a9ee.jpeg?null=&amp;odnHeight=580&amp;odnWidth=580&amp;odnBg=FFFFFF</t>
  </si>
  <si>
    <t>Porotos Granados a Granel</t>
  </si>
  <si>
    <t>https://i5.walmartimages.cl/asr/eb53aabb-f3a3-41dc-a77a-2491e73629b5.aa5e0c259fd04b90d6ce41df98a218b5.jpeg?odnHeight=580&amp;odnWidth=580&amp;odnBg=FFFFFF</t>
  </si>
  <si>
    <t>Romero Pote, 1 Un</t>
  </si>
  <si>
    <t>https://i5.walmartimages.cl/asr/2de26590-b651-4f5e-8968-f5a549597e9c.a82ed26ea44f758c3e26ed50c2ae4a0c.jpeg?null=&amp;odnHeight=580&amp;odnWidth=580&amp;odnBg=FFFFFF</t>
  </si>
  <si>
    <t>Lechuga Milanesa Bolsa, 1 Un</t>
  </si>
  <si>
    <t>https://i5.walmartimages.cl/asr/d3d65db7-aa3d-45ea-9e39-10ec0580b0d2.a0ff0a0c6864670a6d9a40f933b10912.jpeg?odnHeight=580&amp;odnWidth=580&amp;odnBg=FFFFFF</t>
  </si>
  <si>
    <t>Cochayuyo Malla, 1 Un</t>
  </si>
  <si>
    <t>https://i5.walmartimages.cl/asr/4027ef4b-36fe-47ab-a200-4c47f6eb0851.8c81896305e0b96c6da316eaceb10dfa.jpeg?odnHeight=580&amp;odnWidth=580&amp;odnBg=FFFFFF</t>
  </si>
  <si>
    <t>Pebre Listo Con Aceite Vegetal Pote, 250 g</t>
  </si>
  <si>
    <t>https://i5.walmartimages.cl/asr/92c0a199-7c65-45c2-a3fe-4043ad9159f2.9376addb6ee732db87555077eaeeb602.jpeg?odnHeight=580&amp;odnWidth=580&amp;odnBg=FFFFFF</t>
  </si>
  <si>
    <t>Ensalada Salad Kit César Bolsa, 250 g</t>
  </si>
  <si>
    <t>https://i5.walmartimages.cl/asr/378396c7-19f7-46d2-8bf6-8880e67e63bf.354742b8c8e9e82e98ecf67814151931.jpeg?null=&amp;odnHeight=580&amp;odnWidth=580&amp;odnBg=FFFFFF</t>
  </si>
  <si>
    <t>Choclo cocido bolsa, 500 g</t>
  </si>
  <si>
    <t>https://i5.walmartimages.cl/asr/5ae4da96-1a4a-454b-9679-a0cfb32d85ef.91582e22e31c9e9327c8dcee21b66a97.jpeg?odnHeight=580&amp;odnWidth=580&amp;odnBg=FFFFFF</t>
  </si>
  <si>
    <t>Mix de Verduras y Hortalizas Italiano Pote, 150 g</t>
  </si>
  <si>
    <t>https://i5.walmartimages.cl/asr/14ef44f0-2a9a-4efe-bab4-22498b6c4d9d.d1646bf3b906621d1adcfba44c473c83.jpeg?odnHeight=580&amp;odnWidth=580&amp;odnBg=FFFFFF</t>
  </si>
  <si>
    <t>Lechuga Salanova Hojas Pote, 150 g</t>
  </si>
  <si>
    <t>https://i5.walmartimages.cl/asr/6d9e32bf-c2a9-43df-b213-4db95d24c697.e65af4f0bb0426ecb8d357f8862bedda.jpeg?odnHeight=580&amp;odnWidth=580&amp;odnBg=FFFFFF</t>
  </si>
  <si>
    <t>https://i5.walmartimages.cl/asr/69c12828-d674-441d-aa7e-f5cc202e0274.d8ad88d02f3a63789acdcb145dee1d2a.jpeg?odnHeight=580&amp;odnWidth=580&amp;odnBg=FFFFFF</t>
  </si>
  <si>
    <t>Apio Media Luna Bolsa, 600 g</t>
  </si>
  <si>
    <t>https://i5.walmartimages.cl/asr/a744e301-5814-444a-be11-6a3a9cfe892d.e520f017c3af7d443ae61008e0e9fe6e.jpeg?odnHeight=580&amp;odnWidth=580&amp;odnBg=FFFFFF</t>
  </si>
  <si>
    <t>Laurel Pote, 1 Un</t>
  </si>
  <si>
    <t>https://i5.walmartimages.cl/asr/3e6431a8-949f-477c-9903-26b507783227.9fd303703531163c88f57ed926067b58.jpeg?odnHeight=580&amp;odnWidth=580&amp;odnBg=FFFFFF</t>
  </si>
  <si>
    <t>Betarraga Malla Imperfecta, 1,5 kg</t>
  </si>
  <si>
    <t>https://i5.walmartimages.cl/asr/8f79cef3-7cdc-417f-b3ca-5aebbef246a7.12f0dca5ce5a19286f1379df10c59c08.jpeg?null=&amp;odnHeight=580&amp;odnWidth=580&amp;odnBg=FFFFFF</t>
  </si>
  <si>
    <t>Ensalada Mixta Bolsa, 600 gr</t>
  </si>
  <si>
    <t>https://i5.walmartimages.cl/asr/1d9d8ce0-93fa-4b0a-8480-738b18e5923b.75a15a5f7f8220a9deb0d8f9881fba2c.jpeg?odnHeight=580&amp;odnWidth=580&amp;odnBg=FFFFFF</t>
  </si>
  <si>
    <t>Zapallo Trozo Orgánico Bolsa, 500 gr</t>
  </si>
  <si>
    <t>https://i5.walmartimages.cl/asr/ecdc6758-773f-4b80-8525-d7a336200915.4e2b6e38adf13f2ec3fc1022e499d34c.jpeg?odnHeight=580&amp;odnWidth=580&amp;odnBg=FFFFFF</t>
  </si>
  <si>
    <t>Zanahoria Orgánica Bolsa, 1 kg</t>
  </si>
  <si>
    <t>https://i5.walmartimages.cl/asr/e27d885f-d9d0-406d-91c7-445205b4aa47.ab91ddf075e759249ffa23d64017d296.jpeg?null=&amp;odnHeight=580&amp;odnWidth=580&amp;odnBg=FFFFFF</t>
  </si>
  <si>
    <t>Ensalada Coleslaw Bolsa, 300 g</t>
  </si>
  <si>
    <t>https://i5.walmartimages.cl/asr/b4663f0f-7c77-43b6-ab6b-71e4da4dbc7a.fbb87028fd80313753c334c64748ff98.jpeg?odnHeight=580&amp;odnWidth=580&amp;odnBg=FFFFFF</t>
  </si>
  <si>
    <t>Ensalada Salad Kit Coleslaw Bolsa, 300 g</t>
  </si>
  <si>
    <t>https://i5.walmartimages.cl/asr/b8e594e7-b800-4141-be52-fe7606f9c7b2.fb286ca05713bad35e8f16ac69abaf2d.jpeg?null=&amp;odnHeight=580&amp;odnWidth=580&amp;odnBg=FFFFFF</t>
  </si>
  <si>
    <t>Ensalada Toscana Dole, 300 g</t>
  </si>
  <si>
    <t>https://i5.walmartimages.cl/asr/5f52e9fe-7328-401d-a230-6992e3ad5ad9.507b4a77775d10f0b6389e935e36a2f0.jpeg?odnHeight=580&amp;odnWidth=580&amp;odnBg=FFFFFF</t>
  </si>
  <si>
    <t>https://i5.walmartimages.cl/asr/a8517a9b-f898-4a18-9733-2c292b76bde6.3cfe1a7bb61e6d45896d3aef2b438b9d.jpeg?odnHeight=580&amp;odnWidth=580&amp;odnBg=FFFFFF</t>
  </si>
  <si>
    <t>Ají Ahumado Pote, 50 g</t>
  </si>
  <si>
    <t>https://i5.walmartimages.cl/asr/93db18ce-e006-4c6d-a0cf-974ed2645384.3cffa5be97a08fbc0f087816fa1bcc92.jpeg?odnHeight=580&amp;odnWidth=580&amp;odnBg=FFFFFF</t>
  </si>
  <si>
    <t>Ají Verde Malla Imperfecto, 5 Un</t>
  </si>
  <si>
    <t>https://i5.walmartimages.cl/asr/432a3eb2-1e1b-4d6c-94c9-f0fa419be3d6.5f52410d5fd26b40283f0809cc7e0596.jpeg?odnHeight=580&amp;odnWidth=580&amp;odnBg=FFFFFF</t>
  </si>
  <si>
    <t>Ají Habanero Mix Colores Pote, 100 g</t>
  </si>
  <si>
    <t>https://i5.walmartimages.cl/asr/476fae6a-b217-4956-98e2-73a82ba14738.284cabb7aa83a7f4ef85022ba19ec7fd.jpeg?null=&amp;odnHeight=580&amp;odnWidth=580&amp;odnBg=FFFFFF</t>
  </si>
  <si>
    <t>Ensalada Zanahoria Rallada Bolsa, 300 gr</t>
  </si>
  <si>
    <t>https://i5.walmartimages.cl/asr/a308de91-2f35-4929-88fa-26054c1ff387.3057cb077e8581f75859d9fb4f3a360e.jpeg?odnHeight=580&amp;odnWidth=580&amp;odnBg=FFFFFF</t>
  </si>
  <si>
    <t>Tomillo Pote, 1 Un</t>
  </si>
  <si>
    <t>https://i5.walmartimages.cl/asr/b408f332-be74-4aec-9040-9dceec8d742d.b243b019aeffec0d08cbea8a6e702826.jpeg?odnHeight=580&amp;odnWidth=580&amp;odnBg=FFFFFF</t>
  </si>
  <si>
    <t>Champiñones Eryngii Bandeja, 100 g</t>
  </si>
  <si>
    <t>https://i5.walmartimages.cl/asr/b9742156-070d-4be1-8c56-024bc181c04e.7f2aa46eeb5370b4c8127cffed16ef03.jpeg?null=&amp;odnHeight=580&amp;odnWidth=580&amp;odnBg=FFFFFF</t>
  </si>
  <si>
    <t>Champiñon Selección Bandeja, 200 g</t>
  </si>
  <si>
    <t>https://i5.walmartimages.cl/asr/fccd88b8-69dc-4bfa-bf2e-c0bc03dc5ca1.eeba681117e915fd85541884cf8382ad.jpeg?odnHeight=580&amp;odnWidth=580&amp;odnBg=FFFFFF</t>
  </si>
  <si>
    <t>Salsa Verde Pote, 200 gr</t>
  </si>
  <si>
    <t>https://i5.walmartimages.cl/asr/36157011-7957-45ce-bcb4-5a2613d18599.77b3786c4cfef2cb86366d9ad3309b73.jpeg?odnHeight=580&amp;odnWidth=580&amp;odnBg=FFFFFF</t>
  </si>
  <si>
    <t>Betarraga Corte Noodle Bandeja, 250 g</t>
  </si>
  <si>
    <t>https://i5.walmartimages.cl/asr/4b1e5a3a-29bc-4186-b77e-9cad81afaedf.633df8fa2a67f5783c5464685f281671.jpeg?odnHeight=580&amp;odnWidth=580&amp;odnBg=FFFFFF</t>
  </si>
  <si>
    <t>Ají Cacho de Cabra Bolsa, 60 g</t>
  </si>
  <si>
    <t>https://i5.walmartimages.cl/asr/8d02a672-34d2-461e-9ed5-dfbf79d748c1.d79905d12a3881eb60d1e586284fe7ae.jpeg?odnHeight=580&amp;odnWidth=580&amp;odnBg=FFFFFF</t>
  </si>
  <si>
    <t>Nectarín Importado Granel</t>
  </si>
  <si>
    <t>https://jumbocl.vteximg.com.br/arquivos/ids/352981-250-250/977515.jpg?v=638776695489130000</t>
  </si>
  <si>
    <t>https://jumbocl.vteximg.com.br/arquivos/ids/350892-250-250/Platano-granel.jpg?v=638776683161100000</t>
  </si>
  <si>
    <t>Palta Hass Extra Chilena (2 un. Aprox)</t>
  </si>
  <si>
    <t>https://jumbocl.vteximg.com.br/arquivos/ids/348021-250-250/Palta-Hass-Extra-Chilena-granel.jpg?v=638784526059170000</t>
  </si>
  <si>
    <t>Papa Malla 2 kg</t>
  </si>
  <si>
    <t>https://jumbocl.vteximg.com.br/arquivos/ids/348025-250-250/Papa-malla-2-kg.jpg?v=638776479317000000</t>
  </si>
  <si>
    <t>Limón Malla 1 kg</t>
  </si>
  <si>
    <t>https://jumbocl.vteximg.com.br/arquivos/ids/348018-250-250/Limon-malla-1-kg.jpg?v=638776479219900000</t>
  </si>
  <si>
    <t>https://jumbocl.vteximg.com.br/arquivos/ids/348022-250-250/Palta-hass-malla-1-kg.jpg?v=638776479276530000</t>
  </si>
  <si>
    <t>Zanahoria Bolsa 1 kg</t>
  </si>
  <si>
    <t>https://jumbocl.vteximg.com.br/arquivos/ids/348051-250-250/Zanahoria-bolsa-1-kg.jpg?v=638776479671400000</t>
  </si>
  <si>
    <t>https://jumbocl.vteximg.com.br/arquivos/ids/355100-250-250/Champi%C3%B1on-bandeja-200-g.jpg?v=638776705195000000</t>
  </si>
  <si>
    <t>https://jumbocl.vteximg.com.br/arquivos/ids/348057-250-250/Zapallo-italiano-un.jpg?v=638776479756130000</t>
  </si>
  <si>
    <t>https://jumbocl.vteximg.com.br/arquivos/ids/297810-250-250/Tomate-granel.jpg?v=638775743642170000</t>
  </si>
  <si>
    <t>https://jumbocl.vteximg.com.br/arquivos/ids/348029-250-250/Pepino-ensalada-un.jpg?v=638776479365130000</t>
  </si>
  <si>
    <t>https://jumbocl.vteximg.com.br/arquivos/ids/347994-250-250/Brocoli-films-un.jpg?v=638776478878200000</t>
  </si>
  <si>
    <t>https://jumbocl.vteximg.com.br/arquivos/ids/347934-250-250/Frutillas-pote-300-g.jpg?v=638776478088100000</t>
  </si>
  <si>
    <t>Mandarina Malla 1 kg</t>
  </si>
  <si>
    <t>https://jumbocl.vteximg.com.br/arquivos/ids/353115-250-250/Mandarina-malla-1-kg.jpg?v=638776696049130000</t>
  </si>
  <si>
    <t>https://jumbocl.vteximg.com.br/arquivos/ids/357731-250-250/Manzana-Fuji-granel.jpg?v=638776720527670000</t>
  </si>
  <si>
    <t>https://jumbocl.vteximg.com.br/arquivos/ids/368596-250-250/Pimiento-rojo-extra.jpg?v=638776773409300000</t>
  </si>
  <si>
    <t>https://jumbocl.vteximg.com.br/arquivos/ids/508710-250-250/Cilantro-Paquete-120-g.jpg?v=638935566848530000</t>
  </si>
  <si>
    <t>Cebolla Malla 3 un.</t>
  </si>
  <si>
    <t>https://jumbocl.vteximg.com.br/arquivos/ids/196761-250-250/Cebolla-3-unid.jpg?v=638682284728400000</t>
  </si>
  <si>
    <t>https://jumbocl.vteximg.com.br/arquivos/ids/501318-250-250/Lechuga-Hidroponica-Espa%C3%B1ola-1-un.jpg?v=638920188566030000</t>
  </si>
  <si>
    <t>Plátano Orgánico 1 kg</t>
  </si>
  <si>
    <t>https://jumbocl.vteximg.com.br/arquivos/ids/568145-250-250/Platano-Organico-1-kg.jpg?v=639046839483100000</t>
  </si>
  <si>
    <t>https://jumbocl.vteximg.com.br/arquivos/ids/347982-250-250/Lechuga-escarola-un.jpg?v=638776478720700000</t>
  </si>
  <si>
    <t>https://jumbocl.vteximg.com.br/arquivos/ids/347942-250-250/Naranja-granel.jpg?v=638776478188170000</t>
  </si>
  <si>
    <t>Tomate Larga Vida Malla 1 kg</t>
  </si>
  <si>
    <t>https://jumbocl.vteximg.com.br/arquivos/ids/348043-250-250/261296-01_5641.jpg?v=638776479537200000</t>
  </si>
  <si>
    <t>https://jumbocl.vteximg.com.br/arquivos/ids/351219-250-250/Mandarina-granel.jpg?v=638776684524000000</t>
  </si>
  <si>
    <t>Alcachofa Americana 1 un.</t>
  </si>
  <si>
    <t>https://jumbocl.vteximg.com.br/arquivos/ids/347988-250-250/Principal-9197.jpg?v=638776478803200000</t>
  </si>
  <si>
    <t>Manzana Sugarbee Granel</t>
  </si>
  <si>
    <t>https://jumbocl.vteximg.com.br/arquivos/ids/313121-250-250/Manzana-sugar-bee-kg.jpg?v=638776398549000000</t>
  </si>
  <si>
    <t>Zapallo en Trozo 700 g</t>
  </si>
  <si>
    <t>https://jumbocl.vteximg.com.br/arquivos/ids/502750-250-250/Zapallo-Camote-1-un.jpg?v=638924450982570000</t>
  </si>
  <si>
    <t>https://jumbocl.vteximg.com.br/arquivos/ids/359150-250-250/Manzana-Verde-granel.jpg?v=638776727077300000</t>
  </si>
  <si>
    <t>https://jumbocl.vteximg.com.br/arquivos/ids/357725-250-250/Kiwi-exportacion-granel.jpg?v=638776720501930000</t>
  </si>
  <si>
    <t>https://jumbocl.vteximg.com.br/arquivos/ids/348032-250-250/Pimiento-verde-un.jpg?v=638776479402300000</t>
  </si>
  <si>
    <t>Palta Hass Pote Listo para Consumo 2 un.</t>
  </si>
  <si>
    <t>https://jumbocl.vteximg.com.br/arquivos/ids/414538-250-250/2032557-05_706290.jpg?v=638799184829500000</t>
  </si>
  <si>
    <t>https://jumbocl.vteximg.com.br/arquivos/ids/450388-250-250/Papa-granel.jpg?v=638847369679500000</t>
  </si>
  <si>
    <t>Frambuesas Pote 70 g</t>
  </si>
  <si>
    <t>https://jumbocl.vteximg.com.br/arquivos/ids/367328-250-250/Frambuesas-pote-70-g-1-433172.jpg?v=638776767393070000</t>
  </si>
  <si>
    <t>https://jumbocl.vteximg.com.br/arquivos/ids/353061-250-250/Lechuga-espa%C3%B1ola-un.jpg?v=638776695844600000</t>
  </si>
  <si>
    <t>https://jumbocl.vteximg.com.br/arquivos/ids/196778-250-250/Lechuga-costina-un.jpg?v=638682284941230000</t>
  </si>
  <si>
    <t>https://jumbocl.vteximg.com.br/arquivos/ids/347936-250-250/Mango-granel.jpg?v=638776478112200000</t>
  </si>
  <si>
    <t>Cebollín Paquete 6 un.</t>
  </si>
  <si>
    <t>https://jumbocl.vteximg.com.br/arquivos/ids/495050-250-250/260579-02_5597.jpg?v=638907790347000000</t>
  </si>
  <si>
    <t>Lechuga Escarola Bandeja 2 un.</t>
  </si>
  <si>
    <t>https://jumbocl.vteximg.com.br/arquivos/ids/348016-250-250/Lechuga-escarola-bandeja-2-un.jpg?v=638776479191200000</t>
  </si>
  <si>
    <t>Tomate Salad Granel</t>
  </si>
  <si>
    <t>https://jumbocl.vteximg.com.br/arquivos/ids/348049-250-250/Principal-9264.jpg?v=638776479634970000</t>
  </si>
  <si>
    <t>Espinaca Bolsa 280 g</t>
  </si>
  <si>
    <t>https://jumbocl.vteximg.com.br/arquivos/ids/520083-250-250/Espinaca-en-Bolsa-280-g.jpg?v=638950957344570000</t>
  </si>
  <si>
    <t>https://jumbocl.vteximg.com.br/arquivos/ids/347986-250-250/Ajo-3-unid.jpg?v=638776478772070000</t>
  </si>
  <si>
    <t>https://jumbocl.vteximg.com.br/arquivos/ids/351699-250-250/Acelga-agrosano-500-g.jpg?v=638776686583930000</t>
  </si>
  <si>
    <t>Betarraga Cocida Pro Verde 500 g</t>
  </si>
  <si>
    <t>https://jumbocl.vteximg.com.br/arquivos/ids/478128-250-250/Betarraga-Cocida-Pro-Verde-500-g.jpg?v=638877146441270000</t>
  </si>
  <si>
    <t>https://jumbocl.vteximg.com.br/arquivos/ids/352997-250-250/Camote-Peruano-granel.jpg?v=638776695574730000</t>
  </si>
  <si>
    <t>https://jumbocl.vteximg.com.br/arquivos/ids/359147-250-250/Pera-Packam-s-granel.jpg?v=638776727058800000</t>
  </si>
  <si>
    <t>Champiñón Bandeja 500 g</t>
  </si>
  <si>
    <t>https://jumbocl.vteximg.com.br/arquivos/ids/370022-250-250/Champi%C3%B1ones-bandeja-500-g.jpg?v=638776780123830000</t>
  </si>
  <si>
    <t>https://jumbocl.vteximg.com.br/arquivos/ids/352983-250-250/976123-KG-1.jpg?v=638776695492800000</t>
  </si>
  <si>
    <t>Espinaca 500 g</t>
  </si>
  <si>
    <t>https://jumbocl.vteximg.com.br/arquivos/ids/348014-250-250/Espinaca-500-g.jpg?v=638776479162900000</t>
  </si>
  <si>
    <t>Cebolla Malla 1 kg</t>
  </si>
  <si>
    <t>https://jumbocl.vteximg.com.br/arquivos/ids/347996-250-250/Cebolla-malla-1-kg.jpg?v=638776478908130000</t>
  </si>
  <si>
    <t>https://jumbocl.vteximg.com.br/arquivos/ids/347990-250-250/260497-01_5585.jpg?v=638776478829670000</t>
  </si>
  <si>
    <t>https://jumbocl.vteximg.com.br/arquivos/ids/348037-250-250/Tomate-cherry-clamshell-500-g.jpg?v=638776479470800000</t>
  </si>
  <si>
    <t>https://jumbocl.vteximg.com.br/arquivos/ids/347945-250-250/1502633.jpg?v=638776478232630000</t>
  </si>
  <si>
    <t>https://jumbocl.vteximg.com.br/arquivos/ids/347985-250-250/540734-KG-01_5574.jpg?v=638776478755200000</t>
  </si>
  <si>
    <t>https://jumbocl.vteximg.com.br/arquivos/ids/361207-250-250/1555303.jpg?v=638776736081730000</t>
  </si>
  <si>
    <t>Tomate Cóctel Variedades Granel</t>
  </si>
  <si>
    <t>https://jumbocl.vteximg.com.br/arquivos/ids/361954-250-250/261255-01.png?v=638776740227400000</t>
  </si>
  <si>
    <t>Naranja Malla 2 kg</t>
  </si>
  <si>
    <t>https://jumbocl.vteximg.com.br/arquivos/ids/347943-250-250/Naranja-malla-2-kg.jpg?v=638776478204370000</t>
  </si>
  <si>
    <t>https://jumbocl.vteximg.com.br/arquivos/ids/352996-250-250/1358098.jpg?v=638776695574430000</t>
  </si>
  <si>
    <t>Tomate Cóctel Pote 250 g</t>
  </si>
  <si>
    <t>https://jumbocl.vteximg.com.br/arquivos/ids/348040-250-250/Tomate-cocktail-pote-250-g.jpg?v=638776479500470000</t>
  </si>
  <si>
    <t>https://jumbocl.vteximg.com.br/arquivos/ids/304058-250-250/261302-KG-01_17674.jpg?v=638776378765130000</t>
  </si>
  <si>
    <t>https://jumbocl.vteximg.com.br/arquivos/ids/348005-250-250/Choclo-4-un.jpg?v=638776479056900000</t>
  </si>
  <si>
    <t>Tomate Romanita 340 g</t>
  </si>
  <si>
    <t>https://jumbocl.vteximg.com.br/arquivos/ids/348047-250-250/Tomate-romanita-340-g.jpg?v=638776479612530000</t>
  </si>
  <si>
    <t>https://jumbocl.vteximg.com.br/arquivos/ids/348015-250-250/260774.jpg?v=638776479178500000</t>
  </si>
  <si>
    <t>https://jumbocl.vteximg.com.br/arquivos/ids/604283-250-250/Albahaca-1-un.jpg?v=639104849523370000</t>
  </si>
  <si>
    <t>https://jumbocl.vteximg.com.br/arquivos/ids/347997-250-250/Cebolla-morada-granel.jpg?v=638776478923630000</t>
  </si>
  <si>
    <t>https://jumbocl.vteximg.com.br/arquivos/ids/348059-250-250/Cebolla-granel.jpg?v=638776479779400000</t>
  </si>
  <si>
    <t>https://jumbocl.vteximg.com.br/arquivos/ids/352970-250-250/261071-KG-01_17675.jpg?v=638776695407300000</t>
  </si>
  <si>
    <t>Manzana Royal Gala Granel</t>
  </si>
  <si>
    <t>https://jumbocl.vteximg.com.br/arquivos/ids/359145-250-250/Manzana-Royal-Gala-granel.jpg?v=638776727054170000</t>
  </si>
  <si>
    <t>https://jumbocl.vteximg.com.br/arquivos/ids/348045-250-250/1520953-KG.jpg?v=638776479562900000</t>
  </si>
  <si>
    <t>Bolsa de Papas Mixtas 650 g</t>
  </si>
  <si>
    <t>https://jumbocl.vteximg.com.br/arquivos/ids/363388-250-250/Bolsa-de-papas-mixtas-650-g-1-95674865.jpg?v=638776748026230000</t>
  </si>
  <si>
    <t>Zapallo 1 un.</t>
  </si>
  <si>
    <t>https://jumbocl.vteximg.com.br/arquivos/ids/353017-250-250/Zapallo-1-unid-1-17495.jpg?v=638776695655700000</t>
  </si>
  <si>
    <t>https://jumbocl.vteximg.com.br/arquivos/ids/361208-250-250/1555311.jpg?v=638776736082200000</t>
  </si>
  <si>
    <t>https://jumbocl.vteximg.com.br/arquivos/ids/348017-250-250/Limon-granel.jpg?v=638776479204030000</t>
  </si>
  <si>
    <t>https://jumbocl.vteximg.com.br/arquivos/ids/348052-250-250/1027562-KG.jpg?v=638776479685000000</t>
  </si>
  <si>
    <t>https://jumbocl.vteximg.com.br/arquivos/ids/348020-250-250/260822.jpg?v=638776479240730000</t>
  </si>
  <si>
    <t>Lechuga Costina 2 un.</t>
  </si>
  <si>
    <t>https://jumbocl.vteximg.com.br/arquivos/ids/384184-250-250/Lechuga-costina-2-un.jpg?v=638776839010370000</t>
  </si>
  <si>
    <t>Cebolla Morada 1 kg</t>
  </si>
  <si>
    <t>https://jumbocl.vteximg.com.br/arquivos/ids/347999-250-250/Cebolla-morada-1-kg.jpg?v=638776478979200000</t>
  </si>
  <si>
    <t>Manzana Verde Bolsa 1 kg</t>
  </si>
  <si>
    <t>https://jumbocl.vteximg.com.br/arquivos/ids/417123-250-250/Manzana-verde-bolsa-1-kg.jpg?v=638804096137970000</t>
  </si>
  <si>
    <t>Piña Pelada 1 un.</t>
  </si>
  <si>
    <t>https://jumbocl.vteximg.com.br/arquivos/ids/362358-250-250/Pi%C3%B1a-pelada-un.jpg?v=638776742592930000</t>
  </si>
  <si>
    <t>Manzana Pink Lady Bolsa 1 kg</t>
  </si>
  <si>
    <t>https://jumbocl.vteximg.com.br/arquivos/ids/355947-250-250/932863.jpg?v=638776709824200000</t>
  </si>
  <si>
    <t>Lechuga Lollo Rossa Hidropónica 1 un.</t>
  </si>
  <si>
    <t>https://jumbocl.vteximg.com.br/arquivos/ids/501313-250-250/Lechuga-Lollo-Rossa-Hidroponica-1-un.jpg?v=638920188551070000</t>
  </si>
  <si>
    <t>https://jumbocl.vteximg.com.br/arquivos/ids/347991-250-250/Berenjenas-unid.jpg?v=638776478840170000</t>
  </si>
  <si>
    <t>https://jumbocl.vteximg.com.br/arquivos/ids/353018-250-250/Lechuga-francesa-unid.jpg?v=638776695658070000</t>
  </si>
  <si>
    <t>Trio de Lechugas Hidropónicas Pura Hoja 1 un.</t>
  </si>
  <si>
    <t>https://jumbocl.vteximg.com.br/arquivos/ids/501332-250-250/Trio-de-Lechugas-Hidroponicas-Pura-Hoja-1-un.jpg?v=638920188592700000</t>
  </si>
  <si>
    <t>https://jumbocl.vteximg.com.br/arquivos/ids/353023-250-250/260619-01_17771.jpg?v=638776695678100000</t>
  </si>
  <si>
    <t>Pera Forelle Granel</t>
  </si>
  <si>
    <t>https://jumbocl.vteximg.com.br/arquivos/ids/352995-250-250/Pera-Forelle-granel-1-17461.jpg?v=638776695561770000</t>
  </si>
  <si>
    <t>https://jumbocl.vteximg.com.br/arquivos/ids/348031-250-250/261130.jpg?v=638776479388870000</t>
  </si>
  <si>
    <t>https://jumbocl.vteximg.com.br/arquivos/ids/504525-250-250/Perejil-1-un.jpg?v=638930657917000000</t>
  </si>
  <si>
    <t>Manzana Royal Gala Bolsa 1 kg</t>
  </si>
  <si>
    <t>https://jumbocl.vteximg.com.br/arquivos/ids/413783-250-250/Manzana-royal-gala-1-kg.jpg?v=638798067993270000</t>
  </si>
  <si>
    <t>Colaciones Snack Tikititos 5 un. 30 g</t>
  </si>
  <si>
    <t>https://jumbocl.vteximg.com.br/arquivos/ids/625637-250-250/Colaciones-Snack-Tikititos-5-un-30-g.jpg?v=639123760368730000</t>
  </si>
  <si>
    <t>Frutos Secos y Semillas</t>
  </si>
  <si>
    <t>https://jumbocl.vteximg.com.br/arquivos/ids/355665-250-250/Brusela-500-g.jpg?v=638776708312800000</t>
  </si>
  <si>
    <t>Ensalada Toscana 300 g</t>
  </si>
  <si>
    <t>https://jumbocl.vteximg.com.br/arquivos/ids/489464-250-250/Ensalada-Toscana-300-g.jpg?v=638900483946600000</t>
  </si>
  <si>
    <t>Piña Calibre 6 - 1 Un</t>
  </si>
  <si>
    <t>https://jumbocl.vteximg.com.br/arquivos/ids/351970-250-250/Pi%C3%B1a-un.jpg?v=638776687852100000</t>
  </si>
  <si>
    <t>Papa Mini 650 g</t>
  </si>
  <si>
    <t>https://jumbocl.vteximg.com.br/arquivos/ids/625194-250-250/Papa-Mini-650-g.jpg?v=639123193794100000</t>
  </si>
  <si>
    <t>Ensalada Espinaca 200 g</t>
  </si>
  <si>
    <t>https://jumbocl.vteximg.com.br/arquivos/ids/326365-250-250/ENSALADA-ESPINACA-200GR.jpg?v=638776429145000000</t>
  </si>
  <si>
    <t>Apio Bastón Dole 500 g</t>
  </si>
  <si>
    <t>https://jumbocl.vteximg.com.br/arquivos/ids/347956-250-250/Apio-baston-500-g.jpg?v=638776478377830000</t>
  </si>
  <si>
    <t>Mix Mango Arándano Frutilla 400 g</t>
  </si>
  <si>
    <t>https://jumbocl.vteximg.com.br/arquivos/ids/372058-250-250/Mix-mango-arandano-frutilla-400-g.jpg?v=638776789766770000</t>
  </si>
  <si>
    <t>Pera Bolsa 1 kg</t>
  </si>
  <si>
    <t>https://jumbocl.vteximg.com.br/arquivos/ids/351962-250-250/Pera-bolsa-1-kg.jpg?v=638776687826270000</t>
  </si>
  <si>
    <t>Champiñón Shitake 100 g</t>
  </si>
  <si>
    <t>https://jumbocl.vteximg.com.br/arquivos/ids/353162-250-250/Champi%C3%B1ones-Shitake-100-g.jpg?v=638776696231030000</t>
  </si>
  <si>
    <t>Ensalada Zanahoria 300 g</t>
  </si>
  <si>
    <t>https://jumbocl.vteximg.com.br/arquivos/ids/489466-250-250/Ensalada-Zanahoria-300-g.jpg?v=638900483956430000</t>
  </si>
  <si>
    <t>Fruto del Paraíso Granel</t>
  </si>
  <si>
    <t>https://jumbocl.vteximg.com.br/arquivos/ids/352976-250-250/451384.jpg?v=638776695451530000</t>
  </si>
  <si>
    <t>https://jumbocl.vteximg.com.br/arquivos/ids/478129-250-250/Zapallo-Camote-Picado-500-g.jpg?v=638877146451030000</t>
  </si>
  <si>
    <t>Papa Baby 1 kg</t>
  </si>
  <si>
    <t>https://jumbocl.vteximg.com.br/arquivos/ids/495217-250-250/Papa-Baby-1-kg.jpg?v=638911557300900000</t>
  </si>
  <si>
    <t>Ensalada Repollo y Zanahoria 300 g</t>
  </si>
  <si>
    <t>https://jumbocl.vteximg.com.br/arquivos/ids/489469-250-250/Ensalada-Repollo-y-Zanahoria-300-g.jpg?v=638900483970970000</t>
  </si>
  <si>
    <t>Mora Pote 70 g</t>
  </si>
  <si>
    <t>https://jumbocl.vteximg.com.br/arquivos/ids/371988-250-250/Moras-pote-70-g.jpg?v=638776789489900000</t>
  </si>
  <si>
    <t>Ensalada Apio Media Luna 600 g</t>
  </si>
  <si>
    <t>https://jumbocl.vteximg.com.br/arquivos/ids/489473-250-250/Ensalada-Apio-Media-Luna-600-g.jpg?v=638900483995700000</t>
  </si>
  <si>
    <t>https://jumbocl.vteximg.com.br/arquivos/ids/348036-250-250/261239.jpg?v=638776479451000000</t>
  </si>
  <si>
    <t>Puerro 1 un.</t>
  </si>
  <si>
    <t>https://jumbocl.vteximg.com.br/arquivos/ids/375916-250-250/Puerro-un.jpg?v=638776805501570000</t>
  </si>
  <si>
    <t>Repollo 1 un.</t>
  </si>
  <si>
    <t>https://jumbocl.vteximg.com.br/arquivos/ids/348035-250-250/261238.jpg?v=638776479438570000</t>
  </si>
  <si>
    <t>Pimiento Morrón 1 un.</t>
  </si>
  <si>
    <t>https://jumbocl.vteximg.com.br/arquivos/ids/461162-250-250/Pimiento-Morron-1-un.jpg?v=638866404212170000</t>
  </si>
  <si>
    <t>Ensalada Dole Toscana 300 g</t>
  </si>
  <si>
    <t>https://jumbocl.vteximg.com.br/arquivos/ids/347913-250-250/Ensalada-Toscana-Dole-300-g.jpg?v=638776477793530000</t>
  </si>
  <si>
    <t>Ensalada Repollo Morado 300 g</t>
  </si>
  <si>
    <t>https://jumbocl.vteximg.com.br/arquivos/ids/489472-250-250/Ensalada-Repollo-Morado-300-g.jpg?v=638900483986500000</t>
  </si>
  <si>
    <t>Piña Rodaja 500 g</t>
  </si>
  <si>
    <t>https://jumbocl.vteximg.com.br/arquivos/ids/372088-250-250/Pi%C3%B1a-rodaja-500-g.jpg?v=638776789882170000</t>
  </si>
  <si>
    <t>Ensalada Dole Coleslaw 300 g</t>
  </si>
  <si>
    <t>https://jumbocl.vteximg.com.br/arquivos/ids/368589-250-250/Ensalada-Coleslaw-300-g.jpg?v=638776773381530000</t>
  </si>
  <si>
    <t>Diente de Dragón 250 g</t>
  </si>
  <si>
    <t>https://jumbocl.vteximg.com.br/arquivos/ids/348011-250-250/260641.jpg?v=638776479129700000</t>
  </si>
  <si>
    <t>Albahaca 30 g</t>
  </si>
  <si>
    <t>https://jumbocl.vteximg.com.br/arquivos/ids/606360-250-250/Albahaca-30-g.jpg?v=639104937003600000</t>
  </si>
  <si>
    <t>Pack Escolar Frutisa</t>
  </si>
  <si>
    <t>https://jumbocl.vteximg.com.br/arquivos/ids/355301-250-250/1690609.jpg?v=638776706265970000</t>
  </si>
  <si>
    <t>bolsa</t>
  </si>
  <si>
    <t>Betarraga Bolsa 5 un.</t>
  </si>
  <si>
    <t>https://jumbocl.vteximg.com.br/arquivos/ids/347993-250-250/674275.jpg?v=638776478868630000</t>
  </si>
  <si>
    <t>Summer Mix Dole 150 g</t>
  </si>
  <si>
    <t>https://jumbocl.vteximg.com.br/arquivos/ids/347921-250-250/Summer-mix-Dole-150-g.jpg?v=638776477896570000</t>
  </si>
  <si>
    <t>Ensalada Lechuga Escarola 300 g</t>
  </si>
  <si>
    <t>https://jumbocl.vteximg.com.br/arquivos/ids/489471-250-250/Ensalada-Lechuga-Escarola-300-g.jpg?v=638900483976300000</t>
  </si>
  <si>
    <t>Verduras Surtidas Paquete 120 g</t>
  </si>
  <si>
    <t>https://jumbocl.vteximg.com.br/arquivos/ids/353068-250-250/Verduras-surtidas-paquete-120-g-1-17605.jpg?v=638776695864400000</t>
  </si>
  <si>
    <t>Ciruelas Dagen Sin Carozo 300 g</t>
  </si>
  <si>
    <t>https://jumbocl.vteximg.com.br/arquivos/ids/347947-250-250/Ciruelas-Dagen-sin-carozo-300-g.jpg?v=638776478260500000</t>
  </si>
  <si>
    <t>Ajo 2 un.</t>
  </si>
  <si>
    <t>https://jumbocl.vteximg.com.br/arquivos/ids/353019-250-250/Ajo-2-un.jpg?v=638776695668300000</t>
  </si>
  <si>
    <t>Mandarina Bolsa 1.5 kg</t>
  </si>
  <si>
    <t>https://jumbocl.vteximg.com.br/arquivos/ids/366686-250-250/Mandarina-bolsa-15-kg.jpg?v=638776764261130000</t>
  </si>
  <si>
    <t>Tomate Hidropónico Racimo Granel</t>
  </si>
  <si>
    <t>https://jumbocl.vteximg.com.br/arquivos/ids/348044-250-250/261265-KG.jpg?v=638776479549630000</t>
  </si>
  <si>
    <t>Cebolla Crujiente Ligeramente Salada 80 g</t>
  </si>
  <si>
    <t>https://jumbocl.vteximg.com.br/arquivos/ids/502890-250-250/Cebolla-Crujiente-Ligeramente-Salada-80-g.jpg?v=638924452010370000</t>
  </si>
  <si>
    <t>Spring Mix Dole 150 g</t>
  </si>
  <si>
    <t>https://jumbocl.vteximg.com.br/arquivos/ids/347920-250-250/Spring-mix-Dole-150-g.jpg?v=638776477883670000</t>
  </si>
  <si>
    <t>Corazones de Apio Dole 2 un.</t>
  </si>
  <si>
    <t>https://jumbocl.vteximg.com.br/arquivos/ids/353163-250-250/Corazones-de-Apio-Dole-2-unid.jpg?v=638776696231330000</t>
  </si>
  <si>
    <t>Plátano Barraganette Granel</t>
  </si>
  <si>
    <t>https://jumbocl.vteximg.com.br/arquivos/ids/347946-250-250/Platano-Barraganette-granel.jpg?v=638776478245070000</t>
  </si>
  <si>
    <t>Salad Kit Coleslaw 300 g</t>
  </si>
  <si>
    <t>https://jumbocl.vteximg.com.br/arquivos/ids/445447-250-250/Salad-Kit-Coleslaw-300-g.jpg?v=638839631379530000</t>
  </si>
  <si>
    <t>Ensalada Dole Apio 420 g</t>
  </si>
  <si>
    <t>https://jumbocl.vteximg.com.br/arquivos/ids/347909-250-250/Ensalada-apio-Dole-420-g.jpg?v=638776477738800000</t>
  </si>
  <si>
    <t>Mix Frutilla Arándano 250 g</t>
  </si>
  <si>
    <t>https://jumbocl.vteximg.com.br/arquivos/ids/372027-250-250/Mix-frutilla-arandano-250-g.jpg?v=638776789638830000</t>
  </si>
  <si>
    <t>Repollo Blanco Dole 300 g</t>
  </si>
  <si>
    <t>https://jumbocl.vteximg.com.br/arquivos/ids/347917-250-250/Repollo-blanco-300-g.jpg?v=638776477848100000</t>
  </si>
  <si>
    <t>Manzana Modi Granel</t>
  </si>
  <si>
    <t>https://jumbocl.vteximg.com.br/arquivos/ids/590969-250-250/Manzana-Modi-Granel.jpg?v=639090085896070000</t>
  </si>
  <si>
    <t>Pera Beurre Bosc Granel</t>
  </si>
  <si>
    <t>https://jumbocl.vteximg.com.br/arquivos/ids/586818-250-250/1057035-KG-01_96168.jpg?v=639083263089070000</t>
  </si>
  <si>
    <t>Zanahoria Dole Corte Juliana 300 g</t>
  </si>
  <si>
    <t>https://jumbocl.vteximg.com.br/arquivos/ids/347922-250-250/Zanahoria-corte-Juliana-300-g.jpg?v=638776477909230000</t>
  </si>
  <si>
    <t>Salad Kit Asiática 300 g</t>
  </si>
  <si>
    <t>https://jumbocl.vteximg.com.br/arquivos/ids/445444-250-250/Salad-Kit-Asiatica-300-g.jpg?v=638839631370330000</t>
  </si>
  <si>
    <t>Zanahorias Jugo 1 kg</t>
  </si>
  <si>
    <t>https://jumbocl.vteximg.com.br/arquivos/ids/348053-250-250/Zanahorias-Jugo-1-kg.jpg?v=638776479708200000</t>
  </si>
  <si>
    <t>Papas Souflé Malla 2 kg</t>
  </si>
  <si>
    <t>https://jumbocl.vteximg.com.br/arquivos/ids/348027-250-250/Papas-Soufle-malla-2-Kg.jpg?v=638776479341230000</t>
  </si>
  <si>
    <t>Brócoli Florete 300 g</t>
  </si>
  <si>
    <t>https://jumbocl.vteximg.com.br/arquivos/ids/353041-250-250/Brocoli-florete-300-g.jpg?v=638776695754070000</t>
  </si>
  <si>
    <t>Mezcla Wok Agrosano Chopsuey 300 g</t>
  </si>
  <si>
    <t>https://jumbocl.vteximg.com.br/arquivos/ids/347955-250-250/911594.jpg?v=638776478363070000</t>
  </si>
  <si>
    <t>Desinfectante de Frutas y Verduras Germalimp 250 g</t>
  </si>
  <si>
    <t>https://jumbocl.vteximg.com.br/arquivos/ids/353166-250-250/260640.jpg?v=638776696256600000</t>
  </si>
  <si>
    <t>Mix Mango Frutilla y Piña 400 g</t>
  </si>
  <si>
    <t>https://jumbocl.vteximg.com.br/arquivos/ids/371977-250-250/Mix-mango-frutilla-y-pi%C3%B1a-400-g.jpg?v=638776789462630000</t>
  </si>
  <si>
    <t>Apio Juliana Dole 300 g</t>
  </si>
  <si>
    <t>https://jumbocl.vteximg.com.br/arquivos/ids/347962-250-250/Apio-Juliana-Dole-300-g.jpg?v=638776478455600000</t>
  </si>
  <si>
    <t>Espinaca Baby Pro Verde 150 g</t>
  </si>
  <si>
    <t>https://jumbocl.vteximg.com.br/arquivos/ids/445463-250-250/ESPINACA-BABY-150G.jpg?v=638839631444000000</t>
  </si>
  <si>
    <t>Ensalada Repollo Blanco 300 g</t>
  </si>
  <si>
    <t>https://jumbocl.vteximg.com.br/arquivos/ids/489468-250-250/Ensalada-Repollo-Blanco-300-g.jpg?v=638900483961670000</t>
  </si>
  <si>
    <t>Naranja Jugo Malla 3 kg</t>
  </si>
  <si>
    <t>https://jumbocl.vteximg.com.br/arquivos/ids/347941-250-250/Principal-9092.jpg?v=638776478171670000</t>
  </si>
  <si>
    <t>Salad Kit Italiana 300 g</t>
  </si>
  <si>
    <t>https://jumbocl.vteximg.com.br/arquivos/ids/445448-250-250/Salad-Kit-Italiana-300-g.jpg?v=638839631388730000</t>
  </si>
  <si>
    <t>Zapallo Butternut Orgánico 1 un.</t>
  </si>
  <si>
    <t>https://jumbocl.vteximg.com.br/arquivos/ids/304141-250-250/Zapallo-butternut-organico-unid.jpg?v=638776379189500000</t>
  </si>
  <si>
    <t>Frutas y verduras orgánicas</t>
  </si>
  <si>
    <t>Piñones Granel</t>
  </si>
  <si>
    <t>https://jumbocl.vteximg.com.br/arquivos/ids/352980-250-250/529210-KG.png?v=638776695476800000</t>
  </si>
  <si>
    <t>Ensalada Mix Baby Roble Kale</t>
  </si>
  <si>
    <t>https://jumbocl.vteximg.com.br/arquivos/ids/357081-250-250/Ensalada-mix-baby-roble-kale.jpg?v=638776715682300000</t>
  </si>
  <si>
    <t>Ensalada Dole Napolitana Repollo Blanco y Zanahoria 300 g</t>
  </si>
  <si>
    <t>https://jumbocl.vteximg.com.br/arquivos/ids/347911-250-250/Ensalada-Napolitana-Dole-Bolsa-300-g-Repollo-blanco-y-zanahoria.jpg?v=638776477767770000</t>
  </si>
  <si>
    <t>Mix Fruta Arándano Frutilla Kiwi Mango 400 g</t>
  </si>
  <si>
    <t>https://jumbocl.vteximg.com.br/arquivos/ids/473704-250-250/Mix-Fruta-Arandano-Frutilla-Kiwi-Mango-400-g.jpg?v=638872408413770000</t>
  </si>
  <si>
    <t>Ensalada Apio Bastones 500 g</t>
  </si>
  <si>
    <t>https://jumbocl.vteximg.com.br/arquivos/ids/501594-250-250/Ensalada-Apio-Bastones-500-g.jpg?v=638920189072570000</t>
  </si>
  <si>
    <t>Retardador de Descomposición de Vegetales Veggy Fresh</t>
  </si>
  <si>
    <t>https://jumbocl.vteximg.com.br/arquivos/ids/366246-250-250/Retardador-de-descomposicion-de-vegetales-Veggy-Fresh.jpg?v=638776762668500000</t>
  </si>
  <si>
    <t>Lechuga Roble Verde Hidropónica 1 un.</t>
  </si>
  <si>
    <t>https://jumbocl.vteximg.com.br/arquivos/ids/501300-250-250/Lechuga-Roble-Verde-Hidroponica-1-un.jpg?v=638920188532470000</t>
  </si>
  <si>
    <t>https://jumbocl.vteximg.com.br/arquivos/ids/297650-250-250/Menta-bandeja-30-g.jpg?v=638775741774930000</t>
  </si>
  <si>
    <t>https://jumbocl.vteximg.com.br/arquivos/ids/587784-250-250/Rucula-Bolsa-200-g.jpg?v=639084037335230000</t>
  </si>
  <si>
    <t>Endibias 250 g</t>
  </si>
  <si>
    <t>https://jumbocl.vteximg.com.br/arquivos/ids/648194-250-250/Endibias-250-g.jpg?v=639155313513030000</t>
  </si>
  <si>
    <t>Mix Italiano Fresh Cut Pote 150 g</t>
  </si>
  <si>
    <t>https://jumbocl.vteximg.com.br/arquivos/ids/362438-250-250/Mix-italiano-Jumbo-pote-150-g-1-57509692.jpg?v=638776743054000000</t>
  </si>
  <si>
    <t>Alcachofa Morada 1 un.</t>
  </si>
  <si>
    <t>https://jumbocl.vteximg.com.br/arquivos/ids/366688-250-250/Alcachofa-morada-1-un-1-336217.jpg?v=638776764268030000</t>
  </si>
  <si>
    <t>Mix Fruta Mango Frutilla Kiwi 400 g</t>
  </si>
  <si>
    <t>https://jumbocl.vteximg.com.br/arquivos/ids/473717-250-250/Mix-Fruta-Mango-Frutilla-Kiwi-400-g.jpg?v=638872408467170000</t>
  </si>
  <si>
    <t>Pack Colación 5 Sachets</t>
  </si>
  <si>
    <t>https://jumbocl.vteximg.com.br/arquivos/ids/366998-250-250/Pack-colaci-n-5-sachets-1-183513421.jpg?v=638776765827830000</t>
  </si>
  <si>
    <t>Repollo Morado 1 un.</t>
  </si>
  <si>
    <t>https://jumbocl.vteximg.com.br/arquivos/ids/362356-250-250/Repollo-morado-un.jpg?v=638776742590400000</t>
  </si>
  <si>
    <t>Rúcula Baby 60 g</t>
  </si>
  <si>
    <t>https://jumbocl.vteximg.com.br/arquivos/ids/353025-250-250/1227315.jpg?v=638776695694270000</t>
  </si>
  <si>
    <t>Rábano Blanco 1 un.</t>
  </si>
  <si>
    <t>https://jumbocl.vteximg.com.br/arquivos/ids/648196-250-250/Rabano-Blanco-1-un.jpg?v=639155313529300000</t>
  </si>
  <si>
    <t>Romero 30 g</t>
  </si>
  <si>
    <t>https://jumbocl.vteximg.com.br/arquivos/ids/355668-250-250/Romero-30-g.jpg?v=638776708339930000</t>
  </si>
  <si>
    <t>https://jumbocl.vteximg.com.br/arquivos/ids/347989-250-250/Alcachofa-espa%C3%B1ola-unid.jpg?v=638776478814370000</t>
  </si>
  <si>
    <t>Limón Sutil Malla 500 g</t>
  </si>
  <si>
    <t>https://jumbocl.vteximg.com.br/arquivos/ids/359261-250-250/1083950.jpg?v=638776727525030000</t>
  </si>
  <si>
    <t>https://jumbocl.vteximg.com.br/arquivos/ids/489474-250-250/Berro-Hidroponico-200-g.jpg?v=638900484006600000</t>
  </si>
  <si>
    <t>Puerros 4 un.</t>
  </si>
  <si>
    <t>https://jumbocl.vteximg.com.br/arquivos/ids/501709-250-250/Puerros-4-un.jpg?v=638920189444070000</t>
  </si>
  <si>
    <t>https://jumbocl.vteximg.com.br/arquivos/ids/356283-250-250/Principal-39298.jpg?v=638776711633000000</t>
  </si>
  <si>
    <t>Choclo Cocido 2 un.</t>
  </si>
  <si>
    <t>https://jumbocl.vteximg.com.br/arquivos/ids/655008-250-250/Choclo-Cocido-2-un.jpg?v=639180051977200000</t>
  </si>
  <si>
    <t>Zapallo en Cubos 500 g</t>
  </si>
  <si>
    <t>https://jumbocl.vteximg.com.br/arquivos/ids/478130-250-250/Zapallo-en-Cubos-500-g.jpg?v=638877146459330000</t>
  </si>
  <si>
    <t>Crutones Estilo César 80 g</t>
  </si>
  <si>
    <t>https://jumbocl.vteximg.com.br/arquivos/ids/362220-250-250/Crutones-estilo-c-sar-80-g-1-480543.jpg?v=638776741738400000</t>
  </si>
  <si>
    <t>Piña Bastón 1 un.</t>
  </si>
  <si>
    <t>https://jumbocl.vteximg.com.br/arquivos/ids/372531-250-250/Pi%C3%B1a-baston-400-g.jpg?v=638776791692600000</t>
  </si>
  <si>
    <t>Ciboulette Paquete 20 g</t>
  </si>
  <si>
    <t>https://jumbocl.vteximg.com.br/arquivos/ids/348006-250-250/260618.jpg?v=638776479070570000</t>
  </si>
  <si>
    <t>Papa Malla 5 kg</t>
  </si>
  <si>
    <t>https://jumbocl.vteximg.com.br/arquivos/ids/348026-250-250/261046-01_5625.jpg?v=638776479328730000</t>
  </si>
  <si>
    <t>Naranja Kiwi Piña 400 g 400 g</t>
  </si>
  <si>
    <t>https://jumbocl.vteximg.com.br/arquivos/ids/473840-250-250/Naranja-Kiwi-Pi%C3%B1a-400-g.jpg?v=638872408988630000</t>
  </si>
  <si>
    <t>Corazón Costina 3 un.</t>
  </si>
  <si>
    <t>https://jumbocl.vteximg.com.br/arquivos/ids/384549-250-250/Corazon-costina-3-un.jpg?v=638776840666900000</t>
  </si>
  <si>
    <t>Lechuga Lollo Bionda Hidropónica 1 un.</t>
  </si>
  <si>
    <t>https://jumbocl.vteximg.com.br/arquivos/ids/587780-250-250/Lechuga-Lollo-Bionda-Hidroponica-1-un.jpg?v=639084032327900000</t>
  </si>
  <si>
    <t>Mix Salad Fresh Cut 150 g</t>
  </si>
  <si>
    <t>https://jumbocl.vteximg.com.br/arquivos/ids/347975-250-250/Mix-Salad-150-g.jpg?v=638776478626700000</t>
  </si>
  <si>
    <t>Rapilista Rúcula Agrolam 50 g</t>
  </si>
  <si>
    <t>https://jumbocl.vteximg.com.br/arquivos/ids/368362-250-250/Rapilista-rucula-50-g.jpg?v=638776772199870000</t>
  </si>
  <si>
    <t>Mix Fruta Piña Frutilla Arándano 250 g</t>
  </si>
  <si>
    <t>https://jumbocl.vteximg.com.br/arquivos/ids/488421-250-250/Mix-Fruta-Pi%C3%B1a-Frutilla-Arandano-250-g.jpg?v=638894807146830000</t>
  </si>
  <si>
    <t>Papa Nativa Orgánica 700 g</t>
  </si>
  <si>
    <t>https://jumbocl.vteximg.com.br/arquivos/ids/532325-250-250/Papa-Nativa-Oranica-700-g.jpg?v=638979414054530000</t>
  </si>
  <si>
    <t>Kale 300 g</t>
  </si>
  <si>
    <t>https://jumbocl.vteximg.com.br/arquivos/ids/362057-250-250/Kale-300-g-1-49649882.jpg?v=638776740839430000</t>
  </si>
  <si>
    <t>Apio en Juliana 300 g</t>
  </si>
  <si>
    <t>https://jumbocl.vteximg.com.br/arquivos/ids/347980-250-250/Apio-Prepicado-Genial-300-g.jpg?v=638776478688230000</t>
  </si>
  <si>
    <t>Mix Vegetales Agrolam Asiáticos Rapilistas 50 g</t>
  </si>
  <si>
    <t>https://jumbocl.vteximg.com.br/arquivos/ids/368581-250-250/Mix-vegetales-asiaticos-Rapilistas-50-g.jpg?v=638776773332570000</t>
  </si>
  <si>
    <t>Champiñón Laminados 200 g</t>
  </si>
  <si>
    <t>https://jumbocl.vteximg.com.br/arquivos/ids/348003-250-250/260602.jpg?v=638776479030730000</t>
  </si>
  <si>
    <t>https://jumbocl.vteximg.com.br/arquivos/ids/352968-250-250/261172.jpg?v=638776695363000000</t>
  </si>
  <si>
    <t>Ensalada Dole Asiática 350 g</t>
  </si>
  <si>
    <t>https://jumbocl.vteximg.com.br/arquivos/ids/368446-250-250/Ensalada-asiatica-350-g.jpg?v=638776772674500000</t>
  </si>
  <si>
    <t>Cúrcuma 100 g</t>
  </si>
  <si>
    <t>https://jumbocl.vteximg.com.br/arquivos/ids/357159-250-250/Curcuma-100-g.jpg?v=638776716306100000</t>
  </si>
  <si>
    <t>Salsa Verde Pote 200 g</t>
  </si>
  <si>
    <t>https://jumbocl.vteximg.com.br/arquivos/ids/347981-250-250/Salsa-Verde-Genial-200-g.jpg?v=638776478703970000</t>
  </si>
  <si>
    <t>Ensalada Dole Miso 270 g</t>
  </si>
  <si>
    <t>https://jumbocl.vteximg.com.br/arquivos/ids/368447-250-250/Ensalada-miso-270-g.jpg?v=638776772674800000</t>
  </si>
  <si>
    <t>Ensalada Toscana Roble Genial 200 g</t>
  </si>
  <si>
    <t>https://jumbocl.vteximg.com.br/arquivos/ids/375477-250-250/Ensalada-toscana-roble-genial-200-g.jpg?v=638776803821300000</t>
  </si>
  <si>
    <t>Limón Sin Semilla Malla 900 g</t>
  </si>
  <si>
    <t>https://jumbocl.vteximg.com.br/arquivos/ids/366910-250-250/Limon-sin-semilla-malla-900-g.jpg?v=638776765435470000</t>
  </si>
  <si>
    <t>Mix Baby Leaf Fresh Cut 150 g</t>
  </si>
  <si>
    <t>https://jumbocl.vteximg.com.br/arquivos/ids/347974-250-250/Principal-9181.jpg?v=638776478614370000</t>
  </si>
  <si>
    <t>Salad Kit César 250 g</t>
  </si>
  <si>
    <t>https://jumbocl.vteximg.com.br/arquivos/ids/445440-250-250/Salad-Kit-Cesar-250-g.jpg?v=638839631360970000</t>
  </si>
  <si>
    <t>Mix Puro Nuts 700 g</t>
  </si>
  <si>
    <t>https://jumbocl.vteximg.com.br/arquivos/ids/366994-250-250/Mix-puro-nuts-700-g-1-183513420.jpg?v=638776765794570000</t>
  </si>
  <si>
    <t>Ensalada Dole Lechuga Escarola 300 g</t>
  </si>
  <si>
    <t>https://jumbocl.vteximg.com.br/arquivos/ids/347910-250-250/Ensalada-de-Lechuga-Escarola-Dole-300-g.jpg?v=638776477753830000</t>
  </si>
  <si>
    <t>Mix Brotes Vegetales 120 g</t>
  </si>
  <si>
    <t>https://jumbocl.vteximg.com.br/arquivos/ids/648195-250-250/Mix-Brotes-Vegetales-120-g.jpg?v=639155313521600000</t>
  </si>
  <si>
    <t>Mix Cajuna 700 g</t>
  </si>
  <si>
    <t>https://jumbocl.vteximg.com.br/arquivos/ids/366993-250-250/Mix-cajuna-700-g-1-183513418.jpg?v=638776765787970000</t>
  </si>
  <si>
    <t>Dientes de Ajo Negro Chilote 125 g</t>
  </si>
  <si>
    <t>https://jumbocl.vteximg.com.br/arquivos/ids/381147-250-250/Dientes-de-Ajo-Negro-Chilote-frasco-125-g.jpg?v=638776826160500000</t>
  </si>
  <si>
    <t>https://jumbocl.vteximg.com.br/arquivos/ids/388494-250-250/NUECES-EN-TROZO.jpg?v=638776856049600000</t>
  </si>
  <si>
    <t>Zanahoria en Juliana 300 g</t>
  </si>
  <si>
    <t>https://jumbocl.vteximg.com.br/arquivos/ids/347927-250-250/Ensalada-de-Zanahoria-corte-Juliana-Genial-300-g.jpg?v=638776477983130000</t>
  </si>
  <si>
    <t>Apio Corte Media Luna 500 g</t>
  </si>
  <si>
    <t>https://jumbocl.vteximg.com.br/arquivos/ids/347923-250-250/Apio-corte-media-luna-500-g.jpg?v=638776477923770000</t>
  </si>
  <si>
    <t>Champiñón Portobello 200 g</t>
  </si>
  <si>
    <t>https://jumbocl.vteximg.com.br/arquivos/ids/353164-250-250/Champi%C3%B1ones-portobello-200-g.jpg?v=638776696233930000</t>
  </si>
  <si>
    <t>Ensalada Dole Toscana 600 g</t>
  </si>
  <si>
    <t>https://jumbocl.vteximg.com.br/arquivos/ids/347914-250-250/Ensalada-Toscana-Dole-600-g.jpg?v=638776477808100000</t>
  </si>
  <si>
    <t>https://jumbocl.vteximg.com.br/arquivos/ids/388500-250-250/CRANBERRIES-MITAD.jpg?v=638776856067800000</t>
  </si>
  <si>
    <t>Maíz Frito con Sal de Mar Alto La Cruz 200 g</t>
  </si>
  <si>
    <t>https://jumbocl.vteximg.com.br/arquivos/ids/322942-250-250/Maiz-Frito-Con-Sal-de-Mar-Alto-La-Cruz-200-g.jpg?v=638776426525130000</t>
  </si>
  <si>
    <t>Manzana Fuji Orgánica 900 g</t>
  </si>
  <si>
    <t>https://jumbocl.vteximg.com.br/arquivos/ids/368205-250-250/Manzana-organica-900-g.jpg?v=638776771536700000</t>
  </si>
  <si>
    <t>Dátiles Sin Carozo 140 g</t>
  </si>
  <si>
    <t>https://jumbocl.vteximg.com.br/arquivos/ids/362383-250-250/Datiles-sin-carozo-140-g.jpg?v=638776742714500000</t>
  </si>
  <si>
    <t>https://jumbocl.vteximg.com.br/arquivos/ids/347928-250-250/Ensalada-Repollo-Zanahoria-y-Lechuga-Escarola-Genial-300-g.jpg?v=638776477997570000</t>
  </si>
  <si>
    <t>Apio y Zanahoria Básico 300 g</t>
  </si>
  <si>
    <t>https://jumbocl.vteximg.com.br/arquivos/ids/473849-250-250/Apio-y-Zanahoria-Basico-300-g.jpg?v=638872409055670000</t>
  </si>
  <si>
    <t>https://jumbocl.vteximg.com.br/arquivos/ids/633302-250-250/Lechuga-Milanesa.jpg?v=639130808412600000</t>
  </si>
  <si>
    <t>Cebollín Paquete 3 un.</t>
  </si>
  <si>
    <t>https://jumbocl.vteximg.com.br/arquivos/ids/482108-250-250/Cebollin-Paquete-3-un.jpg?v=638884643795700000</t>
  </si>
  <si>
    <t>Tomate Triple Tasty 500 g</t>
  </si>
  <si>
    <t>https://jumbocl.vteximg.com.br/arquivos/ids/348050-250-250/Tomates-Triple-Tasty-500-g.jpg?v=638776479651900000</t>
  </si>
  <si>
    <t>Ensalada Dole con Aderezos Sunflower Crunch 350 g</t>
  </si>
  <si>
    <t>https://jumbocl.vteximg.com.br/arquivos/ids/368448-250-250/Ensalada-con-aderezos-sunflower-crunch-350-g.jpg?v=638776772676230000</t>
  </si>
  <si>
    <t>Espinaca Baby 60 g</t>
  </si>
  <si>
    <t>https://jumbocl.vteximg.com.br/arquivos/ids/348013-250-250/1227316.jpg?v=638776479152500000</t>
  </si>
  <si>
    <t>https://jumbocl.vteximg.com.br/arquivos/ids/388491-250-250/CASTA%C3%91AS-DE-CAJU-TOSTADAS-SIN-SAL.jpg?v=638776856045570000</t>
  </si>
  <si>
    <t>https://jumbocl.vteximg.com.br/arquivos/ids/364000-250-250/Ciruelas-deshidratadas-pote-500-g-1-114578049.jpg?v=638776751559800000</t>
  </si>
  <si>
    <t>Repollo Morado Dole 300 g</t>
  </si>
  <si>
    <t>https://jumbocl.vteximg.com.br/arquivos/ids/347919-250-250/Repollo-Morado-Dole-300-g.jpg?v=638776477869530000</t>
  </si>
  <si>
    <t>Granola Keto Maqui 312 g</t>
  </si>
  <si>
    <t>https://jumbocl.vteximg.com.br/arquivos/ids/625561-250-250/Granola-Keto-Maqui-312-g.jpg?v=639123760065270000</t>
  </si>
  <si>
    <t>Berro Agrolam 50 g</t>
  </si>
  <si>
    <t>https://jumbocl.vteximg.com.br/arquivos/ids/368365-250-250/Berro-50-g.jpg?v=638776772200970000</t>
  </si>
  <si>
    <t>Rúcula Baby Pro Verde 150 g</t>
  </si>
  <si>
    <t>https://jumbocl.vteximg.com.br/arquivos/ids/445462-250-250/RUCULA-BABY-PV-150.jpg?v=638839631438070000</t>
  </si>
  <si>
    <t>Papa Orgánica Bolsa 900 g</t>
  </si>
  <si>
    <t>https://jumbocl.vteximg.com.br/arquivos/ids/353089-250-250/Papa-organica-bolsa-900-g.jpg?v=638776695946300000</t>
  </si>
  <si>
    <t>Chapsui Col Más Vida 300 g</t>
  </si>
  <si>
    <t>https://jumbocl.vteximg.com.br/arquivos/ids/648204-250-250/Chapsui-Col-Mas-Vida-300-g.jpg?v=639155313581830000</t>
  </si>
  <si>
    <t>Brotes de Alfalfa Agrosano 70 g</t>
  </si>
  <si>
    <t>https://jumbocl.vteximg.com.br/arquivos/ids/353032-250-250/1550294.jpg?v=638776695718500000</t>
  </si>
  <si>
    <t>https://jumbocl.vteximg.com.br/arquivos/ids/361210-250-250/Repollo-crespo-unid.jpg?v=638776736084870000</t>
  </si>
  <si>
    <t>Ajo Desgranado Malla 150 g</t>
  </si>
  <si>
    <t>https://jumbocl.vteximg.com.br/arquivos/ids/347979-250-250/296634.jpg?v=638776478673400000</t>
  </si>
  <si>
    <t>Granola Keto Tradicional 312 g</t>
  </si>
  <si>
    <t>https://jumbocl.vteximg.com.br/arquivos/ids/625559-250-250/Granola-Keto-Tradicional-312-g.jpg?v=639123760055470000</t>
  </si>
  <si>
    <t>Ensalada Dole Country Ranch 350 g</t>
  </si>
  <si>
    <t>https://jumbocl.vteximg.com.br/arquivos/ids/369392-250-250/Ensalada-country-ranch-350-g.jpg?v=638776777052070000</t>
  </si>
  <si>
    <t>Ensalada Coleslaw Genial 300 g</t>
  </si>
  <si>
    <t>https://jumbocl.vteximg.com.br/arquivos/ids/584720-250-250/Ensalada-Coleslaw-Genial-300-g.jpg?v=639077992073100000</t>
  </si>
  <si>
    <t>Frutillas Blancas 200 g</t>
  </si>
  <si>
    <t>https://jumbocl.vteximg.com.br/arquivos/ids/525509-250-250/2036332-01_711082.jpg?v=638962400536600000</t>
  </si>
  <si>
    <t>Kiwi Amarillo Pote 500 g</t>
  </si>
  <si>
    <t>https://jumbocl.vteximg.com.br/arquivos/ids/473807-250-250/Kiwi-Amarillo-en-Pote-500-g.jpg?v=638872408800830000</t>
  </si>
  <si>
    <t>Coco Fresco Unidad</t>
  </si>
  <si>
    <t>https://jumbocl.vteximg.com.br/arquivos/ids/650629-250-250/Coco-Fresco-Unidad.jpg?v=639165261813300000</t>
  </si>
  <si>
    <t>https://jumbocl.vteximg.com.br/arquivos/ids/356278-250-250/Principal-39297.jpg?v=638776711615330000</t>
  </si>
  <si>
    <t>Chips Tribu Mix Frutilla Plátano Liofilizado 20 g</t>
  </si>
  <si>
    <t>https://jumbocl.vteximg.com.br/arquivos/ids/324199-250-250/Mix-Frutilla-Platano-Liofilizado-Tribu-20-g.jpg?v=638776427410200000</t>
  </si>
  <si>
    <t>Tomate Mix Cóctel Variedades 300 g</t>
  </si>
  <si>
    <t>https://jumbocl.vteximg.com.br/arquivos/ids/367538-250-250/Tomate-mix-coctel-variedades-300-g.jpg?v=638776768401670000</t>
  </si>
  <si>
    <t>Lechuga Escarola Feria 1 un.</t>
  </si>
  <si>
    <t>https://jumbocl.vteximg.com.br/arquivos/ids/372069-250-250/Lechuga-escarola-feria-un.jpg?v=638776789804830000</t>
  </si>
  <si>
    <t>Mix Frutos Secos Deshidratados Pote 300 g</t>
  </si>
  <si>
    <t>https://jumbocl.vteximg.com.br/arquivos/ids/368363-250-250/Mix-frutos-secos-deshidratados-pote-300-g.jpg?v=638776772200200000</t>
  </si>
  <si>
    <t>Damasco 140 g</t>
  </si>
  <si>
    <t>https://jumbocl.vteximg.com.br/arquivos/ids/362381-250-250/Damasco-140-g.jpg?v=638776742712700000</t>
  </si>
  <si>
    <t>Ensalada Dole César 300 g</t>
  </si>
  <si>
    <t>https://jumbocl.vteximg.com.br/arquivos/ids/347908-250-250/Ensalada-Cesar-Dole-300-g.jpg?v=638776477725030000</t>
  </si>
  <si>
    <t>Mix Frutos del Bosque 700 g</t>
  </si>
  <si>
    <t>https://jumbocl.vteximg.com.br/arquivos/ids/366996-250-250/Mix-frutos-del-bosque-700-g-1-183513417.jpg?v=638776765794870000</t>
  </si>
  <si>
    <t>Pimiento Naranjo 1 un.</t>
  </si>
  <si>
    <t>https://jumbocl.vteximg.com.br/arquivos/ids/362355-250-250/Pimiento-naranjo-unid-1-116564.jpg?v=638776742576070000</t>
  </si>
  <si>
    <t>Menta Orgánica</t>
  </si>
  <si>
    <t>https://jumbocl.vteximg.com.br/arquivos/ids/368028-250-250/Menta-organica.jpg?v=638776770728400000</t>
  </si>
  <si>
    <t>Hoja Espinaca Orgánica 200 g</t>
  </si>
  <si>
    <t>https://jumbocl.vteximg.com.br/arquivos/ids/353169-250-250/260725-01_18001.jpg?v=638776696258070000</t>
  </si>
  <si>
    <t>Mix Fruta Mango Frutilla Kiwi 300 g</t>
  </si>
  <si>
    <t>https://jumbocl.vteximg.com.br/arquivos/ids/488427-250-250/Mix-Fruta-Mango-Frutilla-Kiwi-300-g.jpg?v=638894807171870000</t>
  </si>
  <si>
    <t>Frutilla Liofilizada Atama Rodaja 10 g</t>
  </si>
  <si>
    <t>https://jumbocl.vteximg.com.br/arquivos/ids/642332-250-250/Frutilla-Liofilizada-Atama-Rodaja-10-g.jpg?v=639147966778670000</t>
  </si>
  <si>
    <t>Rúcula Baby Agrolam Lista para Servir Bandeja 120 g</t>
  </si>
  <si>
    <t>https://jumbocl.vteximg.com.br/arquivos/ids/366864-250-250/R-cala-baby-lista-para-servir-bandeja-120-g-1-156009286.jpg?v=638776765194570000</t>
  </si>
  <si>
    <t>Chía Orgánica Manare 200 g</t>
  </si>
  <si>
    <t>https://jumbocl.vteximg.com.br/arquivos/ids/523759-250-250/Chia-Organica-Manare-200-g.jpg?v=638959916597570000</t>
  </si>
  <si>
    <t>Chapsui Especial Más Vida 300 g</t>
  </si>
  <si>
    <t>https://jumbocl.vteximg.com.br/arquivos/ids/648206-250-250/Chapsui-Especial-Mas-Vida-300-g.jpg?v=639155313599400000</t>
  </si>
  <si>
    <t>Espinaca Baby Dole 140 g</t>
  </si>
  <si>
    <t>https://jumbocl.vteximg.com.br/arquivos/ids/347961-250-250/Espinaca-baby-140-g.jpg?v=638776478437600000</t>
  </si>
  <si>
    <t>Champiñón Royal Granel</t>
  </si>
  <si>
    <t>https://jumbocl.vteximg.com.br/arquivos/ids/369672-250-250/Champi%C3%B1on-royal-granel.jpg?v=638776778474970000</t>
  </si>
  <si>
    <t>Hierba Buena Don Clemente Fresca 30 g</t>
  </si>
  <si>
    <t>https://jumbocl.vteximg.com.br/arquivos/ids/353009-250-250/1342051.jpg?v=638776695623800000</t>
  </si>
  <si>
    <t>Papa Ox Malla 1.5 kg</t>
  </si>
  <si>
    <t>https://jumbocl.vteximg.com.br/arquivos/ids/393552-250-250/PAPA-OX-MALLA-15-KG.jpg?v=638776875102330000</t>
  </si>
  <si>
    <t>Espinaca Agrolam 50 g</t>
  </si>
  <si>
    <t>https://jumbocl.vteximg.com.br/arquivos/ids/368354-250-250/Espinaca-50-g.jpg?v=638776772168000000</t>
  </si>
  <si>
    <t>Cilantro Baby 60 g</t>
  </si>
  <si>
    <t>https://jumbocl.vteximg.com.br/arquivos/ids/348007-250-250/1227317.jpg?v=638776479082830000</t>
  </si>
  <si>
    <t>Hierba Manzanilla Deshidratada 16 g</t>
  </si>
  <si>
    <t>https://jumbocl.vteximg.com.br/arquivos/ids/319061-250-250/Hierba-Manzanilla-Deshidratada-16-g.jpg?v=638776416491470000</t>
  </si>
  <si>
    <t>Champiñón Ostra 200 g</t>
  </si>
  <si>
    <t>https://jumbocl.vteximg.com.br/arquivos/ids/348004-250-250/Champi%C3%B1ones-ostra-200-g.jpg?v=638776479042900000</t>
  </si>
  <si>
    <t>Zapallo Diaguita Orgánico 1 un.</t>
  </si>
  <si>
    <t>https://jumbocl.vteximg.com.br/arquivos/ids/356829-250-250/Principal-34670.jpg?v=638776714539730000</t>
  </si>
  <si>
    <t>Mix Power Mix 700 g</t>
  </si>
  <si>
    <t>https://jumbocl.vteximg.com.br/arquivos/ids/366995-250-250/Mix-power-mix-700-g-1-183513419.jpg?v=638776765794870000</t>
  </si>
  <si>
    <t>Pimiento Dulce 1 un.</t>
  </si>
  <si>
    <t>https://jumbocl.vteximg.com.br/arquivos/ids/362388-250-250/Pimiento-dulce-unid-1-476742.jpg?v=638776742734130000</t>
  </si>
  <si>
    <t>Rúcula Baby Dole 140 g</t>
  </si>
  <si>
    <t>https://jumbocl.vteximg.com.br/arquivos/ids/347963-250-250/Rucula-Baby-Dole-140-g.jpg?v=638776478471400000</t>
  </si>
  <si>
    <t>Ensalada Corazón de Apio 2 un.</t>
  </si>
  <si>
    <t>https://jumbocl.vteximg.com.br/arquivos/ids/501595-250-250/Ensalada-Corazon-de-Apio-2-un.jpg?v=638920189080070000</t>
  </si>
  <si>
    <t>Mix Frutos Secos y Semillas 700 g</t>
  </si>
  <si>
    <t>https://jumbocl.vteximg.com.br/arquivos/ids/379282-250-250/Mix-Frutos-Secos-y-Semillas-700-g.jpg?v=638776818618330000</t>
  </si>
  <si>
    <t>Brotes de Soya</t>
  </si>
  <si>
    <t>https://jumbocl.vteximg.com.br/arquivos/ids/306784-250-250/Brotes-de-Soya.jpg?v=638776383138100000</t>
  </si>
  <si>
    <t>Zanahoria Baby 454 g</t>
  </si>
  <si>
    <t>https://jumbocl.vteximg.com.br/arquivos/ids/393366-250-250/Zanahoria-Baby-454-g.jpg?v=638776874340130000</t>
  </si>
  <si>
    <t>Chips Tribu Mix Manzana Arándano Frutilla Liofilizada 20 g</t>
  </si>
  <si>
    <t>https://jumbocl.vteximg.com.br/arquivos/ids/324037-250-250/Mix-Manzana-Arandano-Frutilla-Liofilizada-Tribu-20-g.jpg?v=638776427310600000</t>
  </si>
  <si>
    <t>Mezcla Avellanas 100 g</t>
  </si>
  <si>
    <t>https://jumbocl.vteximg.com.br/arquivos/ids/360212-250-250/1724562.jpg?v=638776731665500000</t>
  </si>
  <si>
    <t>Ensalada Vegus Orgánica Mix Dijon Vegus 150 g</t>
  </si>
  <si>
    <t>https://jumbocl.vteximg.com.br/arquivos/ids/353098-250-250/Principal-17629.jpg?v=638776695979730000</t>
  </si>
  <si>
    <t>Hierba Passiflora Deshidratada 16 g</t>
  </si>
  <si>
    <t>https://jumbocl.vteximg.com.br/arquivos/ids/611569-250-250/Hierba-Passiflora-Deshidratada-16-g.jpg?v=639111764445830000</t>
  </si>
  <si>
    <t>Mix Tomate Cherry 500 g</t>
  </si>
  <si>
    <t>https://jumbocl.vteximg.com.br/arquivos/ids/366337-250-250/Mix-tomate-cherry-500-g.jpg?v=638776763062130000</t>
  </si>
  <si>
    <t>Semillas de Chía Granel</t>
  </si>
  <si>
    <t>https://jumbocl.vteximg.com.br/arquivos/ids/388511-250-250/SEMILLA-DE-CHIA.jpg?v=638776856122930000</t>
  </si>
  <si>
    <t>Lechuga Fresh Cut Lollo Bionda 150 g</t>
  </si>
  <si>
    <t>https://jumbocl.vteximg.com.br/arquivos/ids/353134-250-250/1261601.jpg?v=638776696126530000</t>
  </si>
  <si>
    <t>Almendras Fileteadas Alto La Cruz 140 g</t>
  </si>
  <si>
    <t>https://jumbocl.vteximg.com.br/arquivos/ids/297649-250-250/Almendras-fileteadas-Alto-la-Cruz-140-g.jpg?v=638775741759930000</t>
  </si>
  <si>
    <t>https://jumbocl.vteximg.com.br/arquivos/ids/379281-250-250/Mix-Puro-Nuts-700-g.jpg?v=638776818616630000</t>
  </si>
  <si>
    <t>Cebolla en Cubos Pote 200 g</t>
  </si>
  <si>
    <t>https://jumbocl.vteximg.com.br/arquivos/ids/347925-250-250/Cebolla-en-Cubo-Genial-200-g.jpg?v=638776477951830000</t>
  </si>
  <si>
    <t>Papa Topinambur Granel</t>
  </si>
  <si>
    <t>https://jumbocl.vteximg.com.br/arquivos/ids/362357-250-250/1054606-KG-01_70621.jpg?v=638776742592100000</t>
  </si>
  <si>
    <t>Zanahoria Bastón 200 g</t>
  </si>
  <si>
    <t>https://jumbocl.vteximg.com.br/arquivos/ids/353002-250-250/261331.jpg?v=638776695600470000</t>
  </si>
  <si>
    <t>Endibias 500 g</t>
  </si>
  <si>
    <t>https://jumbocl.vteximg.com.br/arquivos/ids/648199-250-250/Endibias-500-g.jpg?v=639155313550800000</t>
  </si>
  <si>
    <t>Mix Mediterráneo Sabor Tomate Albahaca 100 g</t>
  </si>
  <si>
    <t>https://jumbocl.vteximg.com.br/arquivos/ids/479388-250-250/Mix-Mediterraneo-Sabor-Tomate-Albahaca-100-g.jpg?v=638881344191300000</t>
  </si>
  <si>
    <t>Dientes de Ajo Negro Chilote 80 g</t>
  </si>
  <si>
    <t>https://jumbocl.vteximg.com.br/arquivos/ids/381145-250-250/Dientes-de-Ajo-Negro-Chilote-80-g.jpg?v=638776826157400000</t>
  </si>
  <si>
    <t>Tomateens 300 g</t>
  </si>
  <si>
    <t>https://jumbocl.vteximg.com.br/arquivos/ids/357022-250-250/Principal-37729.jpg?v=638776715500770000</t>
  </si>
  <si>
    <t>Ciboulette Orgánico 1 un.</t>
  </si>
  <si>
    <t>https://jumbocl.vteximg.com.br/arquivos/ids/368026-250-250/Ciboulette-organico-un.jpg?v=638776770725770000</t>
  </si>
  <si>
    <t>Rúcula Vegus Orgánica 200 g</t>
  </si>
  <si>
    <t>https://jumbocl.vteximg.com.br/arquivos/ids/353078-250-250/Rucula-Organica-Vegus-200-g.jpg?v=638776695915230000</t>
  </si>
  <si>
    <t>Cochayuyo 1 un.</t>
  </si>
  <si>
    <t>https://jumbocl.vteximg.com.br/arquivos/ids/353016-250-250/Cochayuyo-1-unid-1-17505.jpg?v=638776695654770000</t>
  </si>
  <si>
    <t>Snack Ciruela Deshidratada 3 un.</t>
  </si>
  <si>
    <t>https://jumbocl.vteximg.com.br/arquivos/ids/399239-250-250/Ciruela-Deshidratada-Snack-3-un.jpg?v=638776897011400000</t>
  </si>
  <si>
    <t>Mix de Frutos Secos 250 g</t>
  </si>
  <si>
    <t>https://jumbocl.vteximg.com.br/arquivos/ids/347952-250-250/1497667.jpg?v=638776478323600000</t>
  </si>
  <si>
    <t>Cebollín Vegus Orgánico 6 un.</t>
  </si>
  <si>
    <t>https://jumbocl.vteximg.com.br/arquivos/ids/353083-250-250/Principal-17616.jpg?v=638776695924100000</t>
  </si>
  <si>
    <t>Semillas de Zapallo 100 g</t>
  </si>
  <si>
    <t>https://jumbocl.vteximg.com.br/arquivos/ids/365276-250-250/Semillas-de-zapallo-100-g.jpg?v=638776758066900000</t>
  </si>
  <si>
    <t>Brotes de Alfalfa 150 g</t>
  </si>
  <si>
    <t>https://jumbocl.vteximg.com.br/arquivos/ids/648197-250-250/Brotes-de-Alfalfa-150-g.jpg?v=639155313539200000</t>
  </si>
  <si>
    <t>Mix Asiáticos Agrolam Procesado Bandeja 120 g</t>
  </si>
  <si>
    <t>https://jumbocl.vteximg.com.br/arquivos/ids/368251-250-250/Mix-asiaticos-procesado-bandeja-120-g.jpg?v=638776771734670000</t>
  </si>
  <si>
    <t>https://jumbocl.vteximg.com.br/arquivos/ids/322547-250-250/Banana-Chips-400-g.jpg?v=638776426208030000</t>
  </si>
  <si>
    <t>Espinaca Dole 200 g</t>
  </si>
  <si>
    <t>https://jumbocl.vteximg.com.br/arquivos/ids/347915-250-250/Espinaca-Dole-200-g.jpg?v=638776477819000000</t>
  </si>
  <si>
    <t>Cochayuyo Trozado 80 g</t>
  </si>
  <si>
    <t>https://jumbocl.vteximg.com.br/arquivos/ids/348009-250-250/260626.jpg?v=638776479107370000</t>
  </si>
  <si>
    <t>Chalotas Malla 250 g</t>
  </si>
  <si>
    <t>https://jumbocl.vteximg.com.br/arquivos/ids/348002-250-250/296675.jpg?v=638776479018530000</t>
  </si>
  <si>
    <t>Castaña Caju Tostada Sin Sal 700 g</t>
  </si>
  <si>
    <t>https://jumbocl.vteximg.com.br/arquivos/ids/322290-250-250/Casta%C3%B1a-Caju-Tostada-Sin-Sal-700-g.jpg?v=638776425822700000</t>
  </si>
  <si>
    <t>Zuchinni Granel</t>
  </si>
  <si>
    <t>https://jumbocl.vteximg.com.br/arquivos/ids/376681-250-250/Zuchinni-kg.jpg?v=638776808637230000</t>
  </si>
  <si>
    <t>Castañas de Cajú 100 g</t>
  </si>
  <si>
    <t>https://jumbocl.vteximg.com.br/arquivos/ids/364928-250-250/Casta%C3%B1a-de-caju-100-g.jpg?v=638776756509730000</t>
  </si>
  <si>
    <t>Espinaca Agrosano 200 g</t>
  </si>
  <si>
    <t>https://jumbocl.vteximg.com.br/arquivos/ids/353029-250-250/1350589.jpg?v=638776695702870000</t>
  </si>
  <si>
    <t>Albahaca Orgánica 1 un.</t>
  </si>
  <si>
    <t>https://jumbocl.vteximg.com.br/arquivos/ids/368029-250-250/Albahaca-organica-un.jpg?v=638776770728730000</t>
  </si>
  <si>
    <t>Diente de Dragón Agrosano 1 kg</t>
  </si>
  <si>
    <t>https://jumbocl.vteximg.com.br/arquivos/ids/353027-250-250/Diente-de-dragon-1-kg.jpg?v=638776695699900000</t>
  </si>
  <si>
    <t>Lechuga Fresh Cut Salsanova Crispy 150 g</t>
  </si>
  <si>
    <t>https://jumbocl.vteximg.com.br/arquivos/ids/353132-250-250/1616608.jpg?v=638776696122230000</t>
  </si>
  <si>
    <t>https://jumbocl.vteximg.com.br/arquivos/ids/362378-250-250/Mango-en-lonja-150-g.jpg?v=638776742692000000</t>
  </si>
  <si>
    <t>Brotes de Rabanito Agrosano 70 g</t>
  </si>
  <si>
    <t>https://jumbocl.vteximg.com.br/arquivos/ids/353031-250-250/1550295.jpg?v=638776695715270000</t>
  </si>
  <si>
    <t>Planta Melisa Verde Aroma Orgánica</t>
  </si>
  <si>
    <t>https://jumbocl.vteximg.com.br/arquivos/ids/540856-250-250/PLANTA-MELISA-ORG.jpg?v=638986715591370000</t>
  </si>
  <si>
    <t>Hierba Melisa Deshidratada 16 g</t>
  </si>
  <si>
    <t>https://jumbocl.vteximg.com.br/arquivos/ids/611587-250-250/Hierba-Melisa-Deshidratada-16-g.jpg?v=639111764685600000</t>
  </si>
  <si>
    <t>Pasta Ajo Negro Chilote 125 g</t>
  </si>
  <si>
    <t>https://jumbocl.vteximg.com.br/arquivos/ids/384551-250-250/Pasta-Ajo-Negro-Chilote-125-g.jpg?v=638776840668000000</t>
  </si>
  <si>
    <t>Perejil Crespo Bandeja 30 g</t>
  </si>
  <si>
    <t>https://jumbocl.vteximg.com.br/arquivos/ids/355670-250-250/Perejil-crespo-30-g.jpg?v=638776708341500000</t>
  </si>
  <si>
    <t>Mix Natural Tostado 700 g</t>
  </si>
  <si>
    <t>https://jumbocl.vteximg.com.br/arquivos/ids/315825-250-250/Mix-Natural-Tostado-700-g.jpg?v=638776406543900000</t>
  </si>
  <si>
    <t>Mix Fruta Mango Piña Arándano Frambuesa 300 g</t>
  </si>
  <si>
    <t>https://jumbocl.vteximg.com.br/arquivos/ids/473711-250-250/Mix-Fruta-Mango-Pi%C3%B1a-Arandano-Frambuesa-300-g.jpg?v=638872408450000000</t>
  </si>
  <si>
    <t>Ciruela Sin Carozo 250 g</t>
  </si>
  <si>
    <t>https://jumbocl.vteximg.com.br/arquivos/ids/394335-250-250/Ciruela-Sin-Carozo-250-g.jpg?v=638776878405900000</t>
  </si>
  <si>
    <t>Espinaca Baby Agrolam Lista para Servir 120 g</t>
  </si>
  <si>
    <t>https://jumbocl.vteximg.com.br/arquivos/ids/366862-250-250/Espinaca-baby-lista-para-servir-bandeja-120-g-1-156009287.jpg?v=638776765192670000</t>
  </si>
  <si>
    <t>Limón Orgánico 1 kg</t>
  </si>
  <si>
    <t>https://jumbocl.vteximg.com.br/arquivos/ids/304131-250-250/Limon-Organico-1-kg.jpg?v=638869766586730000</t>
  </si>
  <si>
    <t>https://jumbocl.vteximg.com.br/arquivos/ids/388493-250-250/ALMENDRAS-NATURALES.jpg?v=638776856048170000</t>
  </si>
  <si>
    <t>Laurel Fresco 30 g</t>
  </si>
  <si>
    <t>https://jumbocl.vteximg.com.br/arquivos/ids/356155-250-250/1340566.jpg?v=638776710959400000</t>
  </si>
  <si>
    <t>Apio 1 un.</t>
  </si>
  <si>
    <t>https://jumbocl.vteximg.com.br/arquivos/ids/329170-250-250/Apio.jpg?v=638776431557670000</t>
  </si>
  <si>
    <t>Lechuga Fresh Cut Salanova Hojas 150 g</t>
  </si>
  <si>
    <t>https://jumbocl.vteximg.com.br/arquivos/ids/347972-250-250/1261606.jpg?v=638776478589030000</t>
  </si>
  <si>
    <t>https://jumbocl.vteximg.com.br/arquivos/ids/323761-250-250/Datil-Sin-Carozo-700-g.jpg?v=638776427125270000</t>
  </si>
  <si>
    <t>Super Mix Frutos Secos 400 g</t>
  </si>
  <si>
    <t>https://jumbocl.vteximg.com.br/arquivos/ids/369566-250-250/Super-mix-frutos-secos-400-g.jpg?v=638776777917230000</t>
  </si>
  <si>
    <t>Tomate Cóctel Amarillo 250 g</t>
  </si>
  <si>
    <t>https://jumbocl.vteximg.com.br/arquivos/ids/376667-250-250/Tomate-cocktail-amarillo-250-g.jpg?v=638776808582670000</t>
  </si>
  <si>
    <t>Mix Power 700 g</t>
  </si>
  <si>
    <t>https://jumbocl.vteximg.com.br/arquivos/ids/379289-250-250/Mix-Power-700-g.jpg?v=638776818639500000</t>
  </si>
  <si>
    <t>https://jumbocl.vteximg.com.br/arquivos/ids/369636-250-250/1856969-01_462590.jpg?v=638776778317600000</t>
  </si>
  <si>
    <t>Mote Fresco 500 g</t>
  </si>
  <si>
    <t>https://jumbocl.vteximg.com.br/arquivos/ids/353008-250-250/1361565.jpg?v=638776695623200000</t>
  </si>
  <si>
    <t>Chips Tribu Manzana Liofilizada 20 g</t>
  </si>
  <si>
    <t>https://jumbocl.vteximg.com.br/arquivos/ids/324145-250-250/Manzana-Liofilizada-Tribu-20-g.jpg?v=638776427377230000</t>
  </si>
  <si>
    <t>Ciboulette Oriental 50 g</t>
  </si>
  <si>
    <t>https://jumbocl.vteximg.com.br/arquivos/ids/648198-250-250/Ciboulette-Oriental-50-g.jpg?v=639155313544830000</t>
  </si>
  <si>
    <t>Cereza Liofilizada Atama Rodaja 20 g</t>
  </si>
  <si>
    <t>https://jumbocl.vteximg.com.br/arquivos/ids/642330-250-250/Cereza-Liofilizada-Atama-Rodaja-20-g.jpg?v=639147966769300000</t>
  </si>
  <si>
    <t>Almendra Tostada Cuisine &amp; Co 700 g</t>
  </si>
  <si>
    <t>https://jumbocl.vteximg.com.br/arquivos/ids/379278-250-250/Almendra-Tostada-700-g.jpg?v=638776818593430000</t>
  </si>
  <si>
    <t>Ensalada Vegus Orgánica Mix Francés Vegus 150 g</t>
  </si>
  <si>
    <t>https://jumbocl.vteximg.com.br/arquivos/ids/353091-250-250/Principal-17626.jpg?v=638776695955200000</t>
  </si>
  <si>
    <t>Perejil Badia Spices 85 g</t>
  </si>
  <si>
    <t>https://jumbocl.vteximg.com.br/arquivos/ids/556836-250-250/Perejil-Badia-Spices-85-g.jpg?v=639022766336300000</t>
  </si>
  <si>
    <t>Papa para Freir Eblooms 2 kg</t>
  </si>
  <si>
    <t>https://jumbocl.vteximg.com.br/arquivos/ids/404887-250-250/PAPA-FREIR-2-KG.jpg?v=638779826771630000</t>
  </si>
  <si>
    <t>Zapallo Spaguetti Vegus Orgánico 1 un.</t>
  </si>
  <si>
    <t>https://jumbocl.vteximg.com.br/arquivos/ids/359459-250-250/Principal-4411212.jpg?v=638776728298370000</t>
  </si>
  <si>
    <t>Zanahoria Baby Dole 454 g</t>
  </si>
  <si>
    <t>https://jumbocl.vteximg.com.br/arquivos/ids/458156-250-250/Zanahoria-Baby-Dole-454-g.jpg?v=638858753422730000</t>
  </si>
  <si>
    <t>https://jumbocl.vteximg.com.br/arquivos/ids/365277-250-250/Pistachos-sin-cascara-100-g-1-92801021.jpg?v=638776758067370000</t>
  </si>
  <si>
    <t>Frasco Morchellas Deshidratadas 30 g</t>
  </si>
  <si>
    <t>https://jumbocl.vteximg.com.br/arquivos/ids/584581-250-250/Frasco-Morchellas-Deshidratadas-30-g.jpg?v=639077991825570000</t>
  </si>
  <si>
    <t>Granola Keto Matcha 312 g</t>
  </si>
  <si>
    <t>https://jumbocl.vteximg.com.br/arquivos/ids/625563-250-250/Granola-Keto-Matcha-312-g.jpg?v=639123760072600000</t>
  </si>
  <si>
    <t>Rúcula Clamshell Fresh Cut 150 g</t>
  </si>
  <si>
    <t>https://jumbocl.vteximg.com.br/arquivos/ids/347977-250-250/Rucula-Fresh-Cut-150-g.jpg?v=638776478652900000</t>
  </si>
  <si>
    <t>Porotos Verdes 500 g</t>
  </si>
  <si>
    <t>https://jumbocl.vteximg.com.br/arquivos/ids/348033-250-250/Porotos-verdes-500-g.jpg?v=638776479416700000</t>
  </si>
  <si>
    <t>Cebolla Blanca Malla 3 un.</t>
  </si>
  <si>
    <t>https://jumbocl.vteximg.com.br/arquivos/ids/353057-250-250/1433832.jpg?v=638776695814730000</t>
  </si>
  <si>
    <t>Chapsui Thai Más Vida 300 g</t>
  </si>
  <si>
    <t>https://jumbocl.vteximg.com.br/arquivos/ids/648205-250-250/Chapsui-Thai-Mas-Vida-300-g.jpg?v=639155313589630000</t>
  </si>
  <si>
    <t>Berro Baby Agrolam Listo para Servir 120 g</t>
  </si>
  <si>
    <t>https://jumbocl.vteximg.com.br/arquivos/ids/366863-250-250/Berro-baby-listo-para-servir-bandeja-120-g-1-156009288.jpg?v=638776765194230000</t>
  </si>
  <si>
    <t>Crutones con Queso y Ajo 80 g</t>
  </si>
  <si>
    <t>https://jumbocl.vteximg.com.br/arquivos/ids/362215-250-250/Crutones-con-queso-y-ajo-80-g.jpg?v=638776741724900000</t>
  </si>
  <si>
    <t>https://jumbocl.vteximg.com.br/arquivos/ids/347933-250-250/Repollo-Blanco-Genial-300-g.jpg?v=638776478072470000</t>
  </si>
  <si>
    <t>Espinaca Baby Fresh Cut 150 g</t>
  </si>
  <si>
    <t>https://jumbocl.vteximg.com.br/arquivos/ids/347968-250-250/1261595.jpg?v=638776478534000000</t>
  </si>
  <si>
    <t>Almendras Laminadas Granel</t>
  </si>
  <si>
    <t>https://jumbocl.vteximg.com.br/arquivos/ids/388509-250-250/ALMENDRAS-LAMINADAS.jpg?v=638776856120730000</t>
  </si>
  <si>
    <t>Cebolla Orgánica Malla 1 kg</t>
  </si>
  <si>
    <t>https://jumbocl.vteximg.com.br/arquivos/ids/369979-250-250/Cebolla-organica-malla-1-kg.jpg?v=638776779934330000</t>
  </si>
  <si>
    <t>Limón Cóctel Malla 500 g</t>
  </si>
  <si>
    <t>https://jumbocl.vteximg.com.br/arquivos/ids/359252-250-250/Limon-cocktail-malla-500-g.jpg?v=638799890691700000</t>
  </si>
  <si>
    <t>Cramberries Deshidratado 150 g</t>
  </si>
  <si>
    <t>https://jumbocl.vteximg.com.br/arquivos/ids/362376-250-250/Cramberries-deshidratado-150-g.jpg?v=638776742680730000</t>
  </si>
  <si>
    <t>https://jumbocl.vteximg.com.br/arquivos/ids/379280-250-250/Mix-Cajuna-700-g.jpg?v=638776818615700000</t>
  </si>
  <si>
    <t>Mezcla Wok Agrosano Base 300 g</t>
  </si>
  <si>
    <t>https://jumbocl.vteximg.com.br/arquivos/ids/353028-250-250/911596.jpg?v=638776695700370000</t>
  </si>
  <si>
    <t>Papa para cocer Eblooms 2kg</t>
  </si>
  <si>
    <t>https://jumbocl.vteximg.com.br/arquivos/ids/404885-250-250/PAPA-COCER-2-KG.jpg?v=638779826770700000</t>
  </si>
  <si>
    <t>Dátil 100 g</t>
  </si>
  <si>
    <t>https://jumbocl.vteximg.com.br/arquivos/ids/366057-250-250/Datil-100-g-1-92801017.jpg?v=638776761867470000</t>
  </si>
  <si>
    <t>Cebolla Trío Malla 3 un.</t>
  </si>
  <si>
    <t>https://jumbocl.vteximg.com.br/arquivos/ids/353056-250-250/1433833.jpg?v=638776695814730000</t>
  </si>
  <si>
    <t>Semilla de Amapola 300 g</t>
  </si>
  <si>
    <t>https://jumbocl.vteximg.com.br/arquivos/ids/323800-250-250/Semilla-de-Amapola-300-g.jpg?v=638776427160670000</t>
  </si>
  <si>
    <t>Cebolla Orgánica Malla 3 un.</t>
  </si>
  <si>
    <t>https://jumbocl.vteximg.com.br/arquivos/ids/353109-250-250/1074046.jpg?v=638776696032330000</t>
  </si>
  <si>
    <t>Aliño César Gourmet Envase 250 g</t>
  </si>
  <si>
    <t>https://jumbocl.vteximg.com.br/arquivos/ids/299876-250-250/Ali%C3%B1o-Cesar-Gourmet-Envase-250-g.jpg?v=638776371296530000</t>
  </si>
  <si>
    <t>Aderezos y Salsas</t>
  </si>
  <si>
    <t>Lechuga Escarola 300 g</t>
  </si>
  <si>
    <t>https://jumbocl.vteximg.com.br/arquivos/ids/347931-250-250/Lechuga-escarola-300-g.jpg?v=638776478043600000</t>
  </si>
  <si>
    <t>Corazón Tudela Fresh Cut Clamshell 150 g</t>
  </si>
  <si>
    <t>https://jumbocl.vteximg.com.br/arquivos/ids/357262-250-250/Principal-38910.jpg?v=638776716670530000</t>
  </si>
  <si>
    <t>Lechuga Fresh Cut Hojas Roble Verde 150 g</t>
  </si>
  <si>
    <t>https://jumbocl.vteximg.com.br/arquivos/ids/347971-250-250/1261602.jpg?v=638776478572130000</t>
  </si>
  <si>
    <t>Lechuga Dole Escarola 600 g</t>
  </si>
  <si>
    <t>https://jumbocl.vteximg.com.br/arquivos/ids/347916-250-250/Lechuga-Escarola-Dole-600-g.jpg?v=638776477832900000</t>
  </si>
  <si>
    <t>Ensalada Toscana 600 g</t>
  </si>
  <si>
    <t>https://jumbocl.vteximg.com.br/arquivos/ids/347929-250-250/Ensalada-Repollo-Zanahoria-y-Lechuga-Escarola-Genial-600-g.jpg?v=638776478013370000</t>
  </si>
  <si>
    <t>Kit de Recarga Retardador de Descomposición de Vegetales 1 un.</t>
  </si>
  <si>
    <t>https://jumbocl.vteximg.com.br/arquivos/ids/366871-250-250/Kit-de-recarga-retardador-de-descomposicion-de-vegetales-2-un.jpg?v=638776765239270000</t>
  </si>
  <si>
    <t>https://jumbocl.vteximg.com.br/arquivos/ids/347926-250-250/Ensalada-de-Repollo-Morado-Genial-300-g.jpg?v=638776477967570000</t>
  </si>
  <si>
    <t>Champiñón Royal 400 g</t>
  </si>
  <si>
    <t>https://jumbocl.vteximg.com.br/arquivos/ids/355942-250-250/Champi%C3%B1on-royal-400-g.jpg?v=638776709796800000</t>
  </si>
  <si>
    <t>Chirimoya Granel</t>
  </si>
  <si>
    <t>https://jumbocl.vteximg.com.br/arquivos/ids/352971-250-250/Chirimoya-granel.jpg?v=638776695422370000</t>
  </si>
  <si>
    <t>Hierba Salvia Deshidratada 16 g</t>
  </si>
  <si>
    <t>https://jumbocl.vteximg.com.br/arquivos/ids/611597-250-250/Hierba-Salvia-Deshidratada-16-g.jpg?v=639111764772600000</t>
  </si>
  <si>
    <t>Mix Natural 300 g</t>
  </si>
  <si>
    <t>https://jumbocl.vteximg.com.br/arquivos/ids/347949-250-250/Mix-natural-alto-la-cruz-300-g.jpg?v=638776478284530000</t>
  </si>
  <si>
    <t>Apio Medialuna Orgánico 350 g</t>
  </si>
  <si>
    <t>https://jumbocl.vteximg.com.br/arquivos/ids/518502-250-250/Apio-Medialuna-Organico-350-g.jpg?v=638950379148930000</t>
  </si>
  <si>
    <t>Acelga Orgánica 700 g</t>
  </si>
  <si>
    <t>https://jumbocl.vteximg.com.br/arquivos/ids/653906-250-250/Acelga-Organica-700-g.jpg?v=639173144967330000</t>
  </si>
  <si>
    <t>Zapallo Butternut Cubo Orgánico 500 g</t>
  </si>
  <si>
    <t>https://jumbocl.vteximg.com.br/arquivos/ids/632878-250-250/Zapallo-Butternut-Cubo-Organico-500-g.jpg?v=639130807496070000</t>
  </si>
  <si>
    <t>Ají Verde Bandeja 200 g</t>
  </si>
  <si>
    <t>https://jumbocl.vteximg.com.br/arquivos/ids/347984-250-250/260461.jpg?v=638776478744300000</t>
  </si>
  <si>
    <t>Nuez Cuarto 700 g</t>
  </si>
  <si>
    <t>https://jumbocl.vteximg.com.br/arquivos/ids/380008-250-250/Nuez-Cuarto-700-g.jpg?v=638776821423300000</t>
  </si>
  <si>
    <t>Espinaca Fresh Cut Gourmet 500 g</t>
  </si>
  <si>
    <t>https://jumbocl.vteximg.com.br/arquivos/ids/347969-250-250/1261597.jpg?v=638776478547330000</t>
  </si>
  <si>
    <t>Tomillo 30 g</t>
  </si>
  <si>
    <t>https://jumbocl.vteximg.com.br/arquivos/ids/355672-250-250/Principal-24388.jpg?v=638776708355300000</t>
  </si>
  <si>
    <t>Brotes de Arveja 150 g</t>
  </si>
  <si>
    <t>https://jumbocl.vteximg.com.br/arquivos/ids/648202-250-250/Brotes-de-Arveja-150-g.jpg?v=639155313569200000</t>
  </si>
  <si>
    <t>Palta Negra de La Cruz Malla 1 kg</t>
  </si>
  <si>
    <t>https://jumbocl.vteximg.com.br/arquivos/ids/355661-250-250/Principal-24379.jpg?v=638776708305300000</t>
  </si>
  <si>
    <t>https://jumbocl.vteximg.com.br/arquivos/ids/394334-250-250/Huesillo-Grande-600-g.jpg?v=638776878404200000</t>
  </si>
  <si>
    <t>Zapallo Italiano Deshidratado 70 g</t>
  </si>
  <si>
    <t>https://jumbocl.vteximg.com.br/arquivos/ids/520896-250-250/Zapallo-Italiano-Deshidratado-70-g.jpg?v=638954429790500000</t>
  </si>
  <si>
    <t>Mix Natural con Pasas Morenas Granel</t>
  </si>
  <si>
    <t>https://jumbocl.vteximg.com.br/arquivos/ids/388495-250-250/MIX-NATURAL-CON-PASAS-MORENAS.jpg?v=638776856051000000</t>
  </si>
  <si>
    <t>Súper Mix Frutos Secos 1 kg</t>
  </si>
  <si>
    <t>https://jumbocl.vteximg.com.br/arquivos/ids/369587-250-250/Super-mix-frutos-secos-1-kg.jpg?v=638776778014970000</t>
  </si>
  <si>
    <t>Ensalada Dole Napolitana Repollo Blanco y Zanahoria Dole 600 g</t>
  </si>
  <si>
    <t>https://jumbocl.vteximg.com.br/arquivos/ids/347912-250-250/Ensalada-Napolitana-Repollo-blanco-y-Zanahoria-Dole-600-g.jpg?v=638776477783400000</t>
  </si>
  <si>
    <t>Mix Sembrasol Nut Chocofun Nuts 800 g</t>
  </si>
  <si>
    <t>https://jumbocl.vteximg.com.br/arquivos/ids/563529-250-250/Mix-Sembrasol-Nut-Chocofun-Nuts-800-g.jpg?v=639038205432500000</t>
  </si>
  <si>
    <t>Hojas Verdes</t>
  </si>
  <si>
    <t>https://jumbocl.vteximg.com.br/arquivos/ids/501401-250-250/Hojas-Verdes.jpg?v=638920188710930000</t>
  </si>
  <si>
    <t>https://jumbocl.vteximg.com.br/arquivos/ids/353101-250-250/677970.jpg?v=638776696000470000</t>
  </si>
  <si>
    <t>Orégano Orgánico</t>
  </si>
  <si>
    <t>https://jumbocl.vteximg.com.br/arquivos/ids/368034-250-250/Oregano-organico.jpg?v=638776770747230000</t>
  </si>
  <si>
    <t>https://jumbocl.vteximg.com.br/arquivos/ids/353161-250-250/Pomelo-rosado-2-kg.jpg?v=638776696229930000</t>
  </si>
  <si>
    <t>Hojas Mixtas</t>
  </si>
  <si>
    <t>https://jumbocl.vteximg.com.br/arquivos/ids/501396-250-250/Hojas-Mixtas.jpg?v=638920188702970000</t>
  </si>
  <si>
    <t>Proteína de Soya Granel</t>
  </si>
  <si>
    <t>https://jumbocl.vteximg.com.br/arquivos/ids/554618-250-250/Proteina-de-Soya-Granel.jpg?v=639016862188300000</t>
  </si>
  <si>
    <t>https://jumbocl.vteximg.com.br/arquivos/ids/369665-250-250/Diente-de-dragon-granel.jpg?v=638776778436230000</t>
  </si>
  <si>
    <t>https://jumbocl.vteximg.com.br/arquivos/ids/388497-250-250/COCO-EN-LONJA---SLICE--.jpg?v=638776856064200000</t>
  </si>
  <si>
    <t>Huesillos 1 kg</t>
  </si>
  <si>
    <t>https://jumbocl.vteximg.com.br/arquivos/ids/353048-250-250/526522.jpg?v=638776695774300000</t>
  </si>
  <si>
    <t>Avellana Nacional Tostada 120 g</t>
  </si>
  <si>
    <t>https://jumbocl.vteximg.com.br/arquivos/ids/355826-250-250/526521.jpg?v=638776709155100000</t>
  </si>
  <si>
    <t>Mix Frutos Secos 700 g</t>
  </si>
  <si>
    <t>https://jumbocl.vteximg.com.br/arquivos/ids/379275-250-250/Mix-Frutos-Secos-700-g.jpg?v=638776818589730000</t>
  </si>
  <si>
    <t>Salsa para Untar Gourmet Yogurt y Ciboulette 200 g</t>
  </si>
  <si>
    <t>https://jumbocl.vteximg.com.br/arquivos/ids/299733-250-250/Salsa-Para-Untar-Gourmet-Yoghurt-y-Ciboulette-200-g.jpg?v=638776370977330000</t>
  </si>
  <si>
    <t>Pastas para Cóctel y Untables</t>
  </si>
  <si>
    <t>Pack Snack Saludable Mix Frutos Secos y Semillas 30 g 10 un.</t>
  </si>
  <si>
    <t>https://jumbocl.vteximg.com.br/arquivos/ids/312756-250-250/Mix-frutos-secos-y-semillas-30-g.jpg?v=638776397501930000</t>
  </si>
  <si>
    <t>Cebollín Feria Orgánico 3 un.</t>
  </si>
  <si>
    <t>https://jumbocl.vteximg.com.br/arquivos/ids/584711-250-250/Cebollin-Feria-Organico-3-un.jpg?v=639077992060600000</t>
  </si>
  <si>
    <t>Mix Chilli Sabor Merkén 100 g</t>
  </si>
  <si>
    <t>https://jumbocl.vteximg.com.br/arquivos/ids/479389-250-250/Mix-Chilli-Sabor-Merken-100-g.jpg?v=638881344197700000</t>
  </si>
  <si>
    <t>Zapallo Cubo Orgánico 500 g</t>
  </si>
  <si>
    <t>https://jumbocl.vteximg.com.br/arquivos/ids/355375-250-250/1696047-1.jpg?v=638776706596770000</t>
  </si>
  <si>
    <t>https://jumbocl.vteximg.com.br/arquivos/ids/388499-250-250/AVELLANA-EUROPEA.jpg?v=638776856067470000</t>
  </si>
  <si>
    <t>Ensalada Apio Juliana 300 g</t>
  </si>
  <si>
    <t>https://jumbocl.vteximg.com.br/arquivos/ids/410974-250-250/Ensalada-Apio-Juliana-300-g.jpg?v=638791097298470000</t>
  </si>
  <si>
    <t>https://jumbocl.vteximg.com.br/arquivos/ids/379284-250-250/Mani-Tostado-700-g.jpg?v=638776818619430000</t>
  </si>
  <si>
    <t>Limón Cóctel Granel</t>
  </si>
  <si>
    <t>https://jumbocl.vteximg.com.br/arquivos/ids/352989-250-250/1060537-KG-1.jpg?v=638776695523130000</t>
  </si>
  <si>
    <t>Chía Oso 250 g</t>
  </si>
  <si>
    <t>https://jumbocl.vteximg.com.br/arquivos/ids/356823-250-250/Principal-34653.jpg?v=638776714519400000</t>
  </si>
  <si>
    <t>Avellana Europea Cuisine &amp; Co 100 g</t>
  </si>
  <si>
    <t>https://jumbocl.vteximg.com.br/arquivos/ids/364931-250-250/Avellana-europea-100-g.jpg?v=638776756513500000</t>
  </si>
  <si>
    <t>Amaranto Granel</t>
  </si>
  <si>
    <t>https://jumbocl.vteximg.com.br/arquivos/ids/584764-250-250/Amaranto-Granel.jpg?v=639077992291670000</t>
  </si>
  <si>
    <t>Castañas de Cajú Sin Sal 350 g</t>
  </si>
  <si>
    <t>https://jumbocl.vteximg.com.br/arquivos/ids/394333-250-250/Casta%C3%B1a-de-Caju-Sin-Sal-350-g.jpg?v=638776878403570000</t>
  </si>
  <si>
    <t>Papa Topinambur 250 g</t>
  </si>
  <si>
    <t>https://jumbocl.vteximg.com.br/arquivos/ids/353097-250-250/Papa-topinambur-250-g.jpg?v=638776695975530000</t>
  </si>
  <si>
    <t>https://jumbocl.vteximg.com.br/arquivos/ids/488608-250-250/MANZANA-DESHI-80GR.jpg?v=638894864798830000</t>
  </si>
  <si>
    <t>Avellana Europea 120 g</t>
  </si>
  <si>
    <t>https://jumbocl.vteximg.com.br/arquivos/ids/356466-250-250/1616094.jpg?v=638776712686670000</t>
  </si>
  <si>
    <t>https://jumbocl.vteximg.com.br/arquivos/ids/379283-250-250/Mix-Frutos-Del-Bosque-700-g.jpg?v=638776818618670000</t>
  </si>
  <si>
    <t>Repollo Blanco Dole 600 g</t>
  </si>
  <si>
    <t>https://jumbocl.vteximg.com.br/arquivos/ids/347918-250-250/Repollo-blanco-600-g.jpg?v=638776477859030000</t>
  </si>
  <si>
    <t>Pasas Rubias Surco 250 g</t>
  </si>
  <si>
    <t>https://jumbocl.vteximg.com.br/arquivos/ids/347953-250-250/1497665.jpg?v=638776478333430000</t>
  </si>
  <si>
    <t>Nuez Mariposa Frutisa 200 g</t>
  </si>
  <si>
    <t>https://jumbocl.vteximg.com.br/arquivos/ids/353051-250-250/Nuez-Mariposa-Frutisa-200-g.jpg?v=638776695789500000</t>
  </si>
  <si>
    <t>Lechuga Fresh Cut Roble Roja 150 g</t>
  </si>
  <si>
    <t>https://jumbocl.vteximg.com.br/arquivos/ids/353133-250-250/1261603.jpg?v=638776696123800000</t>
  </si>
  <si>
    <t>Frutos Secos Dulce Crunch Avellana 650 g</t>
  </si>
  <si>
    <t>https://jumbocl.vteximg.com.br/arquivos/ids/563543-250-250/Frutos-Secos-Dulce-Crunch-Avellana-650-g.jpg?v=639038205525900000</t>
  </si>
  <si>
    <t>Frutos Secos Sembrasol Sweet Moment 800 g</t>
  </si>
  <si>
    <t>https://jumbocl.vteximg.com.br/arquivos/ids/563533-250-250/Frutos-Secos-Sembrasol-Sweet-Moment-800-g.jpg?v=639038205458900000</t>
  </si>
  <si>
    <t>Mix Frutos Secos Chocofun Sembrasol 670 g</t>
  </si>
  <si>
    <t>https://jumbocl.vteximg.com.br/arquivos/ids/575032-250-250/Mix-Frutos-Secos-Chocofun-Sembrasol-670-g.jpg?v=639068658866470000</t>
  </si>
  <si>
    <t>Mix Frutos Secos Sembrasol Banana 800 g</t>
  </si>
  <si>
    <t>https://jumbocl.vteximg.com.br/arquivos/ids/563541-250-250/Mix-Frutos-Secos-Sembrasol-Banana-800-g.jpg?v=639038205512070000</t>
  </si>
  <si>
    <t>Corazón de Costina Duo Color</t>
  </si>
  <si>
    <t>https://jumbocl.vteximg.com.br/arquivos/ids/330634-250-250/Corazon-de-Costina-Duo-Color.jpg?v=638776432572630000</t>
  </si>
  <si>
    <t>Salvia 8 g</t>
  </si>
  <si>
    <t>https://jumbocl.vteximg.com.br/arquivos/ids/355835-250-250/545258.jpg?v=638776709234570000</t>
  </si>
  <si>
    <t>Ají Cacho de Cabra Deshidratado 50 g</t>
  </si>
  <si>
    <t>https://jumbocl.vteximg.com.br/arquivos/ids/423189-250-250/Aji-cacho-de-cabra-deshidratado-50-g.jpg?v=638809594921570000</t>
  </si>
  <si>
    <t>Cebolla Orgánica 1 kg</t>
  </si>
  <si>
    <t>https://jumbocl.vteximg.com.br/arquivos/ids/353150-250-250/Cebolla-organica-900-g.jpg?v=638776696188030000</t>
  </si>
  <si>
    <t>https://jumbocl.vteximg.com.br/arquivos/ids/353047-250-250/526523.jpg?v=638776695773500000</t>
  </si>
  <si>
    <t>Nuez Partida 200 g</t>
  </si>
  <si>
    <t>https://jumbocl.vteximg.com.br/arquivos/ids/347950-250-250/Nuez-partida-200-g.jpg?v=638776478297630000</t>
  </si>
  <si>
    <t>Hierba Menta Deshidratada 16 g</t>
  </si>
  <si>
    <t>https://jumbocl.vteximg.com.br/arquivos/ids/611583-250-250/Hierba-Menta-Deshidratada-16-g.jpg?v=639111764621200000</t>
  </si>
  <si>
    <t>https://jumbocl.vteximg.com.br/arquivos/ids/347930-250-250/Ensalada-Mixta-Repollo-y-Zanahoria-Genial-300-g.jpg?v=638776478028200000</t>
  </si>
  <si>
    <t>Cebolla Morada Orgánica Malla 1 kg</t>
  </si>
  <si>
    <t>https://jumbocl.vteximg.com.br/arquivos/ids/518504-250-250/Cebolla-Morada-Organica-Malla-1-kg.jpg?v=638950379813970000</t>
  </si>
  <si>
    <t>Manzana Anillo Deshidratada 300 g</t>
  </si>
  <si>
    <t>https://jumbocl.vteximg.com.br/arquivos/ids/322282-250-250/Manzana-Anillo-Deshidratada-300-g.jpg?v=638776425792530000</t>
  </si>
  <si>
    <t>Apio con Vara 500 g</t>
  </si>
  <si>
    <t>https://jumbocl.vteximg.com.br/arquivos/ids/347924-250-250/Apio-Genial-500-g.jpg?v=638776477937230000</t>
  </si>
  <si>
    <t>Champiñón Portobello 400 g</t>
  </si>
  <si>
    <t>https://jumbocl.vteximg.com.br/arquivos/ids/362363-250-250/Champi%C3%B1on-portobello-400-g.jpg?v=638776742625130000</t>
  </si>
  <si>
    <t>Mix Frutos Secos y Semillas Surco 300 g</t>
  </si>
  <si>
    <t>https://jumbocl.vteximg.com.br/arquivos/ids/357079-250-250/Mix-frutos-secos-y-semillas-Surco-300-g.jpg?v=638776715680570000</t>
  </si>
  <si>
    <t>Ensalada Vegus Orgánica Mix Valencia Vegus 150 g</t>
  </si>
  <si>
    <t>https://jumbocl.vteximg.com.br/arquivos/ids/353092-250-250/Principal-17627.jpg?v=638776695956600000</t>
  </si>
  <si>
    <t>https://jumbocl.vteximg.com.br/arquivos/ids/388503-250-250/SEMILLA-LINAZA.jpg?v=638776856091000000</t>
  </si>
  <si>
    <t>https://jumbocl.vteximg.com.br/arquivos/ids/388498-250-250/SEMILLA-DE-ZAPALLO.jpg?v=638776856066070000</t>
  </si>
  <si>
    <t>Maní Tostado Surco 500 g</t>
  </si>
  <si>
    <t>https://jumbocl.vteximg.com.br/arquivos/ids/347951-250-250/642206.jpg?v=638776478309370000</t>
  </si>
  <si>
    <t>Hierba Caléndula Deshidratada 16 g</t>
  </si>
  <si>
    <t>https://jumbocl.vteximg.com.br/arquivos/ids/611577-250-250/Hierba-Calendula-Deshidratada-16-g.jpg?v=639111764532070000</t>
  </si>
  <si>
    <t>Almendras Naturales Surco 80 g</t>
  </si>
  <si>
    <t>https://jumbocl.vteximg.com.br/arquivos/ids/353054-250-250/574126.jpg?v=638776695798800000</t>
  </si>
  <si>
    <t>Piña Rodaja 150 g</t>
  </si>
  <si>
    <t>https://jumbocl.vteximg.com.br/arquivos/ids/362380-250-250/Pi%C3%B1a-rodaja-152-g.jpg?v=638776742711770000</t>
  </si>
  <si>
    <t>Kale Baby Fresh Cut 150 g</t>
  </si>
  <si>
    <t>https://jumbocl.vteximg.com.br/arquivos/ids/353137-250-250/1614535.jpg?v=638776696140070000</t>
  </si>
  <si>
    <t>Ensalada Repollo Blanco Bolsa 600 g</t>
  </si>
  <si>
    <t>https://jumbocl.vteximg.com.br/arquivos/ids/353040-250-250/Repollo-Blanco-Genial-Bolsa-600-g.jpg?v=638776695753600000</t>
  </si>
  <si>
    <t>Brotes de Brócoli Agrosano 70 g</t>
  </si>
  <si>
    <t>https://jumbocl.vteximg.com.br/arquivos/ids/356590-250-250/1550296.jpg?v=638776713413670000</t>
  </si>
  <si>
    <t>Brote de Soya 250 g</t>
  </si>
  <si>
    <t>https://jumbocl.vteximg.com.br/arquivos/ids/648203-250-250/Brote-de-Soya-250-g.jpg?v=639155313573800000</t>
  </si>
  <si>
    <t>Avellana Chilena Cuisine &amp; Co 100 g</t>
  </si>
  <si>
    <t>https://jumbocl.vteximg.com.br/arquivos/ids/364930-250-250/Avellana-chilena-100-g.jpg?v=638776756513330000</t>
  </si>
  <si>
    <t>Tomate Deshidratado Secao 70 g</t>
  </si>
  <si>
    <t>https://jumbocl.vteximg.com.br/arquivos/ids/488613-250-250/TOMATE-DESHID-70GR.jpg?v=638894865028400000</t>
  </si>
  <si>
    <t>Cedrón 8 g</t>
  </si>
  <si>
    <t>https://jumbocl.vteximg.com.br/arquivos/ids/355832-250-250/Principal-25217.jpg?v=638776709218000000</t>
  </si>
  <si>
    <t>Rabanito Blanco 5 un.</t>
  </si>
  <si>
    <t>https://jumbocl.vteximg.com.br/arquivos/ids/375491-250-250/Rabanito-blanco-5-un.jpg?v=638776803883500000</t>
  </si>
  <si>
    <t>Lechuga Fresh Cut Lollo Rosa 150 g</t>
  </si>
  <si>
    <t>https://jumbocl.vteximg.com.br/arquivos/ids/353131-250-250/1261600.jpg?v=638776696120670000</t>
  </si>
  <si>
    <t>Champiñón Campestre 400 g</t>
  </si>
  <si>
    <t>https://jumbocl.vteximg.com.br/arquivos/ids/316628-250-250/Champi%C3%B1on-campestre-400-g.jpg?v=638776409622370000</t>
  </si>
  <si>
    <t>Castañas de Cajú Pote 120 g</t>
  </si>
  <si>
    <t>https://jumbocl.vteximg.com.br/arquivos/ids/355566-250-250/Principal-29728.jpg?v=638776707744200000</t>
  </si>
  <si>
    <t>Albahaca Fresh Cut 150 g</t>
  </si>
  <si>
    <t>https://jumbocl.vteximg.com.br/arquivos/ids/347967-250-250/1261604.jpg?v=638776478522030000</t>
  </si>
  <si>
    <t>Boldo 8 g</t>
  </si>
  <si>
    <t>https://jumbocl.vteximg.com.br/arquivos/ids/355831-250-250/545240.jpg?v=638776709206830000</t>
  </si>
  <si>
    <t>Salsa Kraft Spicy Honey Barbecue Botella 510 g</t>
  </si>
  <si>
    <t>https://jumbocl.vteximg.com.br/arquivos/ids/643995-250-250/Salsa-Kraft-Spicy-Honey-Barbecue-Botella-510-g.jpg?v=639150632988300000</t>
  </si>
  <si>
    <t>Tilo Hojas Verdes 5 g</t>
  </si>
  <si>
    <t>https://jumbocl.vteximg.com.br/arquivos/ids/353173-250-250/545259.jpg?v=638776696280900000</t>
  </si>
  <si>
    <t>Power Greens Mix 150 g</t>
  </si>
  <si>
    <t>https://jumbocl.vteximg.com.br/arquivos/ids/355332-250-250/1691589.jpg?v=638776706414700000</t>
  </si>
  <si>
    <t>Almendra Natural Cuisine &amp; Co 700 g</t>
  </si>
  <si>
    <t>https://jumbocl.vteximg.com.br/arquivos/ids/379276-250-250/Almendra-Natural-700-g.jpg?v=638776818592030000</t>
  </si>
  <si>
    <t>Champiñón Portobello Granel</t>
  </si>
  <si>
    <t>https://jumbocl.vteximg.com.br/arquivos/ids/360046-250-250/Champi%C3%B1on-portobello-granel.jpg?v=638776730920070000</t>
  </si>
  <si>
    <t>Romero Hojas Verdes 8 g</t>
  </si>
  <si>
    <t>https://jumbocl.vteximg.com.br/arquivos/ids/353172-250-250/545256.jpg?v=638776696279700000</t>
  </si>
  <si>
    <t>Mix Pote 150 g</t>
  </si>
  <si>
    <t>https://jumbocl.vteximg.com.br/arquivos/ids/355326-250-250/Mix-pote-150-g.jpg?v=638776706371200000</t>
  </si>
  <si>
    <t>Ciruelas Sin Carozo Surco 250 g</t>
  </si>
  <si>
    <t>https://jumbocl.vteximg.com.br/arquivos/ids/347948-250-250/Ciruelas-Sin-Carozo-Surco-250-g.jpg?v=638776478272130000</t>
  </si>
  <si>
    <t>Menta Deshidratada Hueleco 6 g</t>
  </si>
  <si>
    <t>https://jumbocl.vteximg.com.br/arquivos/ids/353174-250-250/545243.jpg?v=638776696283230000</t>
  </si>
  <si>
    <t>Apio Bastón Vegus Bolsa Orgánico 500 g</t>
  </si>
  <si>
    <t>https://jumbocl.vteximg.com.br/arquivos/ids/368012-250-250/Apio-baston-bolsa-org-500-gr-1-441408.jpg?v=638776770638130000</t>
  </si>
  <si>
    <t>Lechuga Escarola 600 g</t>
  </si>
  <si>
    <t>https://jumbocl.vteximg.com.br/arquivos/ids/347932-250-250/Lechuga-escarola-600-g.jpg?v=638776478057770000</t>
  </si>
  <si>
    <t>Melisa 6 g</t>
  </si>
  <si>
    <t>https://jumbocl.vteximg.com.br/arquivos/ids/304152-250-250/Melisa-6-g.jpg?v=638776379261700000</t>
  </si>
  <si>
    <t>Salsa de Ajo Gourmet 165 cc</t>
  </si>
  <si>
    <t>https://jumbocl.vteximg.com.br/arquivos/ids/346478-250-250/Salsa-de-Ajo-165-cc.jpg?v=638776459771930000</t>
  </si>
  <si>
    <t>Tomate Romanini Eblooms 340 g</t>
  </si>
  <si>
    <t>https://jumbocl.vteximg.com.br/arquivos/ids/342116-250-250/TOMATE-ROMANINI.jpg?v=638776442188270000</t>
  </si>
  <si>
    <t>Nuez Mariposa Surco 80 g</t>
  </si>
  <si>
    <t>https://jumbocl.vteximg.com.br/arquivos/ids/353052-250-250/574125.jpg?v=638776695794830000</t>
  </si>
  <si>
    <t>Champiñón Granel</t>
  </si>
  <si>
    <t>https://jumbocl.vteximg.com.br/arquivos/ids/360048-250-250/Champi%C3%B1on-Frutas-y-Verduras-Jumbo-granel.jpg?v=638776730922870000</t>
  </si>
  <si>
    <t>Tomate Whitney 340 g</t>
  </si>
  <si>
    <t>https://jumbocl.vteximg.com.br/arquivos/ids/370127-250-250/Tomates-whitney-340-g.jpg?v=638776780693570000</t>
  </si>
  <si>
    <t>Hearty Greens Mix Pote 150 g</t>
  </si>
  <si>
    <t>https://jumbocl.vteximg.com.br/arquivos/ids/355335-250-250/Hearty-greens-mix-pote-150-g.jpg?v=638776706416730000</t>
  </si>
  <si>
    <t>Frutos Secos Sembrasol Delicious 700 g</t>
  </si>
  <si>
    <t>https://jumbocl.vteximg.com.br/arquivos/ids/563539-250-250/Frutos-Secos-Sembrasol-Delicious-700-g.jpg?v=639038205498730000</t>
  </si>
  <si>
    <t>Ajo Negro 2 un.</t>
  </si>
  <si>
    <t>https://jumbocl.vteximg.com.br/arquivos/ids/356943-250-250/Ajo-negro-2-unid.jpg?v=638776715195900000</t>
  </si>
  <si>
    <t>Nueces Trozos 200 g</t>
  </si>
  <si>
    <t>https://jumbocl.vteximg.com.br/arquivos/ids/353053-250-250/1497668.jpg?v=638776695797100000</t>
  </si>
  <si>
    <t>Mix Semillas Sembrasol Breakfast Ox 860 g</t>
  </si>
  <si>
    <t>https://jumbocl.vteximg.com.br/arquivos/ids/563537-250-250/Mix-Semillas-Sembrasol-Breakfast-Ox-860-g.jpg?v=639038205485730000</t>
  </si>
  <si>
    <t>Mix Frutos Secos Sembrasol Happy 800 g</t>
  </si>
  <si>
    <t>https://jumbocl.vteximg.com.br/arquivos/ids/563535-250-250/Mix-Frutos-Secos-Sembrasol-Happy-800-g.jpg?v=639038205472070000</t>
  </si>
  <si>
    <t>Plátano Liofilizado Atama Rodaja 20 g</t>
  </si>
  <si>
    <t>https://jumbocl.vteximg.com.br/arquivos/ids/642334-250-250/Platano-Liofilizado-Atama-Rodaja-20-g.jpg?v=639147966788370000</t>
  </si>
  <si>
    <t>Frutos Secos Sembrasol Douce Tentation 800 g</t>
  </si>
  <si>
    <t>https://jumbocl.vteximg.com.br/arquivos/ids/563531-250-250/Frutos-Secos-Sembrasol-Douce-Tentation-800-g.jpg?v=639038205445930000</t>
  </si>
  <si>
    <t>Kale Mix Salad 150 g</t>
  </si>
  <si>
    <t>https://jumbocl.vteximg.com.br/arquivos/ids/372307-250-250/Kale-mix-salad-150-g.jpg?v=638776790747170000</t>
  </si>
  <si>
    <t>Betarraga Feria Orgánico 5 un.</t>
  </si>
  <si>
    <t>https://jumbocl.vteximg.com.br/arquivos/ids/532275-250-250/Betarraga-Feria-Organico-5-un.jpg?v=638979413962100000</t>
  </si>
  <si>
    <t>Mixed Baby Greens Orgánica 150 g</t>
  </si>
  <si>
    <t>https://jumbocl.vteximg.com.br/arquivos/ids/355980-250-250/Mixed-baby-greens-organica-150-g.jpg?v=638776709977200000</t>
  </si>
  <si>
    <t>Zanahoria Juliana Orgánico 200 g</t>
  </si>
  <si>
    <t>https://jumbocl.vteximg.com.br/arquivos/ids/518503-250-250/Zanahoria-Juliana-Organico-200-g.jpg?v=638950379153470000</t>
  </si>
  <si>
    <t>Coliflor Verde 1 un.</t>
  </si>
  <si>
    <t>https://jumbocl.vteximg.com.br/arquivos/ids/375592-250-250/1897483-01_612403.jpg?v=638776804319500000</t>
  </si>
  <si>
    <t>Asian Salad Mix Orgánica 150 g</t>
  </si>
  <si>
    <t>https://jumbocl.vteximg.com.br/arquivos/ids/353104-250-250/Asian-salad-mix-organica-150-g.jpg?v=638776696003300000</t>
  </si>
  <si>
    <t>Spring Mix Salad Orgánica 150 g</t>
  </si>
  <si>
    <t>https://jumbocl.vteximg.com.br/arquivos/ids/353107-250-250/Spring-mix-salad-organica-150-g.jpg?v=638776696017630000</t>
  </si>
  <si>
    <t>Brotes de Rabanito 150 g</t>
  </si>
  <si>
    <t>https://jumbocl.vteximg.com.br/arquivos/ids/654647-250-250/Brotes-de-Rabanito-150-g.jpg?v=639177471581500000</t>
  </si>
  <si>
    <t>Almendra Natural Cuisine &amp; Co 100 g</t>
  </si>
  <si>
    <t>https://jumbocl.vteximg.com.br/arquivos/ids/364939-250-250/Almendra-natural-100-g.jpg?v=638776756543230000</t>
  </si>
  <si>
    <t>Cebolla Cubo Orgánico 200 g</t>
  </si>
  <si>
    <t>https://jumbocl.vteximg.com.br/arquivos/ids/518501-250-250/Cebolla-Cubo-Organico-200-g.jpg?v=638950379142530000</t>
  </si>
  <si>
    <t>Almendras Fileteadas Cuisine &amp; Co 400 g</t>
  </si>
  <si>
    <t>https://jumbocl.vteximg.com.br/arquivos/ids/380009-250-250/ALMEND-FIL-400G-C-.jpg?v=638776821424000000</t>
  </si>
  <si>
    <t>Mix Semillas Cuisine &amp; Co 400 g</t>
  </si>
  <si>
    <t>https://jumbocl.vteximg.com.br/arquivos/ids/341490-250-250/Mix-Semillas-Cuisine---Co-400-g.jpg?v=638776441786730000</t>
  </si>
  <si>
    <t>Alga Luche Bolsa 30 g</t>
  </si>
  <si>
    <t>https://jumbocl.vteximg.com.br/arquivos/ids/370550-250-250/Alga-luche-bolsa-30-g.jpg?v=638776782989370000</t>
  </si>
  <si>
    <t>Maní Tostado 100 g</t>
  </si>
  <si>
    <t>https://jumbocl.vteximg.com.br/arquivos/ids/365282-250-250/Mani-tostado-100-g.jpg?v=638776758121130000</t>
  </si>
  <si>
    <t>Banana Chips 100 g</t>
  </si>
  <si>
    <t>https://jumbocl.vteximg.com.br/arquivos/ids/364929-250-250/Banana-chips-100-g.jpg?v=638776756513330000</t>
  </si>
  <si>
    <t>Pistacho Cuisine &amp; Co con Cáscara Sin Sal 500 g</t>
  </si>
  <si>
    <t>https://jumbocl.vteximg.com.br/arquivos/ids/380014-250-250/PIST-CC-SS-500-C-.jpg?v=638776821440630000</t>
  </si>
  <si>
    <t>Aliño Ajo Ciboulette Gourmet Envase 250 g</t>
  </si>
  <si>
    <t>https://jumbocl.vteximg.com.br/arquivos/ids/299866-250-250/Ali%C3%B1o-Ajo-Ciboulette-Gourmet-Envase-250-g.jpg?v=639064271425000000</t>
  </si>
  <si>
    <t>https://jumbocl.vteximg.com.br/arquivos/ids/364974-250-250/Pasas-rubias-100-g.jpg?v=638776756718630000</t>
  </si>
  <si>
    <t>Nuez Mariposa 200 g</t>
  </si>
  <si>
    <t>https://jumbocl.vteximg.com.br/arquivos/ids/365290-250-250/Nuez-mariposa-200-g.jpg?v=638776758140500000</t>
  </si>
  <si>
    <t>Maní con Cáscara 300 g</t>
  </si>
  <si>
    <t>https://jumbocl.vteximg.com.br/arquivos/ids/366056-250-250/Mani-con-cascara-300-g.jpg?v=638776761866300000</t>
  </si>
  <si>
    <t>https://jumbocl.vteximg.com.br/arquivos/ids/365289-250-250/Pasas-morenas-300-g.jpg?v=638776758140200000</t>
  </si>
  <si>
    <t>Semilla de Chía Mi Tierra 175 g</t>
  </si>
  <si>
    <t>https://jumbocl.vteximg.com.br/arquivos/ids/299240-250-250/Semilla-de-Chia-Mi-Tierra-175-g.jpg?v=638775762323000000</t>
  </si>
  <si>
    <t>Semilla de Chía 700 g</t>
  </si>
  <si>
    <t>https://jumbocl.vteximg.com.br/arquivos/ids/380016-250-250/Semilla-de-Chia-700-g.jpg?v=638776821442670000</t>
  </si>
  <si>
    <t>Pasas Morenas 100 g</t>
  </si>
  <si>
    <t>https://jumbocl.vteximg.com.br/arquivos/ids/365286-250-250/Pasas-morenas-100-g.jpg?v=638776758122700000</t>
  </si>
  <si>
    <t>Ciruela con Carozo 250 g</t>
  </si>
  <si>
    <t>https://jumbocl.vteximg.com.br/arquivos/ids/365283-250-250/Ciruela-con-carozo-250-g-1-92801026.jpg?v=638776758121900000</t>
  </si>
  <si>
    <t>https://jumbocl.vteximg.com.br/arquivos/ids/365275-250-250/Goji-100-g-1-92801011.jpg?v=638776758065570000</t>
  </si>
  <si>
    <t>Damasco Turco 100 g</t>
  </si>
  <si>
    <t>https://jumbocl.vteximg.com.br/arquivos/ids/366047-250-250/Damasco-turco-100-g-1-92801016.jpg?v=638776761759300000</t>
  </si>
  <si>
    <t>Callampas Deshidratadas 40 g</t>
  </si>
  <si>
    <t>https://jumbocl.vteximg.com.br/arquivos/ids/364932-250-250/Callampa-40-g-1-92801015.jpg?v=638776756516000000</t>
  </si>
  <si>
    <t>https://jumbocl.vteximg.com.br/arquivos/ids/370252-250-250/Nuez-partida-c-co-200g.jpg?v=638776781387170000</t>
  </si>
  <si>
    <t>Semilla Linaza 700 g</t>
  </si>
  <si>
    <t>https://jumbocl.vteximg.com.br/arquivos/ids/380015-250-250/Semilla-Linaza-700-g.jpg?v=638776821441100000</t>
  </si>
  <si>
    <t>Castaña de Cajú Cuisineco 250 g</t>
  </si>
  <si>
    <t>https://jumbocl.vteximg.com.br/arquivos/ids/341459-250-250/Castana-de-Caju-Cuisineco-250-g.jpg?v=638776441760670000</t>
  </si>
  <si>
    <t>Nuez Mariposa 700 g</t>
  </si>
  <si>
    <t>https://jumbocl.vteximg.com.br/arquivos/ids/380012-250-250/Nuez-Mariposa-Light-700-g.jpg?v=638776821424630000</t>
  </si>
  <si>
    <t>Pistacho Cuisine &amp; Co con Cáscara 200 g</t>
  </si>
  <si>
    <t>https://jumbocl.vteximg.com.br/arquivos/ids/366048-250-250/Pistacho-con-c-scara-200-g-1-92801012.jpg?v=638776761769030000</t>
  </si>
  <si>
    <t>Huesillo Deshidratado 400 g</t>
  </si>
  <si>
    <t>https://jumbocl.vteximg.com.br/arquivos/ids/364136-250-250/Huesillo-deshidratado-400-g-1-92801008.jpg?v=638776752387970000</t>
  </si>
  <si>
    <t>Mix Pasas y Berries Cuisine &amp; Co 700 g</t>
  </si>
  <si>
    <t>https://jumbocl.vteximg.com.br/arquivos/ids/315689-250-250/Mix-Pasas-y-Berries-Cuisine---Co-700-g.jpg?v=638776406032000000</t>
  </si>
  <si>
    <t>Almendra Tostada Cuisine &amp; Co 300 g</t>
  </si>
  <si>
    <t>https://jumbocl.vteximg.com.br/arquivos/ids/654451-250-250/Almendra-tostada-300-g.jpg?v=639174355353570000</t>
  </si>
  <si>
    <t>Maní Tostado 300 g</t>
  </si>
  <si>
    <t>https://jumbocl.vteximg.com.br/arquivos/ids/365285-250-250/Mani-tostado-300-g.jpg?v=638776758122370000</t>
  </si>
  <si>
    <t>Almendra Natural Cuisine &amp; Co 300 g</t>
  </si>
  <si>
    <t>https://jumbocl.vteximg.com.br/arquivos/ids/364938-250-250/Almendra-natural-300-g.jpg?v=638776756542200000</t>
  </si>
  <si>
    <t>Huesillo Extra Grande700 g</t>
  </si>
  <si>
    <t>https://jumbocl.vteximg.com.br/arquivos/ids/380011-250-250/HUES-GRA-700G-C-.jpg?v=638776821424470000</t>
  </si>
  <si>
    <t>Semilla de Calabaza 700 g</t>
  </si>
  <si>
    <t>https://jumbocl.vteximg.com.br/arquivos/ids/380013-250-250/Semilla-de-Calabaza-700-g.jpg?v=638776821438370000</t>
  </si>
  <si>
    <t>Tomates Deshidratados 150 g</t>
  </si>
  <si>
    <t>https://jumbocl.vteximg.com.br/arquivos/ids/311657-250-250/Tomates-Deshidratados-150-g.jpg?v=638776394303800000</t>
  </si>
  <si>
    <t>Pasas Rubias 300 g</t>
  </si>
  <si>
    <t>https://jumbocl.vteximg.com.br/arquivos/ids/364181-250-250/Pasas-rubias-300-g.jpg?v=638776752849370000</t>
  </si>
  <si>
    <t>https://jumbocl.vteximg.com.br/arquivos/ids/363917-250-250/Huesillos-1-kg.jpg?v=638776751185100000</t>
  </si>
  <si>
    <t>Pera Abate Fetel Granel</t>
  </si>
  <si>
    <t>https://jumbocl.vteximg.com.br/arquivos/ids/352990-250-250/Pera-Abate-Fetel-granel.jpg?v=638776695523130000</t>
  </si>
  <si>
    <t>Albahaca Baby Bolsa 60 g</t>
  </si>
  <si>
    <t>https://jumbocl.vteximg.com.br/arquivos/ids/300328-250-250/Albahaca-Baby-Bandeja-60-g.jpg?v=638776372891400000</t>
  </si>
  <si>
    <t>Mixed de Acelga 200 g</t>
  </si>
  <si>
    <t>https://jumbocl.vteximg.com.br/arquivos/ids/363919-250-250/1811521-01_76292.jpg?v=638776751201830000</t>
  </si>
  <si>
    <t>https://jumbocl.vteximg.com.br/arquivos/ids/348010-250-250/Coliflor-films-unid.jpg?v=638776479121000000</t>
  </si>
  <si>
    <t>Papa Morada</t>
  </si>
  <si>
    <t>https://jumbocl.vteximg.com.br/arquivos/ids/393545-250-250/PAPA-MORADA.jpg?v=638776875037100000</t>
  </si>
  <si>
    <t>Pak Choi 400 g</t>
  </si>
  <si>
    <t>https://jumbocl.vteximg.com.br/arquivos/ids/648200-250-250/Pak-Choi-400-g.jpg?v=639155313555770000</t>
  </si>
  <si>
    <t>Kiwi Bolsa 1 kg</t>
  </si>
  <si>
    <t>https://jumbocl.vteximg.com.br/arquivos/ids/353118-250-250/Principal-17657.jpg?v=638776696060870000</t>
  </si>
  <si>
    <t>Pera Winter Nelly Granel</t>
  </si>
  <si>
    <t>https://jumbocl.vteximg.com.br/arquivos/ids/352982-250-250/506887.jpg?v=638776695490600000</t>
  </si>
  <si>
    <t>Acelga Suiza Fresh Cut Baby 150 g</t>
  </si>
  <si>
    <t>https://jumbocl.vteximg.com.br/arquivos/ids/353135-250-250/1261598.jpg?v=638776696137000000</t>
  </si>
  <si>
    <t>https://jumbocl.vteximg.com.br/arquivos/ids/357614-250-250/Arandanos-pote-125-g.jpg?v=638776719950200000</t>
  </si>
  <si>
    <t>Tallarines de Betarraga 400 g</t>
  </si>
  <si>
    <t>https://jumbocl.vteximg.com.br/arquivos/ids/368420-250-250/Tallarines-de-betarraga-400-g.jpg?v=638776772550800000</t>
  </si>
  <si>
    <t>Mix de Lechugas Hidropónicas 150 g</t>
  </si>
  <si>
    <t>https://jumbocl.vteximg.com.br/arquivos/ids/312254-250-250/Mix-de-Lechugas-Hidroponicas-150-g.jpg?v=638776396034800000</t>
  </si>
  <si>
    <t>Salad Kit Romana 250 g</t>
  </si>
  <si>
    <t>https://jumbocl.vteximg.com.br/arquivos/ids/445453-250-250/Salad-Kit-Romana-250-g.jpg?v=638839631399200000</t>
  </si>
  <si>
    <t>Durazno Conservero Granel</t>
  </si>
  <si>
    <t>https://jumbocl.vteximg.com.br/arquivos/ids/304076-250-250/Durazno-Conservero-granel.jpg?v=638776378852200000</t>
  </si>
  <si>
    <t>Maracuyá Granel</t>
  </si>
  <si>
    <t>https://jumbocl.vteximg.com.br/arquivos/ids/352975-250-250/260900-KG.png?v=638776695438070000</t>
  </si>
  <si>
    <t>Papayas Granel</t>
  </si>
  <si>
    <t>https://jumbocl.vteximg.com.br/arquivos/ids/352973-250-250/261065.jpg?v=638776695424570000</t>
  </si>
  <si>
    <t>Palta Esther Granel</t>
  </si>
  <si>
    <t>https://jumbocl.vteximg.com.br/arquivos/ids/352974-250-250/Palta-Esther-granel.jpg?v=638776695425170000</t>
  </si>
  <si>
    <t>Mango Ataulfo Granel</t>
  </si>
  <si>
    <t>https://jumbocl.vteximg.com.br/arquivos/ids/606362-250-250/Mango-ataulfo-granel.jpg?v=639104937058500000</t>
  </si>
  <si>
    <t>Zapallo Italiano Orgánico 1 un.</t>
  </si>
  <si>
    <t>https://jumbocl.vteximg.com.br/arquivos/ids/353004-250-250/Zapallo-Italiano-Organico-1-unid.jpg?v=638776695602100000</t>
  </si>
  <si>
    <t>Palta Hass Orgánica 900 g</t>
  </si>
  <si>
    <t>https://jumbocl.vteximg.com.br/arquivos/ids/304047-250-250/Palta-Hass-Organica-900-g.jpg?v=638776378708870000</t>
  </si>
  <si>
    <t>Pimiento Verde Orgánico 1 un.</t>
  </si>
  <si>
    <t>https://jumbocl.vteximg.com.br/arquivos/ids/353003-250-250/Pimiento-verde-organico-un.jpg?v=638776695601800000</t>
  </si>
  <si>
    <t>https://jumbocl.vteximg.com.br/arquivos/ids/352966-250-250/1580859-01.png?v=638776695361270000</t>
  </si>
  <si>
    <t>Tangelo Granel Importado</t>
  </si>
  <si>
    <t>https://jumbocl.vteximg.com.br/arquivos/ids/352993-250-250/Tangelo-granel-1-17460.jpg?v=638776695545500000</t>
  </si>
  <si>
    <t>https://jumbocl.vteximg.com.br/arquivos/ids/353044-250-250/Lechuga-Hidroponica-Marina-1-Unidad.jpg?v=638776695757500000</t>
  </si>
  <si>
    <t>Tomate Cherry Vegus Orgánico Pote 250 g</t>
  </si>
  <si>
    <t>https://jumbocl.vteximg.com.br/arquivos/ids/353080-250-250/Tomate-cherry-organico-pote-250-g.jpg?v=638776695917900000</t>
  </si>
  <si>
    <t>Manzana Verde Orgánica 900 g</t>
  </si>
  <si>
    <t>https://jumbocl.vteximg.com.br/arquivos/ids/353070-250-250/Principal-17602.jpg?v=638776695878300000</t>
  </si>
  <si>
    <t>Manzana Royal Gala Orgánica 900 g</t>
  </si>
  <si>
    <t>https://jumbocl.vteximg.com.br/arquivos/ids/353065-250-250/1467544.jpg?v=638776695860000000</t>
  </si>
  <si>
    <t>Albahaca Orgánica 100 g</t>
  </si>
  <si>
    <t>https://jumbocl.vteximg.com.br/arquivos/ids/353113-250-250/1258778.jpg?v=638776696047730000</t>
  </si>
  <si>
    <t>Arándanos Orgánicos 120 g</t>
  </si>
  <si>
    <t>https://jumbocl.vteximg.com.br/arquivos/ids/304106-250-250/Arandanos-organicos-120-g.jpg?v=638776378998770000</t>
  </si>
  <si>
    <t>Cebollín Tokyo Orgánico 6 un.</t>
  </si>
  <si>
    <t>https://jumbocl.vteximg.com.br/arquivos/ids/353110-250-250/Cebollin-Tokyo-organico-6-un.jpg?v=638776696032500000</t>
  </si>
  <si>
    <t>Lechuga Costina Orgánica 1 un.</t>
  </si>
  <si>
    <t>https://jumbocl.vteximg.com.br/arquivos/ids/353138-250-250/Lechuga-costina-organica-unid.jpg?v=638776696143800000</t>
  </si>
  <si>
    <t>Frambuesa 125 g</t>
  </si>
  <si>
    <t>https://jumbocl.vteximg.com.br/arquivos/ids/353117-250-250/Frambuesa-125-g.jpg?v=638776696051970000</t>
  </si>
  <si>
    <t>Canónigos 150 g</t>
  </si>
  <si>
    <t>https://jumbocl.vteximg.com.br/arquivos/ids/353130-250-250/1261605.jpg?v=638776696118400000</t>
  </si>
  <si>
    <t>Lechuga Hidropónica Roble Verde 1 un.</t>
  </si>
  <si>
    <t>https://jumbocl.vteximg.com.br/arquivos/ids/353146-250-250/260799.jpg?v=638776696181230000</t>
  </si>
  <si>
    <t>Lechuga Hidropónica Lollo Rosa 1 un.</t>
  </si>
  <si>
    <t>https://jumbocl.vteximg.com.br/arquivos/ids/353148-250-250/260795.jpg?v=638776696182800000</t>
  </si>
  <si>
    <t>Manzanilla Hueleco 8 g</t>
  </si>
  <si>
    <t>https://jumbocl.vteximg.com.br/arquivos/ids/353170-250-250/545250.jpg?v=638776696264300000</t>
  </si>
  <si>
    <t>Achicoria un.</t>
  </si>
  <si>
    <t>https://jumbocl.vteximg.com.br/arquivos/ids/353069-250-250/Achicoria-1-unid-1-17599.jpg?v=638776695873870000</t>
  </si>
  <si>
    <t>Ensalada Vegus Orgánica Mix Romano Vegus 200 g</t>
  </si>
  <si>
    <t>https://jumbocl.vteximg.com.br/arquivos/ids/353096-250-250/Ensalada-organica-mix-romano-Vegus-200-g.jpg?v=638776695975070000</t>
  </si>
  <si>
    <t>Zanahoria Orgánica 6 un.</t>
  </si>
  <si>
    <t>https://jumbocl.vteximg.com.br/arquivos/ids/304140-250-250/Zanahoria-Organica-6-un.jpg?v=638776379185730000</t>
  </si>
  <si>
    <t>Pimiento Rojo Orgánico Agro Organics 1 un.</t>
  </si>
  <si>
    <t>https://jumbocl.vteximg.com.br/arquivos/ids/353149-250-250/1651598.jpg?v=638776696185700000</t>
  </si>
  <si>
    <t>Choclo Pastelero 1 un.</t>
  </si>
  <si>
    <t>https://jumbocl.vteximg.com.br/arquivos/ids/353175-250-250/260610-01.png?v=638776696292230000</t>
  </si>
  <si>
    <t>Hinojo 1 un.</t>
  </si>
  <si>
    <t>https://jumbocl.vteximg.com.br/arquivos/ids/355669-250-250/Hinojo-un.jpg?v=638776708340400000</t>
  </si>
  <si>
    <t>Fruta Confitada 300 g</t>
  </si>
  <si>
    <t>https://jumbocl.vteximg.com.br/arquivos/ids/355799-250-250/488495-01_28681.jpg?v=638776708985400000</t>
  </si>
  <si>
    <t>Laurel 8 g</t>
  </si>
  <si>
    <t>https://jumbocl.vteximg.com.br/arquivos/ids/355830-250-250/545247.jpg?v=638776709204970000</t>
  </si>
  <si>
    <t>Flores Gourmet 30 g</t>
  </si>
  <si>
    <t>https://jumbocl.vteximg.com.br/arquivos/ids/355837-250-250/575665.jpg?v=638776709248030000</t>
  </si>
  <si>
    <t>Radicchio 2 un.</t>
  </si>
  <si>
    <t>https://jumbocl.vteximg.com.br/arquivos/ids/355988-250-250/992553.jpg?v=638776710029500000</t>
  </si>
  <si>
    <t>Rabanito Orgánico 200 g</t>
  </si>
  <si>
    <t>https://jumbocl.vteximg.com.br/arquivos/ids/356180-250-250/1511661-01_31054.jpg?v=638776711125070000</t>
  </si>
  <si>
    <t>Lechuga Vegus Butterhead Orgánico Clamshell 500 g</t>
  </si>
  <si>
    <t>https://jumbocl.vteximg.com.br/arquivos/ids/356513-250-250/Principal-27664.jpg?v=638776712887800000</t>
  </si>
  <si>
    <t>Higos Pote 500 g</t>
  </si>
  <si>
    <t>https://jumbocl.vteximg.com.br/arquivos/ids/360059-250-250/Higos-pote-500-g.jpg?v=638776730970530000</t>
  </si>
  <si>
    <t>Mix frutos secos Trabiz y Ormuz 180 g</t>
  </si>
  <si>
    <t>https://jumbocl.vteximg.com.br/arquivos/ids/360206-250-250/Principal-440136.jpg?v=638776731646400000</t>
  </si>
  <si>
    <t>Mezcla Almendras 100 g</t>
  </si>
  <si>
    <t>https://jumbocl.vteximg.com.br/arquivos/ids/360213-250-250/Principal-441249.jpg?v=638776731677100000</t>
  </si>
  <si>
    <t>Mix frutos secos Nara y Kan 180 g</t>
  </si>
  <si>
    <t>https://jumbocl.vteximg.com.br/arquivos/ids/361500-250-250/Mix-frutos-secos-nara-y-kan-180-g-1-440134.jpg?v=638776737593030000</t>
  </si>
  <si>
    <t>Mora Pote 125 g</t>
  </si>
  <si>
    <t>https://jumbocl.vteximg.com.br/arquivos/ids/362210-250-250/Mora-Jumbo-pote-125-g-1-214072.jpg?v=638776741689870000</t>
  </si>
  <si>
    <t>Lechuga Vegus Escarola Orgánica Bandeja 2 un.</t>
  </si>
  <si>
    <t>https://jumbocl.vteximg.com.br/arquivos/ids/362353-250-250/Lechuga-escarola-org-nica-bandeja-2-unid-1-194703.jpg?v=638776742570430000</t>
  </si>
  <si>
    <t>Espinaca Baby Leaf 200 g</t>
  </si>
  <si>
    <t>https://jumbocl.vteximg.com.br/arquivos/ids/362415-250-250/Espinaca-Baby-Leaf-200-g.jpg?v=638776742922600000</t>
  </si>
  <si>
    <t>https://jumbocl.vteximg.com.br/arquivos/ids/362359-250-250/Rabanitos-unid.jpg?v=638776742593230000</t>
  </si>
  <si>
    <t>Cranberries 100 g</t>
  </si>
  <si>
    <t>https://jumbocl.vteximg.com.br/arquivos/ids/365762-250-250/Cranberries-100-g.jpg?v=638776760440270000</t>
  </si>
  <si>
    <t>Cilantro Orgánico</t>
  </si>
  <si>
    <t>https://jumbocl.vteximg.com.br/arquivos/ids/368030-250-250/Cilantro-organico.jpg?v=638776770729200000</t>
  </si>
  <si>
    <t>Tatsoi Baby Agrolam Bandeja 120 g</t>
  </si>
  <si>
    <t>https://jumbocl.vteximg.com.br/arquivos/ids/368155-250-250/Tatsoi-baby-bandeja-120-g.jpg?v=638776771292600000</t>
  </si>
  <si>
    <t>Tallarines de Zanahoria 400 g</t>
  </si>
  <si>
    <t>https://jumbocl.vteximg.com.br/arquivos/ids/368422-250-250/Tallarines-de-zanahoria-400-g.jpg?v=638776772551300000</t>
  </si>
  <si>
    <t>Coliflor Morado</t>
  </si>
  <si>
    <t>https://jumbocl.vteximg.com.br/arquivos/ids/369418-250-250/Coliflor-morado.jpg?v=638776777171630000</t>
  </si>
  <si>
    <t>Ají orgánico</t>
  </si>
  <si>
    <t>https://jumbocl.vteximg.com.br/arquivos/ids/369574-250-250/1822856-01_566496.jpg?v=638776777951430000</t>
  </si>
  <si>
    <t>Verde aroma tomate cherry orgánica</t>
  </si>
  <si>
    <t>https://jumbocl.vteximg.com.br/arquivos/ids/369576-250-250/Verde-aroma-tomate-cherry-organica.jpg?v=638776777953170000</t>
  </si>
  <si>
    <t>Lechuga Mini 2 un.</t>
  </si>
  <si>
    <t>https://jumbocl.vteximg.com.br/arquivos/ids/370137-250-250/Lechuga-mini-2-un.jpg?v=638776780750130000</t>
  </si>
  <si>
    <t>Pera Summer Barlet Granel</t>
  </si>
  <si>
    <t>https://jumbocl.vteximg.com.br/arquivos/ids/371807-250-250/Pera-summer-barlet-kg.jpg?v=638776788689170000</t>
  </si>
  <si>
    <t>https://jumbocl.vteximg.com.br/arquivos/ids/373245-250-250/261024-KG-01_97559.jpg?v=638776794918300000</t>
  </si>
  <si>
    <t>Palta Fuerte Malla 1 kg</t>
  </si>
  <si>
    <t>https://jumbocl.vteximg.com.br/arquivos/ids/373775-250-250/Palta-fuerte-malla-1-kg.jpg?v=638776797059570000</t>
  </si>
  <si>
    <t>Mix Kale 150 g</t>
  </si>
  <si>
    <t>https://jumbocl.vteximg.com.br/arquivos/ids/376600-250-250/Mix-kale-150-g.jpg?v=638776808314300000</t>
  </si>
  <si>
    <t>https://jumbocl.vteximg.com.br/arquivos/ids/378169-250-250/1906001-KG-01_618102.jpg?v=638776814058470000</t>
  </si>
  <si>
    <t>Mix Ají 200 g</t>
  </si>
  <si>
    <t>https://jumbocl.vteximg.com.br/arquivos/ids/315445-250-250/Mix-aji-200-g.jpg?v=638776405327030000</t>
  </si>
  <si>
    <t>Tomate Uva Orgánico 250 g</t>
  </si>
  <si>
    <t>https://jumbocl.vteximg.com.br/arquivos/ids/315391-250-250/Tomate-uva-organico-250-g.jpg?v=638776405123670000</t>
  </si>
  <si>
    <t>Ciruela Granel</t>
  </si>
  <si>
    <t>https://jumbocl.vteximg.com.br/arquivos/ids/315483-250-250/Ciruela-granel.jpg?v=638776405404870000</t>
  </si>
  <si>
    <t>Ají Orgánico 200 g</t>
  </si>
  <si>
    <t>https://jumbocl.vteximg.com.br/arquivos/ids/315893-250-250/Aji-organico-200-g.jpg?v=638776406849370000</t>
  </si>
  <si>
    <t>Coliflor Romanesco un.</t>
  </si>
  <si>
    <t>https://jumbocl.vteximg.com.br/arquivos/ids/380448-250-250/Coliflor-romanesco-un.jpg?v=638776823285830000</t>
  </si>
  <si>
    <t>Tomillo Orgánico</t>
  </si>
  <si>
    <t>https://jumbocl.vteximg.com.br/arquivos/ids/319876-250-250/Tomillo-Organico.jpg?v=638776418344030000</t>
  </si>
  <si>
    <t>Albahaca Morada Orgánica Verde Aroma</t>
  </si>
  <si>
    <t>https://jumbocl.vteximg.com.br/arquivos/ids/321061-250-250/Albahaca-Morada-Organica-Verde-Aroma.jpg?v=638776422379870000</t>
  </si>
  <si>
    <t>Stick Plátano Wipala 40 g</t>
  </si>
  <si>
    <t>https://jumbocl.vteximg.com.br/arquivos/ids/612565-250-250/Stick-Platano-Wipala-40-g.jpg?v=639111774223730000</t>
  </si>
  <si>
    <t>Damasco Turco 700 g</t>
  </si>
  <si>
    <t>https://jumbocl.vteximg.com.br/arquivos/ids/322302-250-250/Damasco-Turco-700-g.jpg?v=638776425855330000</t>
  </si>
  <si>
    <t>https://jumbocl.vteximg.com.br/arquivos/ids/323211-250-250/Semilla-de-Maravilla-Alto-La-Cruz-300-g.jpg?v=638776426732500000</t>
  </si>
  <si>
    <t>Zapallo Negro Table Suggar</t>
  </si>
  <si>
    <t>https://jumbocl.vteximg.com.br/arquivos/ids/411304-250-250/Zapallo-Negro-Table-Suggar.jpg?v=638791190272030000</t>
  </si>
  <si>
    <t>Brócolini Púrpura 1 un.</t>
  </si>
  <si>
    <t>https://jumbocl.vteximg.com.br/arquivos/ids/458046-250-250/Brocolini-Purpura-1-un.jpg?v=638857855984100000</t>
  </si>
  <si>
    <t>Tomate Tommoro</t>
  </si>
  <si>
    <t>https://jumbocl.vteximg.com.br/arquivos/ids/411283-250-250/Tomate-Tommoro.jpg?v=638791190168870000</t>
  </si>
  <si>
    <t>Arándano Prize Pote 125 g</t>
  </si>
  <si>
    <t>https://jumbocl.vteximg.com.br/arquivos/ids/430030-250-250/ARANDANO-POTE-PRIZE-125-GR.jpg?v=638814687846400000</t>
  </si>
  <si>
    <t>Lechuga Todo Crunch 150 g</t>
  </si>
  <si>
    <t>https://jumbocl.vteximg.com.br/arquivos/ids/479121-250-250/Lechuga-Todo-Crunch-150-g.jpg?v=638877731088800000</t>
  </si>
  <si>
    <t>Manzana Fuji Bolsa 1 kg</t>
  </si>
  <si>
    <t>https://jumbocl.vteximg.com.br/arquivos/ids/496747-250-250/Manzana-Fuji-bolsa-1-kilo.jpg?v=638912151795570000</t>
  </si>
  <si>
    <t>Zanahoria Mini 450 g</t>
  </si>
  <si>
    <t>https://jumbocl.vteximg.com.br/arquivos/ids/500100-250-250/Zanahoria-Mini-450-g.jpg?v=638917602645300000</t>
  </si>
  <si>
    <t>Lechuga Butterhead Feria Orgánica 1 un.</t>
  </si>
  <si>
    <t>https://jumbocl.vteximg.com.br/arquivos/ids/532267-250-250/Lechuga-Butterhead-Feria-Organica-1-un.jpg?v=638979413945030000</t>
  </si>
  <si>
    <t>Zanahoria Orgánica Malla 1 kg</t>
  </si>
  <si>
    <t>https://jumbocl.vteximg.com.br/arquivos/ids/532272-250-250/Zanahoria-Organica-Malla-1-kg.jpg?v=638979413953970000</t>
  </si>
  <si>
    <t>Lechuga Costina Feria Orgánica 1 un.</t>
  </si>
  <si>
    <t>https://jumbocl.vteximg.com.br/arquivos/ids/532890-250-250/Lechuga-Costina-Feria-Organica-1-un.jpg?v=638979414744100000</t>
  </si>
  <si>
    <t>Mandarina Sumo Granel</t>
  </si>
  <si>
    <t>https://jumbocl.vteximg.com.br/arquivos/ids/625138-250-250/Mandarina-Sumo-Granel.jpg?v=639123193598670000</t>
  </si>
  <si>
    <t>Lechuga Crespa Roja Bolsa</t>
  </si>
  <si>
    <t>https://jumbocl.vteximg.com.br/arquivos/ids/633003-250-250/Lechuga-Crespa-Roja-Bolsa.jpg?v=639130807709600000</t>
  </si>
  <si>
    <t>Salsa Heinz Bacon Burger Squeeze 225 g</t>
  </si>
  <si>
    <t>https://jumbocl.vteximg.com.br/arquivos/ids/625320-250-250/Salsa-Heinz-Bacon-Burger-Squeeze-225-g.jpg?v=639123194170900000</t>
  </si>
  <si>
    <t>Salsa Heinz Cocktail Squeeze 225 g</t>
  </si>
  <si>
    <t>https://jumbocl.vteximg.com.br/arquivos/ids/625318-250-250/Salsa-Heinz-Cocktail-Squeeze-225-g.jpg?v=639123194157000000</t>
  </si>
  <si>
    <t>Salsa Heinz Alioli Squeeze 215 g</t>
  </si>
  <si>
    <t>https://jumbocl.vteximg.com.br/arquivos/ids/625309-250-250/Salsa-Heinz-Alioli-Squeeze-215-g.jpg?v=639123194125400000</t>
  </si>
  <si>
    <t>Salsa Heinz Hot Chilli Squeeze 245 g</t>
  </si>
  <si>
    <t>https://jumbocl.vteximg.com.br/arquivos/ids/625311-250-250/Salsa-Heinz-Hot-Chilli-Squeeze-245-g.jpg?v=639123194140100000</t>
  </si>
  <si>
    <t>Caja Semanal Base (1 -2 persona) - Más verdes / Para Hoy</t>
  </si>
  <si>
    <t>https://cdn.shopify.com/s/files/1/0358/9780/2890/files/Canasta_base_de_frutas_y_verduras_Juan_Esparraguito.jpg?v=1774443286</t>
  </si>
  <si>
    <t>Caja Semanal Base (1 -2 persona) - Más verdes / 2 -3 días</t>
  </si>
  <si>
    <t>Caja Semanal Base (1 -2 persona) - Más amarillos / Para Hoy</t>
  </si>
  <si>
    <t>Caja Semanal Base (1 -2 persona) - Más amarillos / 2 -3 días</t>
  </si>
  <si>
    <t>Caja Semanal Completa (2-3 personas) - Más verdes / Para Hoy</t>
  </si>
  <si>
    <t>https://cdn.shopify.com/s/files/1/0358/9780/2890/files/sinarandano.jpg?v=1780939580</t>
  </si>
  <si>
    <t>Caja Semanal Completa (2-3 personas) - Más verdes / 2 -3 días</t>
  </si>
  <si>
    <t>Caja Semanal Completa (2-3 personas) - Más amarillos / Para Hoy</t>
  </si>
  <si>
    <t>Caja Semanal Completa (2-3 personas) - Más amarillos / 2 -3 días</t>
  </si>
  <si>
    <t>Caja Semanal Familiar (+4 personas) - Más verdes / Para Hoy</t>
  </si>
  <si>
    <t>https://cdn.shopify.com/s/files/1/0358/9780/2890/files/2_4bbd85bb-ff86-418f-bba7-9521000503f5.jpg?v=1780940429</t>
  </si>
  <si>
    <t>Caja Semanal Familiar (+4 personas) - Más verdes / 2 -3 días</t>
  </si>
  <si>
    <t>Caja Semanal Familiar (+4 personas) - Más amarillos / Para Hoy</t>
  </si>
  <si>
    <t>Caja Semanal Familiar (+4 personas) - Más amarillos / 2 -3 días</t>
  </si>
  <si>
    <t>https://cdn.shopify.com/s/files/1/0358/9780/2890/files/FotosWeb_parte1_Mesadetrabajo1copia7.jpg?v=1709743311</t>
  </si>
  <si>
    <t>Arándanos (500 grs)</t>
  </si>
  <si>
    <t>https://cdn.shopify.com/s/files/1/0358/9780/2890/files/FotosWeb_parte1_Mesadetrabajo1copia7_916cec8a-fc21-4b58-a274-99116073f57e.jpg?v=1709743324</t>
  </si>
  <si>
    <t>Castañas Marrón (500 grs)</t>
  </si>
  <si>
    <t>https://cdn.shopify.com/s/files/1/0358/9780/2890/products/Castanas.jpg?v=1651077547</t>
  </si>
  <si>
    <t>https://cdn.shopify.com/s/files/1/0358/9780/2890/files/FotosWeb_parte1_Mesadetrabajo1copia9.jpg?v=1709743349</t>
  </si>
  <si>
    <t>Frutillas para repostería (500 grs)</t>
  </si>
  <si>
    <t>https://cdn.shopify.com/s/files/1/0358/9780/2890/files/FotosWeb_parte1_Mesadetrabajo1copia9_d56f4725-c9f0-4a14-8d11-4b3f6128f844.jpg?v=1709743377</t>
  </si>
  <si>
    <t>https://cdn.shopify.com/s/files/1/0358/9780/2890/files/FotosWeb_parte3_Mesadetrabajo1copia16.jpg?v=1713808642</t>
  </si>
  <si>
    <t>https://cdn.shopify.com/s/files/1/0358/9780/2890/files/FotosWeb_parte3_Mesadetrabajo1copia14.jpg?v=1713203314</t>
  </si>
  <si>
    <t>https://cdn.shopify.com/s/files/1/0358/9780/2890/files/Fotos_Web_parte5_Mesa_de_trabajo_1_copia_55.jpg?v=1733265099</t>
  </si>
  <si>
    <t>Mango (un) - Verde</t>
  </si>
  <si>
    <t>https://cdn.shopify.com/s/files/1/0358/9780/2890/files/Fotos_Web_parte3_Mesa_de_trabajo_1_copia_44_f2bcbfbe-1e61-4bb7-b888-56e45d231fec.jpg?v=1733265483</t>
  </si>
  <si>
    <t>https://cdn.shopify.com/s/files/1/0358/9780/2890/files/Fotos_Web_parte6_Mesa_de_trabajo_1_copia_130.jpg?v=1751301537</t>
  </si>
  <si>
    <t>https://cdn.shopify.com/s/files/1/0358/9780/2890/files/FotosWeb_parte1_Mesadetrabajo1copia78.jpg?v=1710855825</t>
  </si>
  <si>
    <t>https://cdn.shopify.com/s/files/1/0358/9780/2890/files/FotosWeb_parte1_Mesadetrabajo1copia4.jpg?v=1709737739</t>
  </si>
  <si>
    <t>Naranja (5 Kg)</t>
  </si>
  <si>
    <t>https://cdn.shopify.com/s/files/1/0358/9780/2890/files/FotosWeb_parte1_Mesadetrabajo1copia4_697bb070-812f-417b-b38c-085882796d2b.jpg?v=1715966904</t>
  </si>
  <si>
    <t>https://cdn.shopify.com/s/files/1/0358/9780/2890/products/pepino-dulce.jpg?v=1779203060</t>
  </si>
  <si>
    <t>https://cdn.shopify.com/s/files/1/0358/9780/2890/files/FotosWeb_parte1_Mesadetrabajo1copia77.jpg?v=1710855795</t>
  </si>
  <si>
    <t>https://cdn.shopify.com/s/files/1/0358/9780/2890/files/FotosWeb_parte2_Mesadetrabajo1copia75.jpg?v=1711034987</t>
  </si>
  <si>
    <t>https://cdn.shopify.com/s/files/1/0358/9780/2890/files/FotosWeb_parte1_Mesadetrabajo1copia5.jpg?v=1709737786</t>
  </si>
  <si>
    <t>Plátano Kg (4 un aprox.) - Más amarillos</t>
  </si>
  <si>
    <t>Plátano para Repostería Kg (4 un aprox)</t>
  </si>
  <si>
    <t>https://cdn.shopify.com/s/files/1/0358/9780/2890/files/Parte_4_Mesa_de_trabajo_1_copia_59.jpg?v=1728048711</t>
  </si>
  <si>
    <t>https://cdn.shopify.com/s/files/1/0358/9780/2890/files/FotosWeb_parte2_Mesadetrabajo1copia77.jpg?v=1711035027</t>
  </si>
  <si>
    <t>https://cdn.shopify.com/s/files/1/0358/9780/2890/products/AjiPeruano.jpg?v=1584814977</t>
  </si>
  <si>
    <t>https://cdn.shopify.com/s/files/1/0358/9780/2890/products/AjiVerde.png?v=1584814473</t>
  </si>
  <si>
    <t>https://cdn.shopify.com/s/files/1/0358/9780/2890/files/FotosWeb_parte2_Mesadetrabajo1copia7.jpg?v=1711033572</t>
  </si>
  <si>
    <t>https://cdn.shopify.com/s/files/1/0358/9780/2890/files/FotosWeb_parte1_Mesadetrabajo1copia66.jpg?v=1710525968</t>
  </si>
  <si>
    <t>https://cdn.shopify.com/s/files/1/0358/9780/2890/products/alcachofaespanola.png?v=1655306549</t>
  </si>
  <si>
    <t>https://cdn.shopify.com/s/files/1/0358/9780/2890/files/FotosWeb_parte2_Mesadetrabajo1copia10.jpg?v=1711033628</t>
  </si>
  <si>
    <t>https://cdn.shopify.com/s/files/1/0358/9780/2890/files/FotosWeb_parte2_Mesadetrabajo1copia13.jpg?v=1711033992</t>
  </si>
  <si>
    <t>https://cdn.shopify.com/s/files/1/0358/9780/2890/files/FotosWeb_parte2_Mesadetrabajo1copia14.jpg?v=1711034016</t>
  </si>
  <si>
    <t>https://cdn.shopify.com/s/files/1/0358/9780/2890/files/FotosWeb_parte1_Mesadetrabajo1copia71.jpg?v=1710784994</t>
  </si>
  <si>
    <t>https://cdn.shopify.com/s/files/1/0358/9780/2890/files/Fotos_Web_parte5_Mesa_de_trabajo_1_copia_71.jpg?v=1739390602</t>
  </si>
  <si>
    <t>https://cdn.shopify.com/s/files/1/0358/9780/2890/products/repollitosdebrusas.jpg?v=1651601751</t>
  </si>
  <si>
    <t>https://cdn.shopify.com/s/files/1/0358/9780/2890/files/FotosWeb_parte2_Mesadetrabajo1copia26.jpg?v=1711034232</t>
  </si>
  <si>
    <t>https://cdn.shopify.com/s/files/1/0358/9780/2890/files/FotosWeb_parte2_Mesadetrabajo1copia25.jpg?v=1711034251</t>
  </si>
  <si>
    <t>https://cdn.shopify.com/s/files/1/0358/9780/2890/files/FotosWeb_parte2_Mesadetrabajo1copia28.jpg?v=1711034269</t>
  </si>
  <si>
    <t>https://cdn.shopify.com/s/files/1/0358/9780/2890/files/FotosWeb_parte1_Mesadetrabajo1copia67.jpg?v=1710525989</t>
  </si>
  <si>
    <t>Champiñón Portobello (200 grs)</t>
  </si>
  <si>
    <t>https://cdn.shopify.com/s/files/1/0358/9780/2890/files/FotosWeb_parte2_Mesadetrabajo1copia32.jpg?v=1711034329</t>
  </si>
  <si>
    <t>https://cdn.shopify.com/s/files/1/0358/9780/2890/products/ChocloAmericano.jpg?v=1639664012</t>
  </si>
  <si>
    <t>https://cdn.shopify.com/s/files/1/0358/9780/2890/products/Ciboullette.png?v=1584815994</t>
  </si>
  <si>
    <t>https://cdn.shopify.com/s/files/1/0358/9780/2890/files/FotosWeb_parte2_Mesadetrabajo1copia35.jpg?v=1711034352</t>
  </si>
  <si>
    <t>https://cdn.shopify.com/s/files/1/0358/9780/2890/files/FotosWeb_parte1_Mesadetrabajo1copia70.jpg?v=1710785046</t>
  </si>
  <si>
    <t>Espinaca Baby (200 grs)</t>
  </si>
  <si>
    <t>https://cdn.shopify.com/s/files/1/0358/9780/2890/files/FotosWeb_parte2_Mesadetrabajo1copia49.jpg?v=1711034470</t>
  </si>
  <si>
    <t>Espinaca Sanitizada (500 grs)</t>
  </si>
  <si>
    <t>https://cdn.shopify.com/s/files/1/0358/9780/2890/files/FotosWeb_parte2_Mesadetrabajo1copia50.jpg?v=1711034505</t>
  </si>
  <si>
    <t>Hinojo (unidad)</t>
  </si>
  <si>
    <t>https://cdn.shopify.com/s/files/1/0358/9780/2890/files/hinojoweb.jpg?v=1759256027</t>
  </si>
  <si>
    <t>https://cdn.shopify.com/s/files/1/0358/9780/2890/files/FotosWeb_parte2_Mesadetrabajo1copia57.jpg?v=1711034645</t>
  </si>
  <si>
    <t>Kale Sanitizado (200 grs)</t>
  </si>
  <si>
    <t>https://cdn.shopify.com/s/files/1/0358/9780/2890/files/FotosWeb_parte2_Mesadetrabajo1copia58.jpg?v=1711034673</t>
  </si>
  <si>
    <t>Laurel (100 grs)</t>
  </si>
  <si>
    <t>https://cdn.shopify.com/s/files/1/0358/9780/2890/files/FotosWeb_parte2_Mesadetrabajo1copia60.jpg?v=1711034695</t>
  </si>
  <si>
    <t>Le Mix Baby Sanitizada (200 grs)</t>
  </si>
  <si>
    <t>https://cdn.shopify.com/s/files/1/0358/9780/2890/files/65_a3874916-93c0-468d-9287-5a1162cee71a.png?v=1682613271</t>
  </si>
  <si>
    <t>https://cdn.shopify.com/s/files/1/0358/9780/2890/files/FotosWeb_parte3_Mesadetrabajo1copia22.png?v=1715698931</t>
  </si>
  <si>
    <t>https://cdn.shopify.com/s/files/1/0358/9780/2890/files/FotosWeb_parte3_Mesadetrabajo1copia15.jpg?v=1713808620</t>
  </si>
  <si>
    <t>https://cdn.shopify.com/s/files/1/0358/9780/2890/files/FotosWeb_parte2_Mesadetrabajo1copia61.jpg?v=1711034722</t>
  </si>
  <si>
    <t>Lechugas Mix Baby Sanitizada (200 grs)</t>
  </si>
  <si>
    <t>https://cdn.shopify.com/s/files/1/0358/9780/2890/files/64.png?v=1682609871</t>
  </si>
  <si>
    <t>https://cdn.shopify.com/s/files/1/0358/9780/2890/files/FotosWeb_parte3_Mesadetrabajo1copia21.png?v=1715698870</t>
  </si>
  <si>
    <t>Limón 3 Kg (15 un aprox)</t>
  </si>
  <si>
    <t>https://cdn.shopify.com/s/files/1/0358/9780/2890/files/FotosWeb_parte3_Mesadetrabajo1copia21_e2f9f650-d04d-499f-9648-2bf59bec1611.png?v=1715698888</t>
  </si>
  <si>
    <t>https://cdn.shopify.com/s/files/1/0358/9780/2890/files/FotosWeb_parte2_Mesadetrabajo1copia63.jpg?v=1711034748</t>
  </si>
  <si>
    <t>https://cdn.shopify.com/s/files/1/0358/9780/2890/files/FotosWeb_parte2_Mesadetrabajo1copia67.jpg?v=1711034821</t>
  </si>
  <si>
    <t>Orégano Sanitizado (100 grs)</t>
  </si>
  <si>
    <t>https://cdn.shopify.com/s/files/1/0358/9780/2890/files/FotosWeb_parte2_Mesadetrabajo1copia68.jpg?v=1711034845</t>
  </si>
  <si>
    <t>https://cdn.shopify.com/s/files/1/0358/9780/2890/files/Disenosintitulo_42.png?v=1685729301</t>
  </si>
  <si>
    <t>Palta Hass (4 un aprox.) - 2 -3 días</t>
  </si>
  <si>
    <t>https://cdn.shopify.com/s/files/1/0358/9780/2890/products/papa-asterix-kilo.jpg?v=1604277871</t>
  </si>
  <si>
    <t>Papa 3 Kg (24 un aprox.)</t>
  </si>
  <si>
    <t>https://cdn.shopify.com/s/files/1/0358/9780/2890/files/papa-asterix-kilo_6e2aa658-7320-49af-86e7-bc0beb10d0c7.jpg?v=1686150628</t>
  </si>
  <si>
    <t>https://cdn.shopify.com/s/files/1/0358/9780/2890/products/PapaCamote.jpg?v=1584816779</t>
  </si>
  <si>
    <t>Papa de colores (650 grs)</t>
  </si>
  <si>
    <t>https://cdn.shopify.com/s/files/1/0358/9780/2890/files/FotosWeb_parte2_Mesadetrabajo1copia69.jpg?v=1711034903</t>
  </si>
  <si>
    <t>Papa Souffle (6 un aprox.)</t>
  </si>
  <si>
    <t>https://cdn.shopify.com/s/files/1/0358/9780/2890/files/Fotos_Web_parte5_Mesa_de_trabajo_1_copia_51_ba4c3031-9956-4e7e-935f-a65dc9438429.jpg?v=1732028672</t>
  </si>
  <si>
    <t>https://cdn.shopify.com/s/files/1/0358/9780/2890/products/Pepino.jpg?v=1584816961</t>
  </si>
  <si>
    <t>https://cdn.shopify.com/s/files/1/0358/9780/2890/files/PHOTO-2025-05-05-17-12-52.jpg?v=1746539212</t>
  </si>
  <si>
    <t>https://cdn.shopify.com/s/files/1/0358/9780/2890/files/FotosWeb_parte2_Mesadetrabajo1copia73.jpg?v=1711034952</t>
  </si>
  <si>
    <t>https://cdn.shopify.com/s/files/1/0358/9780/2890/files/FotosWeb_parte2_Mesadetrabajo1copia74.jpg?v=1711034968</t>
  </si>
  <si>
    <t>Pimientos Dulces Mix</t>
  </si>
  <si>
    <t>https://cdn.shopify.com/s/files/1/0358/9780/2890/files/2_f4045a08-16ef-4f63-b445-d01903e5fd1c.jpg?v=1771968929</t>
  </si>
  <si>
    <t>Puerro (un)</t>
  </si>
  <si>
    <t>https://cdn.shopify.com/s/files/1/0358/9780/2890/files/puerro_web.jpg?v=1778171977</t>
  </si>
  <si>
    <t>https://cdn.shopify.com/s/files/1/0358/9780/2890/products/Rabanitos.jpg?v=1584817643</t>
  </si>
  <si>
    <t>https://cdn.shopify.com/s/files/1/0358/9780/2890/files/FotosWeb_parte3_Mesadetrabajo1copia2_0ea71bfa-5af2-4a92-b8b4-49818cc41af8.jpg?v=1729283049</t>
  </si>
  <si>
    <t>https://cdn.shopify.com/s/files/1/0358/9780/2890/files/FotosWeb_parte3_Mesadetrabajo1copia.jpg?v=1711036512</t>
  </si>
  <si>
    <t>Romero Sanitizado (100 grs)</t>
  </si>
  <si>
    <t>https://cdn.shopify.com/s/files/1/0358/9780/2890/files/FotosWeb_parte3_Mesadetrabajo1copia3.jpg?v=1711036531</t>
  </si>
  <si>
    <t>https://cdn.shopify.com/s/files/1/0358/9780/2890/files/FotosWeb_parte3_Mesadetrabajo1copia4.jpg?v=1711036553</t>
  </si>
  <si>
    <t>https://cdn.shopify.com/s/files/1/0358/9780/2890/products/Tomate.jpg?v=1584817913</t>
  </si>
  <si>
    <t>https://cdn.shopify.com/s/files/1/0358/9780/2890/files/Captura_de_Pantalla_2024-08-07_a_la_s_10.43.13.png?v=1723041835</t>
  </si>
  <si>
    <t>Tomate Mix Cherry (250 grs)</t>
  </si>
  <si>
    <t>https://cdn.shopify.com/s/files/1/0358/9780/2890/products/tomatecherrymix.jpg?v=1777477720</t>
  </si>
  <si>
    <t>https://cdn.shopify.com/s/files/1/0358/9780/2890/files/FotosWeb_parte3_Mesadetrabajo1copia5.jpg?v=1711036575</t>
  </si>
  <si>
    <t>Tomate Pera (3 un aprox.)</t>
  </si>
  <si>
    <t>https://cdn.shopify.com/s/files/1/0358/9780/2890/files/FotosWeb_parte3_Mesadetrabajo1copia5_dafcca99-37c7-429c-9a43-fcd487e4d662.jpg?v=1711036598</t>
  </si>
  <si>
    <t>Tomillo Sanitizado (100 grs)</t>
  </si>
  <si>
    <t>https://cdn.shopify.com/s/files/1/0358/9780/2890/files/FotosWeb_parte3_Mesadetrabajo1copia6.jpg?v=1711036623</t>
  </si>
  <si>
    <t>https://cdn.shopify.com/s/files/1/0358/9780/2890/files/FotosWeb_parte3_Mesadetrabajo1copia8.jpg?v=1711036674</t>
  </si>
  <si>
    <t>Zanahorias Baby (250 grs)</t>
  </si>
  <si>
    <t>https://cdn.shopify.com/s/files/1/0358/9780/2890/files/FotosWeb_parte3_Mesadetrabajo1copia9.jpg?v=1711036656</t>
  </si>
  <si>
    <t>Zanahorias de colores baby (250 grs)</t>
  </si>
  <si>
    <t>https://cdn.shopify.com/s/files/1/0358/9780/2890/products/zanahoria-colores.jpg?v=1642621202</t>
  </si>
  <si>
    <t>https://cdn.shopify.com/s/files/1/0358/9780/2890/files/2_ace5f843-5ed3-44ca-928f-8026ab722333.jpg?v=1737555371</t>
  </si>
  <si>
    <t>Zapallo Diaguita (un)</t>
  </si>
  <si>
    <t>https://cdn.shopify.com/s/files/1/0358/9780/2890/files/FotosWeb_parte3_Mesadetrabajo1copia18.jpg?v=1715033066</t>
  </si>
  <si>
    <t>https://cdn.shopify.com/s/files/1/0358/9780/2890/files/FotosWeb_parte3_Mesadetrabajo1copia10.jpg?v=1711036708</t>
  </si>
  <si>
    <t>Zapallo Trozo (500 grs)</t>
  </si>
  <si>
    <t>https://cdn.shopify.com/s/files/1/0358/9780/2890/files/FotosWeb_parte3_Mesadetrabajo1copia7.jpg?v=1711036726</t>
  </si>
  <si>
    <t>Caja Semanal Esenciales (2-3 prs)</t>
  </si>
  <si>
    <t>Costo</t>
  </si>
  <si>
    <t>Total</t>
  </si>
  <si>
    <t>Caja semanal completa (3-4 prs)</t>
  </si>
  <si>
    <t xml:space="preserve">Caja semanal frutas </t>
  </si>
  <si>
    <t>Caja ensaladas lover</t>
  </si>
  <si>
    <t>Nombre producto</t>
  </si>
  <si>
    <t>Precio</t>
  </si>
  <si>
    <t>Url Imagen</t>
  </si>
  <si>
    <t>Descripcion Opcional</t>
  </si>
  <si>
    <t>SKU Opcional</t>
  </si>
  <si>
    <t>EAN Opcional</t>
  </si>
  <si>
    <t>Unidad de medida Opcional</t>
  </si>
  <si>
    <t>Tamaño</t>
  </si>
  <si>
    <t>Acelga - Paquete</t>
  </si>
  <si>
    <t>Paquete de acelga fresca, ideal para ensaladas, guisos y preparaciones saludables.</t>
  </si>
  <si>
    <t>Verdulería</t>
  </si>
  <si>
    <t>sm</t>
  </si>
  <si>
    <t>Ají Amarillo (peruano) - Kilo</t>
  </si>
  <si>
    <t>Ají amarillo peruano fresco por kilo, perfecto para salsas y recetas tradicionales.</t>
  </si>
  <si>
    <t>Ají Verde (infierno) - Kilo</t>
  </si>
  <si>
    <t>Ají verde de sabor intenso disponible por kilo, ideal para dar picor a tus comidas.</t>
  </si>
  <si>
    <t>Ajo - Unidad</t>
  </si>
  <si>
    <t>Cabeza de ajo fresca por unidad, esencial para condimentar todo tipo de preparaciones.</t>
  </si>
  <si>
    <t>Albahaca - Kilo</t>
  </si>
  <si>
    <t>Albahaca fresca por kilo, ideal para pastas, ensaladas y salsas.</t>
  </si>
  <si>
    <t>Apio - Unidad</t>
  </si>
  <si>
    <t>Apio fresco por unidad, perfecto para ensaladas, sopas y jugos.</t>
  </si>
  <si>
    <t>Alcachofas Españolas - Unidad</t>
  </si>
  <si>
    <t>Alcachofa española fresca por unidad, ideal para cocinar o consumir al vapor.</t>
  </si>
  <si>
    <t>Berenjena - Unidad</t>
  </si>
  <si>
    <t>Berenjena fresca por unidad, excelente para asados, guisos y salteados.</t>
  </si>
  <si>
    <t>Berros - Kilo</t>
  </si>
  <si>
    <t>Berros frescos por kilo, ideales para ensaladas y acompañamientos.</t>
  </si>
  <si>
    <t>Betarraga - Paquete</t>
  </si>
  <si>
    <t>Paquete de betarragas frescas, perfectas para ensaladas y jugos.</t>
  </si>
  <si>
    <t>Brócoli - Unidad</t>
  </si>
  <si>
    <t>Brócoli fresco por unidad, ideal para cocción al vapor, salteados y ensaladas.</t>
  </si>
  <si>
    <t>Bruselas - Kilo</t>
  </si>
  <si>
    <t>Coles de Bruselas frescas por kilo, perfectas para hornear o saltear.</t>
  </si>
  <si>
    <t>Camote Morado - Kilo</t>
  </si>
  <si>
    <t>Camote morado fresco por kilo, ideal para preparaciones dulces y saladas.</t>
  </si>
  <si>
    <t>Cebolla - Unidad</t>
  </si>
  <si>
    <t>Cebolla fresca por unidad, indispensable para todo tipo de recetas.</t>
  </si>
  <si>
    <t>Cebolla Morada - Unidad</t>
  </si>
  <si>
    <t>Cebolla morada fresca por unidad, ideal para ensaladas y ceviches.</t>
  </si>
  <si>
    <t>Cebollín - Paquete</t>
  </si>
  <si>
    <t>Paquete de cebollín fresco, perfecto para condimentar y decorar platos.</t>
  </si>
  <si>
    <t>Champiñon - Bandeja</t>
  </si>
  <si>
    <t>Bandeja de champiñones frescos, ideal para salteados, pastas y acompañamientos.</t>
  </si>
  <si>
    <t>Choclo Americano - Unidad</t>
  </si>
  <si>
    <t>Choclo americano fresco por unidad, perfecto para cocer o asar.</t>
  </si>
  <si>
    <t>Ciboulette - Paquete</t>
  </si>
  <si>
    <t>Paquete de ciboulette fresco, ideal para ensaladas y aderezos.</t>
  </si>
  <si>
    <t>Cilantro - Paquete</t>
  </si>
  <si>
    <t>Paquete de cilantro fresco, perfecto para dar sabor a diversas preparaciones.</t>
  </si>
  <si>
    <t>Coliflor - Unidad</t>
  </si>
  <si>
    <t>Coliflor fresca por unidad, ideal para cocinar, gratinar o preparar al vapor.</t>
  </si>
  <si>
    <t>Diente de Dragón - Kilo</t>
  </si>
  <si>
    <t>Diente de dragón fresco por kilo, ideal para ensaladas y platos orientales.</t>
  </si>
  <si>
    <t>Esparragos - Kilo</t>
  </si>
  <si>
    <t>Espárragos frescos por kilo, perfectos para salteados, cremas y acompañamientos.</t>
  </si>
  <si>
    <t>Jengibre - Kilo</t>
  </si>
  <si>
    <t>Jengibre fresco por kilo, ideal para infusiones, jugos y preparaciones culinarias.</t>
  </si>
  <si>
    <t>Lechuga Costina - Unidad</t>
  </si>
  <si>
    <t>Lechuga costina fresca por unidad, perfecta para ensaladas y sándwiches.</t>
  </si>
  <si>
    <t>Lechuga Escarola - Unidad</t>
  </si>
  <si>
    <t>Lechuga escarola fresca por unidad, ideal para ensaladas de sabor suave.</t>
  </si>
  <si>
    <t>Lechuga Española - Unidad</t>
  </si>
  <si>
    <t>Lechuga española fresca por unidad, ideal para acompañar comidas y ensaladas.</t>
  </si>
  <si>
    <t>Lechuga Francesa - Unidad</t>
  </si>
  <si>
    <t>Lechuga francesa fresca por unidad, de hojas tiernas y sabor delicado.</t>
  </si>
  <si>
    <t>Lechuga Marina - Unidad</t>
  </si>
  <si>
    <t>Lechuga marina fresca por unidad, ideal para ensaladas variadas.</t>
  </si>
  <si>
    <t>Lechuga Hidropónica - Unidad</t>
  </si>
  <si>
    <t>Lechuga hidropónica fresca por unidad, cultivada para mayor frescura y calidad.</t>
  </si>
  <si>
    <t>Menta - Kilo</t>
  </si>
  <si>
    <t>Menta fresca por kilo, ideal para infusiones, postres y preparaciones aromáticas.</t>
  </si>
  <si>
    <t>Papa - Kilo</t>
  </si>
  <si>
    <t>Papa fresca por kilo, perfecta para una gran variedad de preparaciones.</t>
  </si>
  <si>
    <t>Pepinos - Unidad</t>
  </si>
  <si>
    <t>Pepinos frescos por unidad, ideales para ensaladas y jugos refrescantes.</t>
  </si>
  <si>
    <t>Perejil - Paquete</t>
  </si>
  <si>
    <t>Paquete de perejil fresco, perfecto para condimentar y decorar platos.</t>
  </si>
  <si>
    <t>Pimentón Amarillo - Unidad</t>
  </si>
  <si>
    <t>Pimentón amarillo fresco por unidad, ideal para ensaladas y preparaciones cocinadas.</t>
  </si>
  <si>
    <t>Pimentón Rojo - Unidad</t>
  </si>
  <si>
    <t>Pimentón rojo fresco por unidad, perfecto para salteados, ensaladas y rellenos.</t>
  </si>
  <si>
    <t>Pimentón Verde - Unidad</t>
  </si>
  <si>
    <t>Pimentón verde fresco por unidad, ideal para dar sabor a múltiples recetas.</t>
  </si>
  <si>
    <t>Porotos Verdes - Kilo</t>
  </si>
  <si>
    <t>Porotos verdes frescos por kilo, perfectos para acompañamientos y ensaladas.</t>
  </si>
  <si>
    <t>Rabanitos - Paquete</t>
  </si>
  <si>
    <t>Paquete de rabanitos frescos, ideales para ensaladas y aperitivos.</t>
  </si>
  <si>
    <t>Repollo Morado - Unidad</t>
  </si>
  <si>
    <t>Repollo morado fresco por unidad, perfecto para ensaladas y guarniciones.</t>
  </si>
  <si>
    <t>Repollo Crespo - Unidad</t>
  </si>
  <si>
    <t>Repollo crespo fresco por unidad, ideal para ensaladas y preparaciones cocidas.</t>
  </si>
  <si>
    <t>Rúcula - Kilo</t>
  </si>
  <si>
    <t>Rúcula fresca por kilo, de sabor intenso y perfecta para ensaladas.</t>
  </si>
  <si>
    <t>Tomate Larga Vida - Kilo</t>
  </si>
  <si>
    <t>Tomate larga vida fresco por kilo, ideal para ensaladas y preparaciones diarias.</t>
  </si>
  <si>
    <t>Tomate Cherry - Kilo</t>
  </si>
  <si>
    <t>Tomate cherry fresco por kilo, perfecto para ensaladas, aperitivos y decoración.</t>
  </si>
  <si>
    <t>Tomate Pomarola - Kilo</t>
  </si>
  <si>
    <t>Tomate pomarola fresco por kilo, ideal para salsas y preparaciones caseras.</t>
  </si>
  <si>
    <t>Zanahoria - Kilo</t>
  </si>
  <si>
    <t>Zanahoria fresca por kilo, perfecta para ensaladas, jugos y cocción.</t>
  </si>
  <si>
    <t>Zapallo Camote - Corte</t>
  </si>
  <si>
    <t>Zapallo camote disponible por corte, ideal para sopas, purés y guisos.</t>
  </si>
  <si>
    <t>Zapallo Italiano - Unidad</t>
  </si>
  <si>
    <t>Zapallo italiano fresco por unidad, perfecto para salteados y preparaciones saludables.</t>
  </si>
  <si>
    <t>Arandano - Kilo</t>
  </si>
  <si>
    <t>Arándanos frescos por kilo, ideales para consumir solos, en postres o batidos.</t>
  </si>
  <si>
    <t>Frutillas - Kilo</t>
  </si>
  <si>
    <t>Frutillas frescas por kilo, perfectas para postres, jugos y consumo directo.</t>
  </si>
  <si>
    <t>Kiwi - Kilo</t>
  </si>
  <si>
    <t>Kiwi fresco por kilo, ideal para ensaladas de frutas y colaciones.</t>
  </si>
  <si>
    <t>Limón - Kilo</t>
  </si>
  <si>
    <t>Limón fresco por kilo, perfecto para jugos, aderezos y preparaciones culinarias.</t>
  </si>
  <si>
    <t>Limón Sutil - Kilo</t>
  </si>
  <si>
    <t>Limón sutil fresco por kilo, ideal para bebidas y recetas especiales.</t>
  </si>
  <si>
    <t>Limon de Pica - Kilo</t>
  </si>
  <si>
    <t>Limón de Pica fresco por kilo, perfecto para cócteles y gastronomía tradicional.</t>
  </si>
  <si>
    <t>Mandarina - Kilo</t>
  </si>
  <si>
    <t>Mandarina fresca por kilo, ideal para consumir como colación o en jugos.</t>
  </si>
  <si>
    <t>Mango - Unidad</t>
  </si>
  <si>
    <t>Mango fresco por unidad, de sabor dulce y textura suave.</t>
  </si>
  <si>
    <t>Manzana Fuji - Kilo</t>
  </si>
  <si>
    <t>Manzana Fuji fresca por kilo, dulce y crujiente, ideal para cualquier momento.</t>
  </si>
  <si>
    <t>Manzana Verde - Kilo</t>
  </si>
  <si>
    <t>Manzana verde fresca por kilo, de sabor refrescante y ligeramente ácido.</t>
  </si>
  <si>
    <t>Manzana Pink Lady - Kilo</t>
  </si>
  <si>
    <t>Manzana Pink Lady fresca por kilo, dulce y crocante, ideal para colaciones.</t>
  </si>
  <si>
    <t>Mancaqui - Kilo</t>
  </si>
  <si>
    <t>Mancaqui fresco por kilo, perfecto para disfrutar como fruta de temporada.</t>
  </si>
  <si>
    <t>Naranjas - Kilo</t>
  </si>
  <si>
    <t>Naranjas frescas por kilo, ideales para jugos y consumo diario.</t>
  </si>
  <si>
    <t>Palta Hass Chilena - Kilo</t>
  </si>
  <si>
    <t>Palta Hass chilena fresca por kilo, cremosa y perfecta para múltiples preparaciones.</t>
  </si>
  <si>
    <t>Palta Hass Peruana - Kilo</t>
  </si>
  <si>
    <t>Palta Hass peruana fresca por kilo, ideal para ensaladas, tostadas y acompañamientos.</t>
  </si>
  <si>
    <t>Pera - Kilo</t>
  </si>
  <si>
    <t>Pera fresca por kilo, dulce y jugosa, perfecta para consumir en cualquier momento.</t>
  </si>
  <si>
    <t>Pepinodulce - Kilo</t>
  </si>
  <si>
    <t>Pepino dulce fresco por kilo, ideal como colación o postre natural.</t>
  </si>
  <si>
    <t>Piña Caramelo - Unidad</t>
  </si>
  <si>
    <t>Piña caramelo fresca por unidad, dulce y jugosa, perfecta para compartir.</t>
  </si>
  <si>
    <t>Plátano - Kilo</t>
  </si>
  <si>
    <t>Plátano fresco por kilo, ideal para colaciones, postres y batidos.</t>
  </si>
  <si>
    <t>Pomelo - Kilo</t>
  </si>
  <si>
    <t>Pomelo fresco por kilo, de sabor cítrico y refrescante.</t>
  </si>
  <si>
    <t>Tuna - Kilo</t>
  </si>
  <si>
    <t>Tuna fresca por kilo, ideal para disfrutar como fruta natural.</t>
  </si>
  <si>
    <t>Uva Roja - Kilo</t>
  </si>
  <si>
    <t>Uva roja fresca por kilo, dulce y perfecta para compartir.</t>
  </si>
  <si>
    <t>Uva Verde - Kilo</t>
  </si>
  <si>
    <t>Uva verde fresca por kilo, fresca y jugosa, ideal para colaciones.</t>
  </si>
  <si>
    <t>Almendras - Kilo</t>
  </si>
  <si>
    <t>Almendras por kilo, ideales para snacks, repostería y preparaciones saludables.</t>
  </si>
  <si>
    <t>Almendras con Chocolate - Kilo</t>
  </si>
  <si>
    <t>Almendras con chocolate por kilo, una deliciosa combinación para disfrutar.</t>
  </si>
  <si>
    <t>Aloe Vera - Kilo</t>
  </si>
  <si>
    <t>Aloe vera por kilo, ideal para preparaciones naturales y consumo específico.</t>
  </si>
  <si>
    <t>Avellanas Europea - Kilo</t>
  </si>
  <si>
    <t>Avellanas europeas por kilo, perfectas para repostería y consumo directo.</t>
  </si>
  <si>
    <t>Castañas de Caju - Kilo</t>
  </si>
  <si>
    <t>Castañas de cajú por kilo, ideales como snack o ingrediente culinario.</t>
  </si>
  <si>
    <t>Chips de Banana - Kilo</t>
  </si>
  <si>
    <t>Chips de banana por kilo, un snack crujiente y delicioso.</t>
  </si>
  <si>
    <t>Ciruela Deshidratada - Kilo</t>
  </si>
  <si>
    <t>Ciruela deshidratada por kilo, ideal para colaciones y repostería.</t>
  </si>
  <si>
    <t>Coco en Cubos - Kilo</t>
  </si>
  <si>
    <t>Coco en cubos por kilo, perfecto para snacks y preparaciones dulces.</t>
  </si>
  <si>
    <t>Coco Laminado - Kilo</t>
  </si>
  <si>
    <t>Coco laminado por kilo, ideal para repostería y decoración.</t>
  </si>
  <si>
    <t>Coco Rallado - Kilo</t>
  </si>
  <si>
    <t>Coco rallado por kilo, perfecto para postres y preparaciones caseras.</t>
  </si>
  <si>
    <t>Cranberries - Kilo</t>
  </si>
  <si>
    <t>Cranberries por kilo, ideales para snacks, ensaladas y repostería.</t>
  </si>
  <si>
    <t>Dátiles - Kilo</t>
  </si>
  <si>
    <t>Dátiles por kilo, dulces y perfectos para colaciones y recetas saludables.</t>
  </si>
  <si>
    <t>Flor de Hibiscos - Kilo</t>
  </si>
  <si>
    <t>Flor de hibiscos por kilo, ideal para infusiones y preparaciones naturales.</t>
  </si>
  <si>
    <t>Goji - Kilo</t>
  </si>
  <si>
    <t>Bayas de goji por kilo, perfectas para snacks y mezclas saludables.</t>
  </si>
  <si>
    <t>Huesillo Grande - Kilo</t>
  </si>
  <si>
    <t>Huesillo grande por kilo, ideal para postres y preparaciones tradicionales.</t>
  </si>
  <si>
    <t>Kiwi Deshidratado - Kilo</t>
  </si>
  <si>
    <t>Kiwi deshidratado por kilo, una opción práctica y deliciosa para colaciones.</t>
  </si>
  <si>
    <t>Linaza - Kilo</t>
  </si>
  <si>
    <t>Linaza por kilo, ideal para complementar una alimentación equilibrada.</t>
  </si>
  <si>
    <t>Maíz Curagua - Kilo</t>
  </si>
  <si>
    <t>Maíz curagua por kilo, perfecto para preparaciones tradicionales.</t>
  </si>
  <si>
    <t>Mango Deshidratado - Kilo</t>
  </si>
  <si>
    <t>Mango deshidratado por kilo, dulce y práctico para consumir en cualquier momento.</t>
  </si>
  <si>
    <t>Maní Chocolate - Kilo</t>
  </si>
  <si>
    <t>Maní con chocolate por kilo, ideal para disfrutar como snack.</t>
  </si>
  <si>
    <t>Mani con Sal - Kilo</t>
  </si>
  <si>
    <t>Maní con sal por kilo, perfecto para compartir y acompañar reuniones.</t>
  </si>
  <si>
    <t>Maní Confitado - Kilo</t>
  </si>
  <si>
    <t>Maní confitado por kilo, una alternativa dulce y crujiente.</t>
  </si>
  <si>
    <t>Maní Japonés Natural - Kilo</t>
  </si>
  <si>
    <t>Maní japonés natural por kilo, ideal para disfrutar como aperitivo.</t>
  </si>
  <si>
    <t>Maní Japonés Picante - Kilo</t>
  </si>
  <si>
    <t>Maní japonés picante por kilo, perfecto para quienes prefieren sabores intensos.</t>
  </si>
  <si>
    <t>Maní sin Sal - Kilo</t>
  </si>
  <si>
    <t>Maní sin sal por kilo, ideal para preparaciones y consumo natural.</t>
  </si>
  <si>
    <t>Manzana Deshidratada - Kilo</t>
  </si>
  <si>
    <t>Manzana deshidratada por kilo, dulce y práctica para colaciones.</t>
  </si>
  <si>
    <t>Nueces - Kilo</t>
  </si>
  <si>
    <t>Nueces por kilo, ideales para repostería, snacks y ensaladas.</t>
  </si>
  <si>
    <t>Papaya Deshidratada - Kilo</t>
  </si>
  <si>
    <t>Papaya deshidratada por kilo, perfecta para disfrutar como snack.</t>
  </si>
  <si>
    <t>Pasas con Chocolate - Kilo</t>
  </si>
  <si>
    <t>Pasas con chocolate por kilo, una deliciosa combinación dulce.</t>
  </si>
  <si>
    <t>Pasas Negras - Kilo</t>
  </si>
  <si>
    <t>Pasas negras por kilo, ideales para repostería y consumo directo.</t>
  </si>
  <si>
    <t>Pasas Rubias - Kilo</t>
  </si>
  <si>
    <t>Pasas rubias por kilo, perfectas para recetas y colaciones.</t>
  </si>
  <si>
    <t>Pepas de Zapallo - Kilo</t>
  </si>
  <si>
    <t>Pepas de zapallo por kilo, ideales para snacks y preparaciones saludables.</t>
  </si>
  <si>
    <t>Pistacho con Sal - Kilo</t>
  </si>
  <si>
    <t>Pistacho con sal por kilo, perfecto para compartir y disfrutar.</t>
  </si>
  <si>
    <t>Pomelo Deshidratado - Kilo</t>
  </si>
  <si>
    <t>Pomelo deshidratado por kilo, ideal para snacks y mezclas de frutas.</t>
  </si>
  <si>
    <t>Semilla de Maravilla - Kilo</t>
  </si>
  <si>
    <t>Semillas de maravilla por kilo, perfectas para ensaladas y colaciones.</t>
  </si>
  <si>
    <t>Tomate Deshidratado - Kilo</t>
  </si>
  <si>
    <t>Tomate deshidratado por kilo, ideal para pastas, ensaladas y aperitivos.</t>
  </si>
  <si>
    <t>Frutos secos</t>
  </si>
  <si>
    <t>Cajas listas para tu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</si>
</sst>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&quot;$&quot;#,##0.00"/>
    <numFmt numFmtId="166" formatCode="0.0%"/>
    <numFmt numFmtId="167" formatCode="&quot;$&quot;#,##0.0"/>
  </numFmts>
  <fonts count="4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rgb="FF0000FF"/>
      <name val="Arial"/>
      <family val="2"/>
    </font>
    <font>
      <sz val="11"/>
      <color theme="1"/>
      <name val="Arial"/>
      <family val="2"/>
    </font>
    <font>
      <u/>
      <sz val="10"/>
      <color rgb="FF0000FF"/>
      <name val="Arial"/>
      <family val="2"/>
    </font>
    <font>
      <u/>
      <sz val="11"/>
      <color rgb="FF000000"/>
      <name val="Calibri"/>
      <family val="2"/>
    </font>
    <font>
      <u/>
      <sz val="10"/>
      <color rgb="FF0000FF"/>
      <name val="Arial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color rgb="FF0000FF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000000"/>
      <name val="Arial"/>
      <family val="2"/>
    </font>
    <font>
      <i/>
      <sz val="11"/>
      <color rgb="FFB00020"/>
      <name val="Calibri"/>
      <family val="2"/>
    </font>
    <font>
      <b/>
      <sz val="11"/>
      <color rgb="FF0B3D9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u/>
      <sz val="11"/>
      <color rgb="FF000000"/>
      <name val="Calibri"/>
      <family val="2"/>
    </font>
    <font>
      <sz val="11"/>
      <color rgb="FF333333"/>
      <name val="Karla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rgb="FF000000"/>
      <name val="Calibri"/>
      <family val="2"/>
    </font>
    <font>
      <u/>
      <sz val="10"/>
      <color rgb="FF0000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2E7D32"/>
        <bgColor rgb="FF2E7D32"/>
      </patternFill>
    </fill>
    <fill>
      <patternFill patternType="solid">
        <fgColor rgb="FF1565C0"/>
        <bgColor rgb="FF1565C0"/>
      </patternFill>
    </fill>
    <fill>
      <patternFill patternType="solid">
        <fgColor rgb="FFFDECEA"/>
        <bgColor rgb="FFFDECEA"/>
      </patternFill>
    </fill>
    <fill>
      <patternFill patternType="solid">
        <fgColor rgb="FFE8F0FE"/>
        <bgColor rgb="FFE8F0FE"/>
      </patternFill>
    </fill>
    <fill>
      <patternFill patternType="solid">
        <fgColor rgb="FFFFE699"/>
        <bgColor rgb="FFFFE69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2" borderId="0" xfId="0" applyFont="1" applyFill="1"/>
    <xf numFmtId="9" fontId="1" fillId="2" borderId="0" xfId="0" applyNumberFormat="1" applyFont="1" applyFill="1"/>
    <xf numFmtId="164" fontId="1" fillId="2" borderId="0" xfId="0" applyNumberFormat="1" applyFont="1" applyFill="1"/>
    <xf numFmtId="164" fontId="1" fillId="2" borderId="0" xfId="0" applyNumberFormat="1" applyFont="1" applyFill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9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164" fontId="1" fillId="2" borderId="1" xfId="0" applyNumberFormat="1" applyFont="1" applyFill="1" applyBorder="1"/>
    <xf numFmtId="164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/>
    <xf numFmtId="164" fontId="4" fillId="0" borderId="1" xfId="0" applyNumberFormat="1" applyFont="1" applyBorder="1" applyAlignment="1">
      <alignment horizontal="center" wrapText="1"/>
    </xf>
    <xf numFmtId="9" fontId="1" fillId="0" borderId="1" xfId="0" applyNumberFormat="1" applyFont="1" applyBorder="1"/>
    <xf numFmtId="9" fontId="1" fillId="2" borderId="1" xfId="0" applyNumberFormat="1" applyFont="1" applyFill="1" applyBorder="1"/>
    <xf numFmtId="164" fontId="1" fillId="0" borderId="1" xfId="0" applyNumberFormat="1" applyFont="1" applyBorder="1"/>
    <xf numFmtId="164" fontId="1" fillId="2" borderId="4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5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5" fillId="2" borderId="0" xfId="0" applyFont="1" applyFill="1"/>
    <xf numFmtId="0" fontId="2" fillId="2" borderId="0" xfId="0" applyFont="1" applyFill="1"/>
    <xf numFmtId="164" fontId="1" fillId="2" borderId="6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0" fontId="1" fillId="2" borderId="7" xfId="0" applyFont="1" applyFill="1" applyBorder="1"/>
    <xf numFmtId="9" fontId="1" fillId="3" borderId="1" xfId="0" applyNumberFormat="1" applyFont="1" applyFill="1" applyBorder="1"/>
    <xf numFmtId="164" fontId="1" fillId="3" borderId="1" xfId="0" applyNumberFormat="1" applyFont="1" applyFill="1" applyBorder="1"/>
    <xf numFmtId="0" fontId="2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Alignment="1">
      <alignment horizontal="center"/>
    </xf>
    <xf numFmtId="164" fontId="1" fillId="0" borderId="2" xfId="0" applyNumberFormat="1" applyFont="1" applyBorder="1"/>
    <xf numFmtId="164" fontId="1" fillId="0" borderId="8" xfId="0" applyNumberFormat="1" applyFont="1" applyBorder="1"/>
    <xf numFmtId="164" fontId="1" fillId="0" borderId="3" xfId="0" applyNumberFormat="1" applyFont="1" applyBorder="1"/>
    <xf numFmtId="3" fontId="1" fillId="2" borderId="0" xfId="0" applyNumberFormat="1" applyFont="1" applyFill="1" applyAlignment="1">
      <alignment horizontal="center"/>
    </xf>
    <xf numFmtId="164" fontId="1" fillId="0" borderId="4" xfId="0" applyNumberFormat="1" applyFont="1" applyBorder="1"/>
    <xf numFmtId="164" fontId="1" fillId="0" borderId="5" xfId="0" applyNumberFormat="1" applyFont="1" applyBorder="1"/>
    <xf numFmtId="3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64" fontId="1" fillId="0" borderId="6" xfId="0" applyNumberFormat="1" applyFont="1" applyBorder="1"/>
    <xf numFmtId="164" fontId="1" fillId="0" borderId="9" xfId="0" applyNumberFormat="1" applyFont="1" applyBorder="1"/>
    <xf numFmtId="164" fontId="1" fillId="0" borderId="7" xfId="0" applyNumberFormat="1" applyFont="1" applyBorder="1"/>
    <xf numFmtId="3" fontId="1" fillId="5" borderId="0" xfId="0" applyNumberFormat="1" applyFont="1" applyFill="1" applyAlignment="1">
      <alignment horizontal="center"/>
    </xf>
    <xf numFmtId="164" fontId="1" fillId="5" borderId="0" xfId="0" applyNumberFormat="1" applyFont="1" applyFill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164" fontId="1" fillId="0" borderId="0" xfId="0" applyNumberFormat="1" applyFont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165" fontId="1" fillId="0" borderId="8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3" fontId="1" fillId="2" borderId="0" xfId="0" applyNumberFormat="1" applyFont="1" applyFill="1"/>
    <xf numFmtId="0" fontId="1" fillId="0" borderId="6" xfId="0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9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0" fontId="2" fillId="0" borderId="10" xfId="0" applyFont="1" applyBorder="1"/>
    <xf numFmtId="164" fontId="4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1" fillId="0" borderId="0" xfId="0" applyFont="1" applyAlignment="1">
      <alignment horizontal="center" wrapText="1"/>
    </xf>
    <xf numFmtId="0" fontId="2" fillId="2" borderId="0" xfId="0" applyFont="1" applyFill="1" applyAlignment="1">
      <alignment horizontal="left" wrapText="1"/>
    </xf>
    <xf numFmtId="0" fontId="2" fillId="4" borderId="0" xfId="0" applyFont="1" applyFill="1" applyAlignment="1">
      <alignment horizontal="left" wrapText="1"/>
    </xf>
    <xf numFmtId="9" fontId="1" fillId="4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 wrapText="1"/>
    </xf>
    <xf numFmtId="9" fontId="6" fillId="2" borderId="0" xfId="0" applyNumberFormat="1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10" fontId="6" fillId="2" borderId="0" xfId="0" applyNumberFormat="1" applyFont="1" applyFill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9" fontId="6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164" fontId="7" fillId="4" borderId="0" xfId="0" applyNumberFormat="1" applyFont="1" applyFill="1" applyAlignment="1">
      <alignment horizontal="right"/>
    </xf>
    <xf numFmtId="9" fontId="7" fillId="2" borderId="0" xfId="0" applyNumberFormat="1" applyFont="1" applyFill="1" applyAlignment="1">
      <alignment horizontal="right"/>
    </xf>
    <xf numFmtId="164" fontId="7" fillId="0" borderId="0" xfId="0" applyNumberFormat="1" applyFont="1"/>
    <xf numFmtId="164" fontId="7" fillId="2" borderId="0" xfId="0" applyNumberFormat="1" applyFont="1" applyFill="1"/>
    <xf numFmtId="9" fontId="7" fillId="2" borderId="0" xfId="0" applyNumberFormat="1" applyFont="1" applyFill="1"/>
    <xf numFmtId="166" fontId="1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7" fontId="7" fillId="0" borderId="0" xfId="0" applyNumberFormat="1" applyFont="1"/>
    <xf numFmtId="9" fontId="7" fillId="0" borderId="0" xfId="0" applyNumberFormat="1" applyFont="1"/>
    <xf numFmtId="3" fontId="7" fillId="0" borderId="0" xfId="0" applyNumberFormat="1" applyFont="1" applyAlignment="1">
      <alignment horizontal="right"/>
    </xf>
    <xf numFmtId="0" fontId="7" fillId="6" borderId="0" xfId="0" applyFont="1" applyFill="1"/>
    <xf numFmtId="165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164" fontId="11" fillId="0" borderId="0" xfId="0" applyNumberFormat="1" applyFont="1" applyAlignment="1">
      <alignment horizontal="left"/>
    </xf>
    <xf numFmtId="0" fontId="6" fillId="0" borderId="0" xfId="0" applyFont="1"/>
    <xf numFmtId="164" fontId="12" fillId="0" borderId="0" xfId="0" applyNumberFormat="1" applyFont="1" applyAlignment="1">
      <alignment horizontal="left"/>
    </xf>
    <xf numFmtId="164" fontId="13" fillId="0" borderId="0" xfId="0" applyNumberFormat="1" applyFont="1" applyAlignment="1">
      <alignment horizontal="left"/>
    </xf>
    <xf numFmtId="164" fontId="14" fillId="0" borderId="0" xfId="0" applyNumberFormat="1" applyFont="1"/>
    <xf numFmtId="165" fontId="15" fillId="0" borderId="0" xfId="0" applyNumberFormat="1" applyFont="1"/>
    <xf numFmtId="164" fontId="16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right"/>
    </xf>
    <xf numFmtId="164" fontId="7" fillId="4" borderId="0" xfId="0" applyNumberFormat="1" applyFont="1" applyFill="1"/>
    <xf numFmtId="0" fontId="18" fillId="0" borderId="0" xfId="0" applyFont="1"/>
    <xf numFmtId="165" fontId="19" fillId="0" borderId="0" xfId="0" applyNumberFormat="1" applyFont="1"/>
    <xf numFmtId="165" fontId="20" fillId="0" borderId="0" xfId="0" applyNumberFormat="1" applyFont="1" applyAlignment="1">
      <alignment horizontal="left"/>
    </xf>
    <xf numFmtId="0" fontId="21" fillId="0" borderId="0" xfId="0" applyFont="1"/>
    <xf numFmtId="164" fontId="22" fillId="2" borderId="13" xfId="0" applyNumberFormat="1" applyFont="1" applyFill="1" applyBorder="1"/>
    <xf numFmtId="0" fontId="23" fillId="0" borderId="0" xfId="0" applyFont="1" applyAlignment="1">
      <alignment horizontal="center"/>
    </xf>
    <xf numFmtId="0" fontId="23" fillId="0" borderId="0" xfId="0" applyFont="1"/>
    <xf numFmtId="164" fontId="23" fillId="0" borderId="0" xfId="0" applyNumberFormat="1" applyFont="1"/>
    <xf numFmtId="164" fontId="24" fillId="0" borderId="0" xfId="0" applyNumberFormat="1" applyFont="1"/>
    <xf numFmtId="0" fontId="25" fillId="0" borderId="0" xfId="0" applyFont="1"/>
    <xf numFmtId="9" fontId="1" fillId="4" borderId="0" xfId="0" applyNumberFormat="1" applyFont="1" applyFill="1" applyAlignment="1">
      <alignment horizontal="center"/>
    </xf>
    <xf numFmtId="164" fontId="26" fillId="0" borderId="0" xfId="0" applyNumberFormat="1" applyFont="1"/>
    <xf numFmtId="9" fontId="25" fillId="7" borderId="0" xfId="0" applyNumberFormat="1" applyFont="1" applyFill="1" applyAlignment="1">
      <alignment horizontal="center"/>
    </xf>
    <xf numFmtId="0" fontId="25" fillId="7" borderId="0" xfId="0" applyFont="1" applyFill="1" applyAlignment="1">
      <alignment horizontal="center"/>
    </xf>
    <xf numFmtId="164" fontId="1" fillId="7" borderId="0" xfId="0" applyNumberFormat="1" applyFont="1" applyFill="1"/>
    <xf numFmtId="9" fontId="1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164" fontId="1" fillId="3" borderId="0" xfId="0" applyNumberFormat="1" applyFont="1" applyFill="1"/>
    <xf numFmtId="9" fontId="1" fillId="3" borderId="0" xfId="0" applyNumberFormat="1" applyFont="1" applyFill="1"/>
    <xf numFmtId="0" fontId="27" fillId="0" borderId="0" xfId="0" applyFont="1"/>
    <xf numFmtId="164" fontId="27" fillId="0" borderId="0" xfId="0" applyNumberFormat="1" applyFont="1" applyAlignment="1">
      <alignment horizontal="center"/>
    </xf>
    <xf numFmtId="0" fontId="27" fillId="8" borderId="0" xfId="0" applyFont="1" applyFill="1"/>
    <xf numFmtId="164" fontId="27" fillId="8" borderId="0" xfId="0" applyNumberFormat="1" applyFont="1" applyFill="1"/>
    <xf numFmtId="0" fontId="27" fillId="2" borderId="0" xfId="0" applyFont="1" applyFill="1"/>
    <xf numFmtId="164" fontId="27" fillId="2" borderId="0" xfId="0" applyNumberFormat="1" applyFont="1" applyFill="1" applyAlignment="1">
      <alignment horizontal="right"/>
    </xf>
    <xf numFmtId="164" fontId="27" fillId="2" borderId="0" xfId="0" applyNumberFormat="1" applyFont="1" applyFill="1" applyAlignment="1">
      <alignment horizontal="center"/>
    </xf>
    <xf numFmtId="164" fontId="27" fillId="0" borderId="0" xfId="0" applyNumberFormat="1" applyFont="1"/>
    <xf numFmtId="164" fontId="27" fillId="0" borderId="0" xfId="0" applyNumberFormat="1" applyFont="1" applyAlignment="1">
      <alignment horizontal="right"/>
    </xf>
    <xf numFmtId="0" fontId="28" fillId="9" borderId="0" xfId="0" applyFont="1" applyFill="1" applyAlignment="1">
      <alignment horizontal="center"/>
    </xf>
    <xf numFmtId="164" fontId="28" fillId="9" borderId="0" xfId="0" applyNumberFormat="1" applyFont="1" applyFill="1" applyAlignment="1">
      <alignment horizontal="center"/>
    </xf>
    <xf numFmtId="0" fontId="28" fillId="10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0" fontId="29" fillId="0" borderId="13" xfId="0" applyFont="1" applyBorder="1"/>
    <xf numFmtId="164" fontId="29" fillId="0" borderId="13" xfId="0" applyNumberFormat="1" applyFont="1" applyBorder="1" applyAlignment="1">
      <alignment horizontal="right"/>
    </xf>
    <xf numFmtId="164" fontId="30" fillId="11" borderId="13" xfId="0" applyNumberFormat="1" applyFont="1" applyFill="1" applyBorder="1"/>
    <xf numFmtId="0" fontId="22" fillId="0" borderId="13" xfId="0" applyFont="1" applyBorder="1"/>
    <xf numFmtId="0" fontId="31" fillId="12" borderId="13" xfId="0" applyFont="1" applyFill="1" applyBorder="1" applyAlignment="1">
      <alignment horizontal="center" wrapText="1"/>
    </xf>
    <xf numFmtId="0" fontId="30" fillId="11" borderId="13" xfId="0" applyFont="1" applyFill="1" applyBorder="1" applyAlignment="1">
      <alignment wrapText="1"/>
    </xf>
    <xf numFmtId="164" fontId="22" fillId="0" borderId="13" xfId="0" applyNumberFormat="1" applyFont="1" applyBorder="1" applyAlignment="1">
      <alignment horizontal="right"/>
    </xf>
    <xf numFmtId="164" fontId="32" fillId="0" borderId="13" xfId="0" applyNumberFormat="1" applyFont="1" applyBorder="1"/>
    <xf numFmtId="164" fontId="22" fillId="0" borderId="13" xfId="0" applyNumberFormat="1" applyFont="1" applyBorder="1"/>
    <xf numFmtId="164" fontId="1" fillId="0" borderId="13" xfId="0" applyNumberFormat="1" applyFont="1" applyBorder="1"/>
    <xf numFmtId="164" fontId="33" fillId="0" borderId="13" xfId="0" applyNumberFormat="1" applyFont="1" applyBorder="1" applyAlignment="1">
      <alignment horizontal="right"/>
    </xf>
    <xf numFmtId="164" fontId="30" fillId="11" borderId="0" xfId="0" applyNumberFormat="1" applyFont="1" applyFill="1"/>
    <xf numFmtId="164" fontId="29" fillId="0" borderId="0" xfId="0" applyNumberFormat="1" applyFont="1" applyAlignment="1">
      <alignment horizontal="right"/>
    </xf>
    <xf numFmtId="0" fontId="34" fillId="0" borderId="0" xfId="0" applyFont="1"/>
    <xf numFmtId="0" fontId="22" fillId="0" borderId="0" xfId="0" applyFont="1"/>
    <xf numFmtId="0" fontId="22" fillId="0" borderId="0" xfId="0" applyFont="1" applyAlignment="1">
      <alignment horizontal="right"/>
    </xf>
    <xf numFmtId="0" fontId="35" fillId="0" borderId="0" xfId="0" applyFont="1"/>
    <xf numFmtId="3" fontId="1" fillId="0" borderId="0" xfId="0" applyNumberFormat="1" applyFont="1"/>
    <xf numFmtId="164" fontId="17" fillId="0" borderId="0" xfId="0" applyNumberFormat="1" applyFont="1" applyAlignment="1">
      <alignment horizontal="left"/>
    </xf>
    <xf numFmtId="164" fontId="2" fillId="0" borderId="0" xfId="0" applyNumberFormat="1" applyFont="1"/>
    <xf numFmtId="9" fontId="2" fillId="0" borderId="0" xfId="0" applyNumberFormat="1" applyFont="1"/>
    <xf numFmtId="0" fontId="36" fillId="2" borderId="0" xfId="0" applyFont="1" applyFill="1"/>
    <xf numFmtId="3" fontId="2" fillId="0" borderId="0" xfId="0" applyNumberFormat="1" applyFont="1"/>
    <xf numFmtId="0" fontId="6" fillId="13" borderId="1" xfId="0" applyFont="1" applyFill="1" applyBorder="1"/>
    <xf numFmtId="0" fontId="32" fillId="0" borderId="0" xfId="0" applyFont="1"/>
    <xf numFmtId="0" fontId="37" fillId="0" borderId="0" xfId="0" applyFont="1" applyAlignment="1">
      <alignment horizontal="left"/>
    </xf>
    <xf numFmtId="165" fontId="38" fillId="0" borderId="0" xfId="0" applyNumberFormat="1" applyFont="1" applyAlignment="1">
      <alignment horizontal="left"/>
    </xf>
    <xf numFmtId="165" fontId="39" fillId="0" borderId="0" xfId="0" applyNumberFormat="1" applyFont="1" applyAlignment="1">
      <alignment horizontal="left"/>
    </xf>
    <xf numFmtId="164" fontId="40" fillId="0" borderId="0" xfId="0" applyNumberFormat="1" applyFont="1" applyAlignment="1">
      <alignment horizontal="left"/>
    </xf>
    <xf numFmtId="164" fontId="41" fillId="0" borderId="0" xfId="0" applyNumberFormat="1" applyFont="1" applyAlignment="1">
      <alignment horizontal="left"/>
    </xf>
    <xf numFmtId="164" fontId="42" fillId="0" borderId="0" xfId="0" applyNumberFormat="1" applyFont="1" applyAlignment="1">
      <alignment horizontal="left"/>
    </xf>
    <xf numFmtId="164" fontId="43" fillId="0" borderId="0" xfId="0" applyNumberFormat="1" applyFont="1"/>
    <xf numFmtId="165" fontId="44" fillId="0" borderId="0" xfId="0" applyNumberFormat="1" applyFont="1"/>
    <xf numFmtId="164" fontId="45" fillId="0" borderId="0" xfId="0" applyNumberFormat="1" applyFont="1" applyAlignment="1">
      <alignment horizontal="left"/>
    </xf>
    <xf numFmtId="0" fontId="46" fillId="0" borderId="0" xfId="0" applyFont="1"/>
    <xf numFmtId="165" fontId="47" fillId="0" borderId="0" xfId="0" applyNumberFormat="1" applyFont="1"/>
    <xf numFmtId="165" fontId="48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cdn.shopify.com/s/files/1/0733/7318/8148/files/lechugaescarola.jpg?v=1762370847" TargetMode="External"/><Relationship Id="rId21" Type="http://schemas.openxmlformats.org/officeDocument/2006/relationships/hyperlink" Target="https://cdn.shopify.com/s/files/1/0733/7318/8148/files/coliflor.jpg?v=1762371015" TargetMode="External"/><Relationship Id="rId42" Type="http://schemas.openxmlformats.org/officeDocument/2006/relationships/hyperlink" Target="https://cdn.shopify.com/s/files/1/0733/7318/8148/files/rucula.png?v=1762370236" TargetMode="External"/><Relationship Id="rId47" Type="http://schemas.openxmlformats.org/officeDocument/2006/relationships/hyperlink" Target="https://cdn.shopify.com/s/files/1/0733/7318/8148/files/zapallocamote.jpg?v=1762370096" TargetMode="External"/><Relationship Id="rId63" Type="http://schemas.openxmlformats.org/officeDocument/2006/relationships/hyperlink" Target="https://cdn.shopify.com/s/files/1/0733/7318/8148/files/Disenosintitulo_4.png?v=1780880764" TargetMode="External"/><Relationship Id="rId68" Type="http://schemas.openxmlformats.org/officeDocument/2006/relationships/hyperlink" Target="https://cdn.shopify.com/s/files/1/0733/7318/8148/files/Pomelo.jpg?v=1762371883" TargetMode="External"/><Relationship Id="rId84" Type="http://schemas.openxmlformats.org/officeDocument/2006/relationships/hyperlink" Target="https://cdn.shopify.com/s/files/1/0733/7318/8148/files/florhibiscos_jpg.jpg?v=1762365517" TargetMode="External"/><Relationship Id="rId89" Type="http://schemas.openxmlformats.org/officeDocument/2006/relationships/hyperlink" Target="https://cdn.shopify.com/s/files/1/0733/7318/8148/files/maizcuragua_jpg.jpg?v=1762365004" TargetMode="External"/><Relationship Id="rId16" Type="http://schemas.openxmlformats.org/officeDocument/2006/relationships/hyperlink" Target="https://cdn.shopify.com/s/files/1/0733/7318/8148/files/cebollin.jpg?v=1762371254" TargetMode="External"/><Relationship Id="rId107" Type="http://schemas.openxmlformats.org/officeDocument/2006/relationships/hyperlink" Target="https://cdn.shopify.com/s/files/1/0733/7318/8148/files/tomatedeshidratado_jpg.jpg?v=1770819609" TargetMode="External"/><Relationship Id="rId11" Type="http://schemas.openxmlformats.org/officeDocument/2006/relationships/hyperlink" Target="https://cdn.shopify.com/s/files/1/0733/7318/8148/files/brocoli.jpg?v=1762371426" TargetMode="External"/><Relationship Id="rId32" Type="http://schemas.openxmlformats.org/officeDocument/2006/relationships/hyperlink" Target="https://cdn.shopify.com/s/files/1/0733/7318/8148/files/papasemillon_744a31b4-760a-4b2c-ba89-e2fd58430be6.jpg?v=1762273302" TargetMode="External"/><Relationship Id="rId37" Type="http://schemas.openxmlformats.org/officeDocument/2006/relationships/hyperlink" Target="https://cdn.shopify.com/s/files/1/0733/7318/8148/files/pimentonverde.jpg?v=1762370310" TargetMode="External"/><Relationship Id="rId53" Type="http://schemas.openxmlformats.org/officeDocument/2006/relationships/hyperlink" Target="https://cdn.shopify.com/s/files/1/0733/7318/8148/files/limonsutil.jpg?v=1762372937" TargetMode="External"/><Relationship Id="rId58" Type="http://schemas.openxmlformats.org/officeDocument/2006/relationships/hyperlink" Target="https://cdn.shopify.com/s/files/1/0733/7318/8148/files/manzanaverde.jpg?v=1762372779" TargetMode="External"/><Relationship Id="rId74" Type="http://schemas.openxmlformats.org/officeDocument/2006/relationships/hyperlink" Target="https://ibb.co/ycgY92GC" TargetMode="External"/><Relationship Id="rId79" Type="http://schemas.openxmlformats.org/officeDocument/2006/relationships/hyperlink" Target="https://ibb.co/Tx0NwCNN" TargetMode="External"/><Relationship Id="rId102" Type="http://schemas.openxmlformats.org/officeDocument/2006/relationships/hyperlink" Target="https://cdn.shopify.com/s/files/1/0733/7318/8148/files/pasasrubiar-1.jpg-1.jpg?v=1762354879" TargetMode="External"/><Relationship Id="rId5" Type="http://schemas.openxmlformats.org/officeDocument/2006/relationships/hyperlink" Target="https://cdn.shopify.com/s/files/1/0733/7318/8148/files/zoomfotonoticia-129.jpg?v=1762371661" TargetMode="External"/><Relationship Id="rId90" Type="http://schemas.openxmlformats.org/officeDocument/2006/relationships/hyperlink" Target="https://cdn.shopify.com/s/files/1/0733/7318/8148/files/mangodeshidratado_jpg.png?v=1762365419" TargetMode="External"/><Relationship Id="rId95" Type="http://schemas.openxmlformats.org/officeDocument/2006/relationships/hyperlink" Target="https://cdn.shopify.com/s/files/1/0733/7318/8148/files/manipicante_jpg.jpg?v=1762355268" TargetMode="External"/><Relationship Id="rId22" Type="http://schemas.openxmlformats.org/officeDocument/2006/relationships/hyperlink" Target="https://cdn.shopify.com/s/files/1/0733/7318/8148/files/diente-de-dragon.jpg?v=1762286722" TargetMode="External"/><Relationship Id="rId27" Type="http://schemas.openxmlformats.org/officeDocument/2006/relationships/hyperlink" Target="https://cdn.shopify.com/s/files/1/0733/7318/8148/files/lechugaespanola.jpg?v=1762370805" TargetMode="External"/><Relationship Id="rId43" Type="http://schemas.openxmlformats.org/officeDocument/2006/relationships/hyperlink" Target="https://cdn.shopify.com/s/files/1/0733/7318/8148/files/tomate.jpg?v=1762370196" TargetMode="External"/><Relationship Id="rId48" Type="http://schemas.openxmlformats.org/officeDocument/2006/relationships/hyperlink" Target="https://cdn.shopify.com/s/files/1/0733/7318/8148/files/images_1_98edaab3-dc56-49cd-b2bc-d0b9fd52c71c.jpg?v=1774713847" TargetMode="External"/><Relationship Id="rId64" Type="http://schemas.openxmlformats.org/officeDocument/2006/relationships/hyperlink" Target="https://cdn.shopify.com/s/files/1/0733/7318/8148/files/pera.jpg?v=1762372159" TargetMode="External"/><Relationship Id="rId69" Type="http://schemas.openxmlformats.org/officeDocument/2006/relationships/hyperlink" Target="https://cdn.shopify.com/s/files/1/0733/7318/8148/files/tuna.jpg?v=1762371838" TargetMode="External"/><Relationship Id="rId80" Type="http://schemas.openxmlformats.org/officeDocument/2006/relationships/hyperlink" Target="https://cdn.shopify.com/s/files/1/0733/7318/8148/files/cocolaminado_jpg.jpg?v=1770819410" TargetMode="External"/><Relationship Id="rId85" Type="http://schemas.openxmlformats.org/officeDocument/2006/relationships/hyperlink" Target="https://cdn.shopify.com/s/files/1/0733/7318/8148/files/goji.jpg-600x399.jpg?v=1762365073" TargetMode="External"/><Relationship Id="rId12" Type="http://schemas.openxmlformats.org/officeDocument/2006/relationships/hyperlink" Target="https://cdn.shopify.com/s/files/1/0733/7318/8148/files/brusela_7ad88d5e-8c5a-44de-b1b8-f5077d48c88a.jpg?v=1770824864" TargetMode="External"/><Relationship Id="rId17" Type="http://schemas.openxmlformats.org/officeDocument/2006/relationships/hyperlink" Target="https://cdn.shopify.com/s/files/1/0733/7318/8148/files/champinon.png?v=1762371200" TargetMode="External"/><Relationship Id="rId33" Type="http://schemas.openxmlformats.org/officeDocument/2006/relationships/hyperlink" Target="https://cdn.shopify.com/s/files/1/0733/7318/8148/files/pepino.jpg?v=1762370475" TargetMode="External"/><Relationship Id="rId38" Type="http://schemas.openxmlformats.org/officeDocument/2006/relationships/hyperlink" Target="https://cdn.shopify.com/s/files/1/0733/7318/8148/files/poroto-verde.jpg?v=1762286507" TargetMode="External"/><Relationship Id="rId59" Type="http://schemas.openxmlformats.org/officeDocument/2006/relationships/hyperlink" Target="https://cdn.shopify.com/s/files/1/0733/7318/8148/files/manzanapink.jpg?v=1762273338" TargetMode="External"/><Relationship Id="rId103" Type="http://schemas.openxmlformats.org/officeDocument/2006/relationships/hyperlink" Target="https://cdn.shopify.com/s/files/1/0733/7318/8148/files/pepaszapallo.jpg-600x450.jpg?v=1762354846" TargetMode="External"/><Relationship Id="rId108" Type="http://schemas.openxmlformats.org/officeDocument/2006/relationships/hyperlink" Target="https://i.ibb.co/mF9CJFDg/Huevo-Blanco.jpg" TargetMode="External"/><Relationship Id="rId54" Type="http://schemas.openxmlformats.org/officeDocument/2006/relationships/hyperlink" Target="https://cdn.shopify.com/s/files/1/0733/7318/8148/files/limonsutil.jpg?v=1762372937" TargetMode="External"/><Relationship Id="rId70" Type="http://schemas.openxmlformats.org/officeDocument/2006/relationships/hyperlink" Target="https://cdn.shopify.com/s/files/1/0733/7318/8148/files/grape-fruit-table-grapes-2612718.jpg?v=1770901113" TargetMode="External"/><Relationship Id="rId75" Type="http://schemas.openxmlformats.org/officeDocument/2006/relationships/hyperlink" Target="https://cdn.shopify.com/s/files/1/0733/7318/8148/files/5-avellana-europea3011.jpg?v=1762365142" TargetMode="External"/><Relationship Id="rId91" Type="http://schemas.openxmlformats.org/officeDocument/2006/relationships/hyperlink" Target="https://cdn.shopify.com/s/files/1/0733/7318/8148/files/manichocolate.jpg-600x400.jpg?v=1762355468" TargetMode="External"/><Relationship Id="rId96" Type="http://schemas.openxmlformats.org/officeDocument/2006/relationships/hyperlink" Target="https://cdn.shopify.com/s/files/1/0733/7318/8148/files/manisal_jpg.jpg?v=1762355236" TargetMode="External"/><Relationship Id="rId1" Type="http://schemas.openxmlformats.org/officeDocument/2006/relationships/hyperlink" Target="https://cdn.shopify.com/s/files/1/0733/7318/8148/files/acelga.jpg?v=1762371793" TargetMode="External"/><Relationship Id="rId6" Type="http://schemas.openxmlformats.org/officeDocument/2006/relationships/hyperlink" Target="https://cdn.shopify.com/s/files/1/0733/7318/8148/files/apio.jpg?v=1762371609" TargetMode="External"/><Relationship Id="rId15" Type="http://schemas.openxmlformats.org/officeDocument/2006/relationships/hyperlink" Target="https://cdn.shopify.com/s/files/1/0733/7318/8148/files/cebollamorada.jpg?v=1762371301" TargetMode="External"/><Relationship Id="rId23" Type="http://schemas.openxmlformats.org/officeDocument/2006/relationships/hyperlink" Target="https://cdn.shopify.com/s/files/1/0733/7318/8148/files/esparragos-verdes.jpg?v=1774095995" TargetMode="External"/><Relationship Id="rId28" Type="http://schemas.openxmlformats.org/officeDocument/2006/relationships/hyperlink" Target="https://cdn.shopify.com/s/files/1/0733/7318/8148/files/lechugafrancesa.jpg?v=1762370766" TargetMode="External"/><Relationship Id="rId36" Type="http://schemas.openxmlformats.org/officeDocument/2006/relationships/hyperlink" Target="https://cdn.shopify.com/s/files/1/0733/7318/8148/files/pimentonrojo.jpg?v=1762370356" TargetMode="External"/><Relationship Id="rId49" Type="http://schemas.openxmlformats.org/officeDocument/2006/relationships/hyperlink" Target="https://cdn.shopify.com/s/files/1/0733/7318/8148/files/membrillo.jpg?v=1770900939" TargetMode="External"/><Relationship Id="rId57" Type="http://schemas.openxmlformats.org/officeDocument/2006/relationships/hyperlink" Target="https://cdn.shopify.com/s/files/1/0733/7318/8148/files/manzanafuji-600x600.jpg?v=1762372835" TargetMode="External"/><Relationship Id="rId106" Type="http://schemas.openxmlformats.org/officeDocument/2006/relationships/hyperlink" Target="https://cdn.shopify.com/s/files/1/0733/7318/8148/files/semillamaravilla.jpg-600x338.jpg?v=1762354780" TargetMode="External"/><Relationship Id="rId10" Type="http://schemas.openxmlformats.org/officeDocument/2006/relationships/hyperlink" Target="https://cdn.shopify.com/s/files/1/0733/7318/8148/files/betarraga.jpg?v=1762371470" TargetMode="External"/><Relationship Id="rId31" Type="http://schemas.openxmlformats.org/officeDocument/2006/relationships/hyperlink" Target="https://cdn.shopify.com/s/files/1/0733/7318/8148/files/menta.jpg?v=1762370549" TargetMode="External"/><Relationship Id="rId44" Type="http://schemas.openxmlformats.org/officeDocument/2006/relationships/hyperlink" Target="https://cdn.shopify.com/s/files/1/0733/7318/8148/files/tomatecherry.jpg?v=1762370168" TargetMode="External"/><Relationship Id="rId52" Type="http://schemas.openxmlformats.org/officeDocument/2006/relationships/hyperlink" Target="https://cdn.shopify.com/s/files/1/0733/7318/8148/files/limon.jpg?v=1762372971" TargetMode="External"/><Relationship Id="rId60" Type="http://schemas.openxmlformats.org/officeDocument/2006/relationships/hyperlink" Target="https://cdn.shopify.com/s/files/1/0733/7318/8148/files/caqui-fruta-1-xl-668x400x80xX_1.jpg?v=1770900746" TargetMode="External"/><Relationship Id="rId65" Type="http://schemas.openxmlformats.org/officeDocument/2006/relationships/hyperlink" Target="https://cdn.shopify.com/s/files/1/0733/7318/8148/files/pepinodulce.jpg?v=1762372072" TargetMode="External"/><Relationship Id="rId73" Type="http://schemas.openxmlformats.org/officeDocument/2006/relationships/hyperlink" Target="https://cdn.shopify.com/s/files/1/0733/7318/8148/files/almendraschocolate_jpg.jpg?v=1762365179" TargetMode="External"/><Relationship Id="rId78" Type="http://schemas.openxmlformats.org/officeDocument/2006/relationships/hyperlink" Target="https://cdn.shopify.com/s/files/1/0733/7318/8148/files/cirueladeshidratada.jpg-600x503.jpg?v=1762365715" TargetMode="External"/><Relationship Id="rId81" Type="http://schemas.openxmlformats.org/officeDocument/2006/relationships/hyperlink" Target="https://cdn.shopify.com/s/files/1/0733/7318/8148/files/cocorallado.jpg?v=1770819461" TargetMode="External"/><Relationship Id="rId86" Type="http://schemas.openxmlformats.org/officeDocument/2006/relationships/hyperlink" Target="https://cdn.shopify.com/s/files/1/0733/7318/8148/files/huesillomediano_jpg.jpg?v=1762365483" TargetMode="External"/><Relationship Id="rId94" Type="http://schemas.openxmlformats.org/officeDocument/2006/relationships/hyperlink" Target="https://cdn.shopify.com/s/files/1/0733/7318/8148/files/maninatural_jpg.jpg?v=1762355303" TargetMode="External"/><Relationship Id="rId99" Type="http://schemas.openxmlformats.org/officeDocument/2006/relationships/hyperlink" Target="https://cdn.shopify.com/s/files/1/0733/7318/8148/files/papayadeshidratada_jpg.jpg?v=1762365310" TargetMode="External"/><Relationship Id="rId101" Type="http://schemas.openxmlformats.org/officeDocument/2006/relationships/hyperlink" Target="https://cdn.shopify.com/s/files/1/0733/7318/8148/files/pasasnegras.jpg-600x450.jpg?v=1762354947" TargetMode="External"/><Relationship Id="rId4" Type="http://schemas.openxmlformats.org/officeDocument/2006/relationships/hyperlink" Target="https://cdn.shopify.com/s/files/1/0733/7318/8148/files/ajo.jpg?v=1762371704" TargetMode="External"/><Relationship Id="rId9" Type="http://schemas.openxmlformats.org/officeDocument/2006/relationships/hyperlink" Target="https://cdn.shopify.com/s/files/1/0733/7318/8148/files/berro.png?v=1762371522" TargetMode="External"/><Relationship Id="rId13" Type="http://schemas.openxmlformats.org/officeDocument/2006/relationships/hyperlink" Target="https://cdn.shopify.com/s/files/1/0733/7318/8148/files/camotemorado.jpg?v=1762371378" TargetMode="External"/><Relationship Id="rId18" Type="http://schemas.openxmlformats.org/officeDocument/2006/relationships/hyperlink" Target="https://cdn.shopify.com/s/files/1/0733/7318/8148/files/chocloamericano.jpg?v=1762371104" TargetMode="External"/><Relationship Id="rId39" Type="http://schemas.openxmlformats.org/officeDocument/2006/relationships/hyperlink" Target="https://cdn.shopify.com/s/files/1/0733/7318/8148/files/Rabanito.jpg?v=1762370275" TargetMode="External"/><Relationship Id="rId109" Type="http://schemas.openxmlformats.org/officeDocument/2006/relationships/hyperlink" Target="https://i.ibb.co/fYSSh11S/huevos-de-campo-30-un-granja-magdalena-granja-magdalena-aldea-nativa-6075899.jpg" TargetMode="External"/><Relationship Id="rId34" Type="http://schemas.openxmlformats.org/officeDocument/2006/relationships/hyperlink" Target="https://cdn.shopify.com/s/files/1/0733/7318/8148/files/perejil.jpg?v=1762370436" TargetMode="External"/><Relationship Id="rId50" Type="http://schemas.openxmlformats.org/officeDocument/2006/relationships/hyperlink" Target="https://cdn.shopify.com/s/files/1/0733/7318/8148/files/frutilla_9ca7ca2a-6dcc-402a-97bc-24eea4405672.jpg?v=1762272265" TargetMode="External"/><Relationship Id="rId55" Type="http://schemas.openxmlformats.org/officeDocument/2006/relationships/hyperlink" Target="https://cdn.shopify.com/s/files/1/0733/7318/8148/files/mandarinesInt.webp?v=1780761611" TargetMode="External"/><Relationship Id="rId76" Type="http://schemas.openxmlformats.org/officeDocument/2006/relationships/hyperlink" Target="https://cdn.shopify.com/s/files/1/0733/7318/8148/files/castanascaju_jpg.jpg?v=1762271831" TargetMode="External"/><Relationship Id="rId97" Type="http://schemas.openxmlformats.org/officeDocument/2006/relationships/hyperlink" Target="https://cdn.shopify.com/s/files/1/0733/7318/8148/files/manzanadeshidratada_jpg.jpg?v=1762365347" TargetMode="External"/><Relationship Id="rId104" Type="http://schemas.openxmlformats.org/officeDocument/2006/relationships/hyperlink" Target="https://cdn.shopify.com/s/files/1/0733/7318/8148/files/pistacho_jpg.jpg?v=1762354809" TargetMode="External"/><Relationship Id="rId7" Type="http://schemas.openxmlformats.org/officeDocument/2006/relationships/hyperlink" Target="https://cdn.shopify.com/s/files/1/0733/7318/8148/files/alcachofa_espaola_1ce9f8da-7a49-4ca2-9f3c-dad8035d9680.jpg?v=1762273270" TargetMode="External"/><Relationship Id="rId71" Type="http://schemas.openxmlformats.org/officeDocument/2006/relationships/hyperlink" Target="https://cdn.shopify.com/s/files/1/0733/7318/8148/files/uva_verde-2_3e8a8775-5689-43f3-8bc9-6602340551c4.png?v=1770901178" TargetMode="External"/><Relationship Id="rId92" Type="http://schemas.openxmlformats.org/officeDocument/2006/relationships/hyperlink" Target="https://cdn.shopify.com/s/files/1/0733/7318/8148/files/manisal_jpg_41282ef1-8b71-4224-b828-4b944d2fcd6b.jpg?v=1762355433" TargetMode="External"/><Relationship Id="rId2" Type="http://schemas.openxmlformats.org/officeDocument/2006/relationships/hyperlink" Target="https://cdn.shopify.com/s/files/1/0733/7318/8148/files/ajiamarillo.jpg?v=1762286889" TargetMode="External"/><Relationship Id="rId29" Type="http://schemas.openxmlformats.org/officeDocument/2006/relationships/hyperlink" Target="https://cdn.shopify.com/s/files/1/0733/7318/8148/files/lechugamarina.png?v=1762370725" TargetMode="External"/><Relationship Id="rId24" Type="http://schemas.openxmlformats.org/officeDocument/2006/relationships/hyperlink" Target="https://cdn.shopify.com/s/files/1/0733/7318/8148/files/jengibre.jpg?v=1762370932" TargetMode="External"/><Relationship Id="rId40" Type="http://schemas.openxmlformats.org/officeDocument/2006/relationships/hyperlink" Target="https://cdn.shopify.com/s/files/1/0733/7318/8148/files/fresh-whole-purple-cabbage-and-cut-in-half-isolate-on-white-background-free-photo.jpg?v=1779204441" TargetMode="External"/><Relationship Id="rId45" Type="http://schemas.openxmlformats.org/officeDocument/2006/relationships/hyperlink" Target="https://cdn.shopify.com/s/files/1/0733/7318/8148/files/tomate-pera.jpg?v=1762272039" TargetMode="External"/><Relationship Id="rId66" Type="http://schemas.openxmlformats.org/officeDocument/2006/relationships/hyperlink" Target="https://cdn.shopify.com/s/files/1/0733/7318/8148/files/Pina-un.png?v=1780761811" TargetMode="External"/><Relationship Id="rId87" Type="http://schemas.openxmlformats.org/officeDocument/2006/relationships/hyperlink" Target="https://cdn.shopify.com/s/files/1/0733/7318/8148/files/kiwideshidratado_jpg.jpg?v=1762365454" TargetMode="External"/><Relationship Id="rId110" Type="http://schemas.openxmlformats.org/officeDocument/2006/relationships/hyperlink" Target="https://i.ibb.co/nsppLTpL/huevosblancos-jpg-1.jpg" TargetMode="External"/><Relationship Id="rId61" Type="http://schemas.openxmlformats.org/officeDocument/2006/relationships/hyperlink" Target="https://cdn.shopify.com/s/files/1/0733/7318/8148/files/naranja_6e3b5b89-6076-4161-8be6-af8ef573eb08.jpg?v=1762372259" TargetMode="External"/><Relationship Id="rId82" Type="http://schemas.openxmlformats.org/officeDocument/2006/relationships/hyperlink" Target="https://cdn.shopify.com/s/files/1/0733/7318/8148/files/cramberries_jpg.jpg?v=1762365110" TargetMode="External"/><Relationship Id="rId19" Type="http://schemas.openxmlformats.org/officeDocument/2006/relationships/hyperlink" Target="https://cdn.shopify.com/s/files/1/0733/7318/8148/files/ciboulette.jpg?v=1762371149" TargetMode="External"/><Relationship Id="rId14" Type="http://schemas.openxmlformats.org/officeDocument/2006/relationships/hyperlink" Target="https://cdn.shopify.com/s/files/1/0733/7318/8148/files/cebolla.jpg?v=1762371345" TargetMode="External"/><Relationship Id="rId30" Type="http://schemas.openxmlformats.org/officeDocument/2006/relationships/hyperlink" Target="https://cdn.shopify.com/s/files/1/0733/7318/8148/files/2076542.jpg?v=1762286622" TargetMode="External"/><Relationship Id="rId35" Type="http://schemas.openxmlformats.org/officeDocument/2006/relationships/hyperlink" Target="https://cdn.shopify.com/s/files/1/0733/7318/8148/files/pimentonamarillo.jpg?v=1762370398" TargetMode="External"/><Relationship Id="rId56" Type="http://schemas.openxmlformats.org/officeDocument/2006/relationships/hyperlink" Target="https://cdn.shopify.com/s/files/1/0733/7318/8148/files/mango.jpg?v=1762372871" TargetMode="External"/><Relationship Id="rId77" Type="http://schemas.openxmlformats.org/officeDocument/2006/relationships/hyperlink" Target="https://cdn.shopify.com/s/files/1/0733/7318/8148/files/chipsbanana_jpg.jpg?v=1762365247" TargetMode="External"/><Relationship Id="rId100" Type="http://schemas.openxmlformats.org/officeDocument/2006/relationships/hyperlink" Target="https://cdn.shopify.com/s/files/1/0733/7318/8148/files/pasaschocolate_jpg.jpg?v=1762354985" TargetMode="External"/><Relationship Id="rId105" Type="http://schemas.openxmlformats.org/officeDocument/2006/relationships/hyperlink" Target="https://cdn.shopify.com/s/files/1/0733/7318/8148/files/pomelodeshidratado_jpg.jpg?v=1762365278" TargetMode="External"/><Relationship Id="rId8" Type="http://schemas.openxmlformats.org/officeDocument/2006/relationships/hyperlink" Target="https://cdn.shopify.com/s/files/1/0733/7318/8148/files/berenjena.jpg?v=1762371565" TargetMode="External"/><Relationship Id="rId51" Type="http://schemas.openxmlformats.org/officeDocument/2006/relationships/hyperlink" Target="https://cdn.shopify.com/s/files/1/0733/7318/8148/files/kiwi.jpg?v=1762372030" TargetMode="External"/><Relationship Id="rId72" Type="http://schemas.openxmlformats.org/officeDocument/2006/relationships/hyperlink" Target="https://cdn.shopify.com/s/files/1/0733/7318/8148/files/almendras_jpg.jpg?v=1762365216" TargetMode="External"/><Relationship Id="rId93" Type="http://schemas.openxmlformats.org/officeDocument/2006/relationships/hyperlink" Target="https://cdn.shopify.com/s/files/1/0733/7318/8148/files/maniconfitado.jpg-600x600.jpg?v=1762355380" TargetMode="External"/><Relationship Id="rId98" Type="http://schemas.openxmlformats.org/officeDocument/2006/relationships/hyperlink" Target="https://cdn.shopify.com/s/files/1/0733/7318/8148/files/nuez_jpg_94116685-22eb-4355-bdab-95e8df89c813.jpg?v=1762355019" TargetMode="External"/><Relationship Id="rId3" Type="http://schemas.openxmlformats.org/officeDocument/2006/relationships/hyperlink" Target="https://cdn.shopify.com/s/files/1/0733/7318/8148/files/ajiverde.png?v=1762371744" TargetMode="External"/><Relationship Id="rId25" Type="http://schemas.openxmlformats.org/officeDocument/2006/relationships/hyperlink" Target="https://cdn.shopify.com/s/files/1/0733/7318/8148/files/lechugacostina.png?v=1762370884" TargetMode="External"/><Relationship Id="rId46" Type="http://schemas.openxmlformats.org/officeDocument/2006/relationships/hyperlink" Target="https://cdn.shopify.com/s/files/1/0733/7318/8148/files/zanahoria-600x359.jpg?v=1762370132" TargetMode="External"/><Relationship Id="rId67" Type="http://schemas.openxmlformats.org/officeDocument/2006/relationships/hyperlink" Target="https://cdn.shopify.com/s/files/1/0733/7318/8148/files/platano.jpg?v=1762371982" TargetMode="External"/><Relationship Id="rId20" Type="http://schemas.openxmlformats.org/officeDocument/2006/relationships/hyperlink" Target="https://cdn.shopify.com/s/files/1/0733/7318/8148/files/cilantro.jpg?v=1762371069" TargetMode="External"/><Relationship Id="rId41" Type="http://schemas.openxmlformats.org/officeDocument/2006/relationships/hyperlink" Target="https://cdn.shopify.com/s/files/1/0733/7318/8148/files/medio-repollo.jpg?v=1762271335" TargetMode="External"/><Relationship Id="rId62" Type="http://schemas.openxmlformats.org/officeDocument/2006/relationships/hyperlink" Target="https://cdn.shopify.com/s/files/1/0733/7318/8148/files/paltahass.png?v=1762372204" TargetMode="External"/><Relationship Id="rId83" Type="http://schemas.openxmlformats.org/officeDocument/2006/relationships/hyperlink" Target="https://cdn.shopify.com/s/files/1/0733/7318/8148/files/datiles_jpg.jpg?v=1762365547" TargetMode="External"/><Relationship Id="rId88" Type="http://schemas.openxmlformats.org/officeDocument/2006/relationships/hyperlink" Target="https://cdn.shopify.com/s/files/1/0733/7318/8148/files/linaza_jpg.jpg?v=1762365040" TargetMode="External"/><Relationship Id="rId111" Type="http://schemas.openxmlformats.org/officeDocument/2006/relationships/hyperlink" Target="https://i.ibb.co/tpRx9X2D/huevoscolor-jpg-1.jpg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i5.walmartimages.cl/asr/276d8b8b-3a52-4840-8430-ae370d49bf34.b15f5fae8fe1755af1a699a4d2f75958.jpeg?odnHeight=580&amp;odnWidth=580&amp;odnBg=FFFFFF" TargetMode="External"/><Relationship Id="rId21" Type="http://schemas.openxmlformats.org/officeDocument/2006/relationships/hyperlink" Target="https://i5.walmartimages.cl/asr/e3df83ee-22d4-4354-a8d5-b575c62aab3c.6388bb26100f035705c1cbd655803392.jpeg?odnHeight=580&amp;odnWidth=580&amp;odnBg=FFFFFF" TargetMode="External"/><Relationship Id="rId63" Type="http://schemas.openxmlformats.org/officeDocument/2006/relationships/hyperlink" Target="https://i5.walmartimages.cl/asr/1a3832b7-80db-4543-9758-54aae1e4c1e8.c299835fec5761a4dbc8041243405410.jpeg?null=&amp;odnHeight=580&amp;odnWidth=580&amp;odnBg=FFFFFF" TargetMode="External"/><Relationship Id="rId159" Type="http://schemas.openxmlformats.org/officeDocument/2006/relationships/hyperlink" Target="https://i5.walmartimages.cl/asr/333e7647-7018-4f65-99b0-d5fca3e39977.a297c7e11e1eb14453dd7172dee8fad4.jpeg?odnHeight=580&amp;odnWidth=580&amp;odnBg=FFFFFF" TargetMode="External"/><Relationship Id="rId170" Type="http://schemas.openxmlformats.org/officeDocument/2006/relationships/hyperlink" Target="https://i5.walmartimages.cl/asr/7ba85336-a1d1-4ded-ad81-52585b560133.ffabb143f155c99a83e8a56708693065.jpeg?odnHeight=580&amp;odnWidth=580&amp;odnBg=FFFFFF" TargetMode="External"/><Relationship Id="rId226" Type="http://schemas.openxmlformats.org/officeDocument/2006/relationships/hyperlink" Target="https://i5.walmartimages.cl/asr/0ad007bd-a2bf-4dcc-9a28-675398e465ad.939b6df5adcaa7f8850abafbf6297d28.jpeg?odnHeight=580&amp;odnWidth=580&amp;odnBg=FFFFFF" TargetMode="External"/><Relationship Id="rId107" Type="http://schemas.openxmlformats.org/officeDocument/2006/relationships/hyperlink" Target="https://i5.walmartimages.cl/asr/26f1f990-5512-4c05-b8d9-e538bf205d71.1e2f69b92916e5df37829e6991e8d973.jpeg?odnHeight=580&amp;odnWidth=580&amp;odnBg=FFFFFF" TargetMode="External"/><Relationship Id="rId11" Type="http://schemas.openxmlformats.org/officeDocument/2006/relationships/hyperlink" Target="https://i5.walmartimages.cl/asr/09467583-8b9c-4d63-b52b-bf7d3828704a.91674db31600eb4eb8bb0d34699b672e.jpeg?odnHeight=580&amp;odnWidth=580&amp;odnBg=FFFFFF" TargetMode="External"/><Relationship Id="rId32" Type="http://schemas.openxmlformats.org/officeDocument/2006/relationships/hyperlink" Target="https://i5.walmartimages.cl/asr/a5564f5c-8c35-418a-9808-2eccef53bac1.55449767a32f5445560d29a9f6b961c7.jpeg?odnHeight=580&amp;odnWidth=580&amp;odnBg=FFFFFF" TargetMode="External"/><Relationship Id="rId53" Type="http://schemas.openxmlformats.org/officeDocument/2006/relationships/hyperlink" Target="https://i5.walmartimages.cl/asr/39605424-d29b-4e49-aab3-4e644a854f62.635ecd350cfe449083d38d5def0840ec.jpeg?odnHeight=580&amp;odnWidth=580&amp;odnBg=FFFFFF" TargetMode="External"/><Relationship Id="rId74" Type="http://schemas.openxmlformats.org/officeDocument/2006/relationships/hyperlink" Target="https://i5.walmartimages.cl/asr/68ec8569-79d6-4ce8-9026-a4ff9154b69f.57a932a7573e705436895d68b2f72bb4.jpeg?null=&amp;odnHeight=580&amp;odnWidth=580&amp;odnBg=FFFFFF" TargetMode="External"/><Relationship Id="rId128" Type="http://schemas.openxmlformats.org/officeDocument/2006/relationships/hyperlink" Target="https://i5.walmartimages.cl/asr/1df5dce1-99a9-456d-ad52-382908957450.104bffb1406dff7096cbafdbe022af5e.jpeg?null=&amp;odnHeight=580&amp;odnWidth=580&amp;odnBg=FFFFFF" TargetMode="External"/><Relationship Id="rId149" Type="http://schemas.openxmlformats.org/officeDocument/2006/relationships/hyperlink" Target="https://i5.walmartimages.cl/asr/b721aa79-e5f0-42f2-86f4-ca509ce058a4.e0e520416276f2fb62fa8df3d633103e.jpeg?odnHeight=580&amp;odnWidth=580&amp;odnBg=FFFFFF" TargetMode="External"/><Relationship Id="rId5" Type="http://schemas.openxmlformats.org/officeDocument/2006/relationships/hyperlink" Target="https://i5.walmartimages.cl/asr/c1231a68-55a7-4c9e-9f6f-35163325a1d0.a02a9ad32ba8f2ea5afbffbeafce3d6d.jpeg?odnHeight=580&amp;odnWidth=580&amp;odnBg=FFFFFF" TargetMode="External"/><Relationship Id="rId95" Type="http://schemas.openxmlformats.org/officeDocument/2006/relationships/hyperlink" Target="https://i5.walmartimages.cl/asr/91151f17-0efc-4d44-9c7a-6a96d26fed38.41ae7410d8e4588ce4951fefdb3c9dbb.jpeg?odnHeight=580&amp;odnWidth=580&amp;odnBg=FFFFFF" TargetMode="External"/><Relationship Id="rId160" Type="http://schemas.openxmlformats.org/officeDocument/2006/relationships/hyperlink" Target="https://i5.walmartimages.cl/asr/cd2ff945-bf8f-44af-8bb9-fb355b9dd2b8.0befc49c4cf58dc3608dc98617e14e05.jpeg?odnHeight=580&amp;odnWidth=580&amp;odnBg=FFFFFF" TargetMode="External"/><Relationship Id="rId181" Type="http://schemas.openxmlformats.org/officeDocument/2006/relationships/hyperlink" Target="https://i5.walmartimages.cl/asr/b9983881-9509-46f3-92a0-76b8fbecabe2.f382dd272c988678c158310510be3c9a.jpeg?odnHeight=580&amp;odnWidth=580&amp;odnBg=FFFFFF" TargetMode="External"/><Relationship Id="rId216" Type="http://schemas.openxmlformats.org/officeDocument/2006/relationships/hyperlink" Target="https://i5.walmartimages.cl/asr/8dd937fc-b867-415e-af86-1ff44eb7db84.e32b2b7e16dc5bff917bcdb975727ab1.jpeg?odnHeight=580&amp;odnWidth=580&amp;odnBg=FFFFFF" TargetMode="External"/><Relationship Id="rId237" Type="http://schemas.openxmlformats.org/officeDocument/2006/relationships/hyperlink" Target="https://i5.walmartimages.cl/asr/2de26590-b651-4f5e-8968-f5a549597e9c.a82ed26ea44f758c3e26ed50c2ae4a0c.jpeg?null=&amp;odnHeight=580&amp;odnWidth=580&amp;odnBg=FFFFFF" TargetMode="External"/><Relationship Id="rId258" Type="http://schemas.openxmlformats.org/officeDocument/2006/relationships/hyperlink" Target="https://i5.walmartimages.cl/asr/476fae6a-b217-4956-98e2-73a82ba14738.284cabb7aa83a7f4ef85022ba19ec7fd.jpeg?null=&amp;odnHeight=580&amp;odnWidth=580&amp;odnBg=FFFFFF" TargetMode="External"/><Relationship Id="rId22" Type="http://schemas.openxmlformats.org/officeDocument/2006/relationships/hyperlink" Target="https://i5.walmartimages.cl/asr/a1171bcc-9ed2-48fe-935e-e09d4e7c6622.635d05bd27937258640b697749e2dddf.jpeg?odnHeight=580&amp;odnWidth=580&amp;odnBg=FFFFFF" TargetMode="External"/><Relationship Id="rId43" Type="http://schemas.openxmlformats.org/officeDocument/2006/relationships/hyperlink" Target="https://i5.walmartimages.cl/asr/f732e2ee-6e52-47fd-a2c8-668b3f55be61.5c1b0adbe47499e39fe12b0cd35e03c3.jpeg?odnHeight=580&amp;odnWidth=580&amp;odnBg=FFFFFF" TargetMode="External"/><Relationship Id="rId64" Type="http://schemas.openxmlformats.org/officeDocument/2006/relationships/hyperlink" Target="https://i5.walmartimages.cl/asr/2cb8482c-9860-418b-9f58-2865e637621e.40914c9848e4b1b37a28632e0450476c.jpeg?odnHeight=580&amp;odnWidth=580&amp;odnBg=FFFFFF" TargetMode="External"/><Relationship Id="rId118" Type="http://schemas.openxmlformats.org/officeDocument/2006/relationships/hyperlink" Target="https://i5.walmartimages.cl/asr/1bb0ce5e-d064-411e-816c-850b82d50be1.09b8150177e87f3c146f3de285fc2ccd.jpeg?odnHeight=580&amp;odnWidth=580&amp;odnBg=FFFFFF" TargetMode="External"/><Relationship Id="rId139" Type="http://schemas.openxmlformats.org/officeDocument/2006/relationships/hyperlink" Target="https://i5.walmartimages.cl/asr/37f2c708-b8bb-4263-863e-9032e0747390.3ef5a7c69f74b6fb2062452e0e12b479.jpeg?odnHeight=580&amp;odnWidth=580&amp;odnBg=FFFFFF" TargetMode="External"/><Relationship Id="rId85" Type="http://schemas.openxmlformats.org/officeDocument/2006/relationships/hyperlink" Target="https://i5.walmartimages.cl/asr/46b9d5fa-18a7-4811-b6fc-a06020023142.ff218f6c075f9a5d76b51ec79a7979ea.jpeg?odnHeight=580&amp;odnWidth=580&amp;odnBg=FFFFFF" TargetMode="External"/><Relationship Id="rId150" Type="http://schemas.openxmlformats.org/officeDocument/2006/relationships/hyperlink" Target="https://i5.walmartimages.cl/asr/b3b43ca1-fb05-4487-b4e5-5c6df573d5ec.37f79297d58ee523f29cb3119181ac02.jpeg?odnHeight=580&amp;odnWidth=580&amp;odnBg=FFFFFF" TargetMode="External"/><Relationship Id="rId171" Type="http://schemas.openxmlformats.org/officeDocument/2006/relationships/hyperlink" Target="https://i5.walmartimages.cl/asr/94f76ba3-b664-4ed5-8422-b4f96b9d6abe.0402e1bfec000b8e34bc205d4b2df593.jpeg?odnHeight=580&amp;odnWidth=580&amp;odnBg=FFFFFF" TargetMode="External"/><Relationship Id="rId192" Type="http://schemas.openxmlformats.org/officeDocument/2006/relationships/hyperlink" Target="https://i5.walmartimages.cl/asr/814babec-6fbc-447c-ac31-3a3e4e3869c1.ed7515d26dbe7bd077dcc276275101e8.jpeg?null=&amp;odnHeight=580&amp;odnWidth=580&amp;odnBg=FFFFFF" TargetMode="External"/><Relationship Id="rId206" Type="http://schemas.openxmlformats.org/officeDocument/2006/relationships/hyperlink" Target="https://i5.walmartimages.cl/asr/b3f5b7cd-cd4d-4882-b894-8ca7d675f596.c1d7777baa6ea6be2d862e5259cec7a5.jpeg?odnHeight=580&amp;odnWidth=580&amp;odnBg=FFFFFF" TargetMode="External"/><Relationship Id="rId227" Type="http://schemas.openxmlformats.org/officeDocument/2006/relationships/hyperlink" Target="https://i5.walmartimages.cl/asr/441498b2-d072-4f87-a468-2686eca363cc.8796b51e4a2ff44686ea500ba730f0a2.jpeg?odnHeight=580&amp;odnWidth=580&amp;odnBg=FFFFFF" TargetMode="External"/><Relationship Id="rId248" Type="http://schemas.openxmlformats.org/officeDocument/2006/relationships/hyperlink" Target="https://i5.walmartimages.cl/asr/8f79cef3-7cdc-417f-b3ca-5aebbef246a7.12f0dca5ce5a19286f1379df10c59c08.jpeg?null=&amp;odnHeight=580&amp;odnWidth=580&amp;odnBg=FFFFFF" TargetMode="External"/><Relationship Id="rId12" Type="http://schemas.openxmlformats.org/officeDocument/2006/relationships/hyperlink" Target="https://i5.walmartimages.cl/asr/a3ff5ea4-0eea-4483-9d33-8bef94fa9ebc.78ebe29f03a715ed65a2cfc62ab6d095.jpeg?odnHeight=580&amp;odnWidth=580&amp;odnBg=FFFFFF" TargetMode="External"/><Relationship Id="rId33" Type="http://schemas.openxmlformats.org/officeDocument/2006/relationships/hyperlink" Target="https://i5.walmartimages.cl/asr/67639522-2e1b-41fd-8415-a18342dfe374.8a23b5eaae7fc2f4cac9602954828cd9.jpeg?odnHeight=580&amp;odnWidth=580&amp;odnBg=FFFFFF" TargetMode="External"/><Relationship Id="rId108" Type="http://schemas.openxmlformats.org/officeDocument/2006/relationships/hyperlink" Target="https://i5.walmartimages.cl/asr/e8c132a1-2a66-4321-bffc-5f448d04767f.c064de5fff7589df111f890a1abbf7d4.jpeg?odnHeight=580&amp;odnWidth=580&amp;odnBg=FFFFFF" TargetMode="External"/><Relationship Id="rId129" Type="http://schemas.openxmlformats.org/officeDocument/2006/relationships/hyperlink" Target="https://i5.walmartimages.cl/asr/765e2ce3-8bdd-40fb-a53d-aeacaa1230c8.dc769c061aace2e2ef866d2b914acfce.jpeg?odnHeight=580&amp;odnWidth=580&amp;odnBg=FFFFFF" TargetMode="External"/><Relationship Id="rId54" Type="http://schemas.openxmlformats.org/officeDocument/2006/relationships/hyperlink" Target="https://i5.walmartimages.cl/asr/f38f1568-1a18-45b7-9498-009c4b661090.b1a438ac1617d5c12db2d62c550a91cd.jpeg?null=&amp;odnHeight=580&amp;odnWidth=580&amp;odnBg=FFFFFF" TargetMode="External"/><Relationship Id="rId75" Type="http://schemas.openxmlformats.org/officeDocument/2006/relationships/hyperlink" Target="https://i5.walmartimages.cl/asr/febc3514-ec3d-4da7-8e08-da0d2ea38bb9.ee9f76e0d2c26f756f66d28312ccc335.jpeg?odnHeight=580&amp;odnWidth=580&amp;odnBg=FFFFFF" TargetMode="External"/><Relationship Id="rId96" Type="http://schemas.openxmlformats.org/officeDocument/2006/relationships/hyperlink" Target="https://i5.walmartimages.cl/asr/8f2ee30a-42ae-4251-8b34-cdbec37d34f3.28fa55140a184fd7b0863de7d9cdbd02.jpeg?odnHeight=580&amp;odnWidth=580&amp;odnBg=FFFFFF" TargetMode="External"/><Relationship Id="rId140" Type="http://schemas.openxmlformats.org/officeDocument/2006/relationships/hyperlink" Target="https://i5.walmartimages.cl/asr/2b9a68e2-be2a-4956-8dc7-738d747650ce.531ec77d8de604bd7aa2b0a115195e37.jpeg?odnHeight=580&amp;odnWidth=580&amp;odnBg=FFFFFF" TargetMode="External"/><Relationship Id="rId161" Type="http://schemas.openxmlformats.org/officeDocument/2006/relationships/hyperlink" Target="https://i5.walmartimages.cl/asr/0b86c1db-fc6e-45ee-92bc-44058ec474ae.a71a4e528b75aac987c3c9bac1a05a65.jpeg?odnHeight=580&amp;odnWidth=580&amp;odnBg=FFFFFF" TargetMode="External"/><Relationship Id="rId182" Type="http://schemas.openxmlformats.org/officeDocument/2006/relationships/hyperlink" Target="https://i5.walmartimages.cl/asr/4f1658af-bb82-4e44-9e03-b22c836c80fa.7cce6efaadbc8e159898637b7273e975.jpeg?null=&amp;odnHeight=580&amp;odnWidth=580&amp;odnBg=FFFFFF" TargetMode="External"/><Relationship Id="rId217" Type="http://schemas.openxmlformats.org/officeDocument/2006/relationships/hyperlink" Target="https://i5.walmartimages.cl/asr/90f0a290-5f96-43f4-8f28-016bd2386687.b676bc77ea4e0d619bddba6029b1cd06.jpeg?odnHeight=580&amp;odnWidth=580&amp;odnBg=FFFFFF" TargetMode="External"/><Relationship Id="rId6" Type="http://schemas.openxmlformats.org/officeDocument/2006/relationships/hyperlink" Target="https://i5.walmartimages.cl/asr/c1a030d6-88b6-44fb-9fe1-f5374fcdf51e.0431f1fccec368ba6a244b84b17e5b01.jpeg?odnHeight=580&amp;odnWidth=580&amp;odnBg=FFFFFF" TargetMode="External"/><Relationship Id="rId238" Type="http://schemas.openxmlformats.org/officeDocument/2006/relationships/hyperlink" Target="https://i5.walmartimages.cl/asr/d3d65db7-aa3d-45ea-9e39-10ec0580b0d2.a0ff0a0c6864670a6d9a40f933b10912.jpeg?odnHeight=580&amp;odnWidth=580&amp;odnBg=FFFFFF" TargetMode="External"/><Relationship Id="rId259" Type="http://schemas.openxmlformats.org/officeDocument/2006/relationships/hyperlink" Target="https://i5.walmartimages.cl/asr/a308de91-2f35-4929-88fa-26054c1ff387.3057cb077e8581f75859d9fb4f3a360e.jpeg?odnHeight=580&amp;odnWidth=580&amp;odnBg=FFFFFF" TargetMode="External"/><Relationship Id="rId23" Type="http://schemas.openxmlformats.org/officeDocument/2006/relationships/hyperlink" Target="https://i5.walmartimages.cl/asr/f0e61f15-8f9f-4617-90fb-692827840f9f.94b758636bcafa818ae67e3eb1c5bc88.jpeg?odnHeight=580&amp;odnWidth=580&amp;odnBg=FFFFFF" TargetMode="External"/><Relationship Id="rId119" Type="http://schemas.openxmlformats.org/officeDocument/2006/relationships/hyperlink" Target="https://i5.walmartimages.cl/asr/199cb323-58dc-4ced-b265-5f5e0c79a5e5.e0aac7d3d9c06ed8fb7256dd6f169205.jpeg?odnHeight=580&amp;odnWidth=580&amp;odnBg=FFFFFF" TargetMode="External"/><Relationship Id="rId44" Type="http://schemas.openxmlformats.org/officeDocument/2006/relationships/hyperlink" Target="https://i5.walmartimages.cl/asr/0dbee476-6ddb-4f2d-ae73-eb68608d1add.730bf0363fd9c98703bad21f801acea4.jpeg?odnHeight=580&amp;odnWidth=580&amp;odnBg=FFFFFF" TargetMode="External"/><Relationship Id="rId65" Type="http://schemas.openxmlformats.org/officeDocument/2006/relationships/hyperlink" Target="https://i5.walmartimages.cl/asr/9b133499-f0a9-41dd-a9b7-5955df27aa10.35a42b158af8bdd226a55026fd3a4f39.jpeg?odnHeight=580&amp;odnWidth=580&amp;odnBg=FFFFFF" TargetMode="External"/><Relationship Id="rId86" Type="http://schemas.openxmlformats.org/officeDocument/2006/relationships/hyperlink" Target="https://i5.walmartimages.cl/asr/33b5839d-884c-45c7-9b0d-36dd3c41005f.3db91213ea151c70d97ca3eef1bc86e7.jpeg?odnHeight=580&amp;odnWidth=580&amp;odnBg=FFFFFF" TargetMode="External"/><Relationship Id="rId130" Type="http://schemas.openxmlformats.org/officeDocument/2006/relationships/hyperlink" Target="https://i5.walmartimages.cl/asr/413329a9-2777-4e00-8bac-54e3aa75377a.86e5d6506fbf401a93fdf2d9fd8c27b1.jpeg?odnHeight=580&amp;odnWidth=580&amp;odnBg=FFFFFF" TargetMode="External"/><Relationship Id="rId151" Type="http://schemas.openxmlformats.org/officeDocument/2006/relationships/hyperlink" Target="https://i5.walmartimages.cl/asr/27c70d74-f31c-4ffe-8222-ce7c6d62d165.1b9f7a08ec3552fe58e1fb9a777e1d54.jpeg?odnHeight=580&amp;odnWidth=580&amp;odnBg=FFFFFF" TargetMode="External"/><Relationship Id="rId172" Type="http://schemas.openxmlformats.org/officeDocument/2006/relationships/hyperlink" Target="https://i5.walmartimages.cl/asr/a8c0f9f6-e159-427a-a34b-6ff85880ee59.2465e0e190873b86cc18d1d0ac051575.jpeg?odnHeight=580&amp;odnWidth=580&amp;odnBg=FFFFFF" TargetMode="External"/><Relationship Id="rId193" Type="http://schemas.openxmlformats.org/officeDocument/2006/relationships/hyperlink" Target="https://i5.walmartimages.cl/asr/cbe6d996-267a-4e8f-96c7-d052f14c5f27.22c881ed9712df2033440737fa7f6af0.jpeg?odnHeight=580&amp;odnWidth=580&amp;odnBg=FFFFFF" TargetMode="External"/><Relationship Id="rId207" Type="http://schemas.openxmlformats.org/officeDocument/2006/relationships/hyperlink" Target="https://i5.walmartimages.cl/asr/3b47e714-cf5a-4be0-8613-16be49acb708.2eb4fe338ad51f96e9bbe47c40012148.jpeg?odnHeight=580&amp;odnWidth=580&amp;odnBg=FFFFFF" TargetMode="External"/><Relationship Id="rId228" Type="http://schemas.openxmlformats.org/officeDocument/2006/relationships/hyperlink" Target="https://i5.walmartimages.cl/asr/03112ec6-a1be-4f4b-801d-af89ae67fac3.a62031d17299b7f6e3fcab80fba24530.jpeg?null=&amp;odnHeight=580&amp;odnWidth=580&amp;odnBg=FFFFFF" TargetMode="External"/><Relationship Id="rId249" Type="http://schemas.openxmlformats.org/officeDocument/2006/relationships/hyperlink" Target="https://i5.walmartimages.cl/asr/1d9d8ce0-93fa-4b0a-8480-738b18e5923b.75a15a5f7f8220a9deb0d8f9881fba2c.jpeg?odnHeight=580&amp;odnWidth=580&amp;odnBg=FFFFFF" TargetMode="External"/><Relationship Id="rId13" Type="http://schemas.openxmlformats.org/officeDocument/2006/relationships/hyperlink" Target="https://i5.walmartimages.cl/asr/10501d7f-d13b-4d03-a92d-c54e4e2edf00.3eaa498c6b6241f28c91a215098036eb.jpeg?odnHeight=580&amp;odnWidth=580&amp;odnBg=FFFFFF" TargetMode="External"/><Relationship Id="rId109" Type="http://schemas.openxmlformats.org/officeDocument/2006/relationships/hyperlink" Target="https://i5.walmartimages.cl/asr/1c32829c-b035-441c-aa21-ebad6a9d8646.639097b91b8c49e35853c648f88086ba.jpeg?odnHeight=580&amp;odnWidth=580&amp;odnBg=FFFFFF" TargetMode="External"/><Relationship Id="rId260" Type="http://schemas.openxmlformats.org/officeDocument/2006/relationships/hyperlink" Target="https://i5.walmartimages.cl/asr/b408f332-be74-4aec-9040-9dceec8d742d.b243b019aeffec0d08cbea8a6e702826.jpeg?odnHeight=580&amp;odnWidth=580&amp;odnBg=FFFFFF" TargetMode="External"/><Relationship Id="rId34" Type="http://schemas.openxmlformats.org/officeDocument/2006/relationships/hyperlink" Target="https://i5.walmartimages.cl/asr/bc84d819-d9d4-4af2-9c5c-0f78e499a10a.df7cea40eebf648c19df2e1cc034f7a5.jpeg?odnHeight=580&amp;odnWidth=580&amp;odnBg=FFFFFF" TargetMode="External"/><Relationship Id="rId55" Type="http://schemas.openxmlformats.org/officeDocument/2006/relationships/hyperlink" Target="https://i5.walmartimages.cl/asr/f6c613ac-ef49-47ea-9f27-1ac29c8f5063.5f032761b98899a2354ee6f36a852843.jpeg?odnHeight=580&amp;odnWidth=580&amp;odnBg=FFFFFF" TargetMode="External"/><Relationship Id="rId76" Type="http://schemas.openxmlformats.org/officeDocument/2006/relationships/hyperlink" Target="https://i5.walmartimages.cl/asr/e4b302ea-46a7-493d-84e9-13ce5eee6799.c9bed11ab2ff40ce26ccfff55aaabaf9.jpeg?odnHeight=580&amp;odnWidth=580&amp;odnBg=FFFFFF" TargetMode="External"/><Relationship Id="rId97" Type="http://schemas.openxmlformats.org/officeDocument/2006/relationships/hyperlink" Target="https://i5.walmartimages.cl/asr/99977e16-10a8-4723-87cf-bd9b074e6dee.55b9de18ab0f96c3483874c893543e35.jpeg?odnHeight=580&amp;odnWidth=580&amp;odnBg=FFFFFF" TargetMode="External"/><Relationship Id="rId120" Type="http://schemas.openxmlformats.org/officeDocument/2006/relationships/hyperlink" Target="https://i5.walmartimages.cl/asr/47333582-eb52-470a-b9d5-8cae7c6404c8.3ac387d0bb89e2774e1fb80b3ceb079d.jpeg?odnHeight=580&amp;odnWidth=580&amp;odnBg=FFFFFF" TargetMode="External"/><Relationship Id="rId141" Type="http://schemas.openxmlformats.org/officeDocument/2006/relationships/hyperlink" Target="https://i5.walmartimages.cl/asr/625fe92d-b8d8-44fd-849a-b8196c975b56.1364a84abcb514e4f8161745c7953d4b.jpeg?odnHeight=580&amp;odnWidth=580&amp;odnBg=FFFFFF" TargetMode="External"/><Relationship Id="rId7" Type="http://schemas.openxmlformats.org/officeDocument/2006/relationships/hyperlink" Target="https://i5.walmartimages.cl/asr/aaf18678-bd4f-4e39-8f25-582207e7d87d.1713ece21412bcf8549cfdd3877aa35a.jpeg?odnHeight=580&amp;odnWidth=580&amp;odnBg=FFFFFF" TargetMode="External"/><Relationship Id="rId162" Type="http://schemas.openxmlformats.org/officeDocument/2006/relationships/hyperlink" Target="https://i5.walmartimages.cl/asr/6ac3c064-3cda-4351-b6e5-eee3981de406.30ff04d430f8d31073a616d81b81bc3c.jpeg?odnHeight=580&amp;odnWidth=580&amp;odnBg=FFFFFF" TargetMode="External"/><Relationship Id="rId183" Type="http://schemas.openxmlformats.org/officeDocument/2006/relationships/hyperlink" Target="https://i5.walmartimages.cl/asr/2bb4437a-6ec9-48e0-a834-714cce1a46ee.697f7820f2301b0b13725de78695b6ca.jpeg?null=&amp;odnHeight=580&amp;odnWidth=580&amp;odnBg=FFFFFF" TargetMode="External"/><Relationship Id="rId218" Type="http://schemas.openxmlformats.org/officeDocument/2006/relationships/hyperlink" Target="https://i5.walmartimages.cl/asr/70d488da-9d5c-4772-9e56-c0270c407bb5.65ed0aa28775f22f3734c88b0acd307a.jpeg?odnHeight=580&amp;odnWidth=580&amp;odnBg=FFFFFF" TargetMode="External"/><Relationship Id="rId239" Type="http://schemas.openxmlformats.org/officeDocument/2006/relationships/hyperlink" Target="https://i5.walmartimages.cl/asr/4027ef4b-36fe-47ab-a200-4c47f6eb0851.8c81896305e0b96c6da316eaceb10dfa.jpeg?odnHeight=580&amp;odnWidth=580&amp;odnBg=FFFFFF" TargetMode="External"/><Relationship Id="rId250" Type="http://schemas.openxmlformats.org/officeDocument/2006/relationships/hyperlink" Target="https://i5.walmartimages.cl/asr/ecdc6758-773f-4b80-8525-d7a336200915.4e2b6e38adf13f2ec3fc1022e499d34c.jpeg?odnHeight=580&amp;odnWidth=580&amp;odnBg=FFFFFF" TargetMode="External"/><Relationship Id="rId24" Type="http://schemas.openxmlformats.org/officeDocument/2006/relationships/hyperlink" Target="https://i5.walmartimages.cl/asr/83aed111-738b-4da4-8ec2-bd0d276a88bf.e427a0a7d8d2fd2e7853f16c3ddf39c7.jpeg?odnHeight=580&amp;odnWidth=580&amp;odnBg=FFFFFF" TargetMode="External"/><Relationship Id="rId45" Type="http://schemas.openxmlformats.org/officeDocument/2006/relationships/hyperlink" Target="https://i5.walmartimages.cl/asr/c2e7395a-5e45-40b6-bd41-8d4be8612e31.e7293d2995edcc31407df3b2f1a6e7df.jpeg?null=&amp;odnHeight=580&amp;odnWidth=580&amp;odnBg=FFFFFF" TargetMode="External"/><Relationship Id="rId66" Type="http://schemas.openxmlformats.org/officeDocument/2006/relationships/hyperlink" Target="https://i5.walmartimages.cl/asr/e5abfc2a-d811-4bf1-8ae7-2754e33cc5ed.298f5f9637e1ecbcd3408bf8fcb82ba4.jpeg?odnHeight=580&amp;odnWidth=580&amp;odnBg=FFFFFF" TargetMode="External"/><Relationship Id="rId87" Type="http://schemas.openxmlformats.org/officeDocument/2006/relationships/hyperlink" Target="https://i5.walmartimages.cl/asr/1a9d9a9b-1c43-409f-bb9a-55a647fada26.fdb8229b79b969b0413a725b2e6118ed.jpeg?odnHeight=580&amp;odnWidth=580&amp;odnBg=FFFFFF" TargetMode="External"/><Relationship Id="rId110" Type="http://schemas.openxmlformats.org/officeDocument/2006/relationships/hyperlink" Target="https://i5.walmartimages.cl/asr/24fd89c3-57c2-4315-a75d-c354c243a68a.085d20bb12f6dd6ea97948f33572d3da.jpeg?odnHeight=580&amp;odnWidth=580&amp;odnBg=FFFFFF" TargetMode="External"/><Relationship Id="rId131" Type="http://schemas.openxmlformats.org/officeDocument/2006/relationships/hyperlink" Target="https://i5.walmartimages.cl/asr/b4c9ee7f-c0a2-4c5b-ac09-c996a6f11ed7.f40c329d11eebd77f23cc69e0613672a.jpeg?null=&amp;odnHeight=580&amp;odnWidth=580&amp;odnBg=FFFFFF" TargetMode="External"/><Relationship Id="rId152" Type="http://schemas.openxmlformats.org/officeDocument/2006/relationships/hyperlink" Target="https://i5.walmartimages.cl/asr/779a19d1-13b0-4427-a2e4-18e972e41320.7462cefe6c32c26cabfea6a855bec662.jpeg?odnHeight=580&amp;odnWidth=580&amp;odnBg=FFFFFF" TargetMode="External"/><Relationship Id="rId173" Type="http://schemas.openxmlformats.org/officeDocument/2006/relationships/hyperlink" Target="https://i5.walmartimages.cl/asr/9009435f-f9f2-48c3-a9ca-b9c378f78309.9fd6fa71c4a2fcdca9bfe325e2d5f5a9.jpeg?odnHeight=580&amp;odnWidth=580&amp;odnBg=FFFFFF" TargetMode="External"/><Relationship Id="rId194" Type="http://schemas.openxmlformats.org/officeDocument/2006/relationships/hyperlink" Target="https://i5.walmartimages.cl/asr/ae6a9059-f486-465c-8aad-3a168792dfe9.b54d521619c41e6831c61c27d359404a.jpeg?odnHeight=580&amp;odnWidth=580&amp;odnBg=FFFFFF" TargetMode="External"/><Relationship Id="rId208" Type="http://schemas.openxmlformats.org/officeDocument/2006/relationships/hyperlink" Target="https://i5.walmartimages.cl/asr/47ea8e85-b846-49ee-afbd-68cfd97b3bea.e78a70d8dfc78417fbce79c7bcb6dfb1.jpeg?odnHeight=580&amp;odnWidth=580&amp;odnBg=FFFFFF" TargetMode="External"/><Relationship Id="rId229" Type="http://schemas.openxmlformats.org/officeDocument/2006/relationships/hyperlink" Target="https://i5.walmartimages.cl/asr/f5d50858-a239-4b29-b6d2-89ab11325ef0.182649ef201e1d5e336b9bcd4091f968.jpeg?odnHeight=580&amp;odnWidth=580&amp;odnBg=FFFFFF" TargetMode="External"/><Relationship Id="rId240" Type="http://schemas.openxmlformats.org/officeDocument/2006/relationships/hyperlink" Target="https://i5.walmartimages.cl/asr/92c0a199-7c65-45c2-a3fe-4043ad9159f2.9376addb6ee732db87555077eaeeb602.jpeg?odnHeight=580&amp;odnWidth=580&amp;odnBg=FFFFFF" TargetMode="External"/><Relationship Id="rId261" Type="http://schemas.openxmlformats.org/officeDocument/2006/relationships/hyperlink" Target="https://i5.walmartimages.cl/asr/b9742156-070d-4be1-8c56-024bc181c04e.7f2aa46eeb5370b4c8127cffed16ef03.jpeg?null=&amp;odnHeight=580&amp;odnWidth=580&amp;odnBg=FFFFFF" TargetMode="External"/><Relationship Id="rId14" Type="http://schemas.openxmlformats.org/officeDocument/2006/relationships/hyperlink" Target="https://i5.walmartimages.cl/asr/c066ef38-c032-4231-bb5f-1f27768442c4.9e8a2b716e182594b8248a443a88cc6e.jpeg?odnHeight=580&amp;odnWidth=580&amp;odnBg=FFFFFF" TargetMode="External"/><Relationship Id="rId35" Type="http://schemas.openxmlformats.org/officeDocument/2006/relationships/hyperlink" Target="https://i5.walmartimages.cl/asr/020d1058-f205-4af2-9132-a3ad49f232c0.0e34653ea39927e158544b800d928ecd.jpeg?odnHeight=580&amp;odnWidth=580&amp;odnBg=FFFFFF" TargetMode="External"/><Relationship Id="rId56" Type="http://schemas.openxmlformats.org/officeDocument/2006/relationships/hyperlink" Target="https://i5.walmartimages.cl/asr/3d2b04e1-132f-4ece-818b-2ffb28d89e39.4f51f492d0230a78a2cd183c649de78d.jpeg?null=&amp;odnHeight=580&amp;odnWidth=580&amp;odnBg=FFFFFF" TargetMode="External"/><Relationship Id="rId77" Type="http://schemas.openxmlformats.org/officeDocument/2006/relationships/hyperlink" Target="https://i5.walmartimages.cl/asr/2ffcb9de-77d7-4e15-bbfe-aa155d21e60e.01279039e1f16eeb3153ce638e13578f.jpeg?null=&amp;odnHeight=580&amp;odnWidth=580&amp;odnBg=FFFFFF" TargetMode="External"/><Relationship Id="rId100" Type="http://schemas.openxmlformats.org/officeDocument/2006/relationships/hyperlink" Target="https://i5.walmartimages.cl/asr/8f93665a-3be3-47d2-80e3-95506304be86.374be27569eea10c8167440e6c5e1c29.jpeg?odnHeight=580&amp;odnWidth=580&amp;odnBg=FFFFFF" TargetMode="External"/><Relationship Id="rId8" Type="http://schemas.openxmlformats.org/officeDocument/2006/relationships/hyperlink" Target="https://i5.walmartimages.cl/asr/3eb1e73d-5fc6-4d43-87c6-590c56eb24a2.1c2d56a033728a5ab87d862c2ce0ae61.jpeg?odnHeight=580&amp;odnWidth=580&amp;odnBg=FFFFFF" TargetMode="External"/><Relationship Id="rId98" Type="http://schemas.openxmlformats.org/officeDocument/2006/relationships/hyperlink" Target="https://i5.walmartimages.cl/asr/3bc906dc-83ba-44f4-8965-1aef47ea88a8.bc01c6f1ebc2bf1e7b1307f7ca9b7b52.jpeg?odnHeight=580&amp;odnWidth=580&amp;odnBg=FFFFFF" TargetMode="External"/><Relationship Id="rId121" Type="http://schemas.openxmlformats.org/officeDocument/2006/relationships/hyperlink" Target="https://i5.walmartimages.cl/asr/62135c53-b6b9-46d9-b124-c3d729396465.3259d982c1f4f9e5ee2f3966df529590.jpeg?odnHeight=580&amp;odnWidth=580&amp;odnBg=FFFFFF" TargetMode="External"/><Relationship Id="rId142" Type="http://schemas.openxmlformats.org/officeDocument/2006/relationships/hyperlink" Target="https://i5.walmartimages.cl/asr/c956637a-1a8b-4d96-bc11-83655b485860.8026ff1b5724754a3d26dd5ff16d9263.jpeg?odnHeight=580&amp;odnWidth=580&amp;odnBg=FFFFFF" TargetMode="External"/><Relationship Id="rId163" Type="http://schemas.openxmlformats.org/officeDocument/2006/relationships/hyperlink" Target="https://i5.walmartimages.cl/asr/dda850a1-ea55-42e6-9d20-29db09667068.2f597bceb5d76da493797c551d48cedf.jpeg?odnHeight=580&amp;odnWidth=580&amp;odnBg=FFFFFF" TargetMode="External"/><Relationship Id="rId184" Type="http://schemas.openxmlformats.org/officeDocument/2006/relationships/hyperlink" Target="https://i5.walmartimages.cl/asr/edbdd4fe-7058-40f8-b4c8-4d45ddf42c3b.3175e3df0c3d72e5e2289845992284a0.jpeg?null=&amp;odnHeight=580&amp;odnWidth=580&amp;odnBg=FFFFFF" TargetMode="External"/><Relationship Id="rId219" Type="http://schemas.openxmlformats.org/officeDocument/2006/relationships/hyperlink" Target="https://i5.walmartimages.cl/asr/f22cd832-c44e-4993-871d-37c6dc6a3cd1.230b20c33c272f8e2d09697bde5f1c79.jpeg?odnHeight=580&amp;odnWidth=580&amp;odnBg=FFFFFF" TargetMode="External"/><Relationship Id="rId230" Type="http://schemas.openxmlformats.org/officeDocument/2006/relationships/hyperlink" Target="https://i5.walmartimages.cl/asr/3db41098-11ba-4d57-ab01-cb4947af40b4.5d8f11ec7d3bf29028e5c122e4e81d1f.jpeg?odnHeight=580&amp;odnWidth=580&amp;odnBg=FFFFFF" TargetMode="External"/><Relationship Id="rId251" Type="http://schemas.openxmlformats.org/officeDocument/2006/relationships/hyperlink" Target="https://i5.walmartimages.cl/asr/e27d885f-d9d0-406d-91c7-445205b4aa47.ab91ddf075e759249ffa23d64017d296.jpeg?null=&amp;odnHeight=580&amp;odnWidth=580&amp;odnBg=FFFFFF" TargetMode="External"/><Relationship Id="rId25" Type="http://schemas.openxmlformats.org/officeDocument/2006/relationships/hyperlink" Target="https://i5.walmartimages.cl/asr/ec8c8ad9-0518-4d8a-8f2b-6954e34fcde5.8431f0f3a2a78283f3f579bd931c629f.jpeg?odnHeight=580&amp;odnWidth=580&amp;odnBg=FFFFFF" TargetMode="External"/><Relationship Id="rId46" Type="http://schemas.openxmlformats.org/officeDocument/2006/relationships/hyperlink" Target="https://i5.walmartimages.cl/asr/6605b742-d7b3-4e0d-8b71-a0fc353af7dd.e5785c7e01ae4cde1b8e5beb78894825.jpeg?null=&amp;odnHeight=580&amp;odnWidth=580&amp;odnBg=FFFFFF" TargetMode="External"/><Relationship Id="rId67" Type="http://schemas.openxmlformats.org/officeDocument/2006/relationships/hyperlink" Target="https://i5.walmartimages.cl/asr/88ffc8d8-5eef-4589-ac51-31557c9a447b.d40ca5a66891d796a80095177ebc5d8d.jpeg?odnHeight=580&amp;odnWidth=580&amp;odnBg=FFFFFF" TargetMode="External"/><Relationship Id="rId88" Type="http://schemas.openxmlformats.org/officeDocument/2006/relationships/hyperlink" Target="https://i5.walmartimages.cl/asr/f25884ce-b6d7-442f-9be0-8f4f0509e7f0.8ddd991b96f38425bb6d8220afcbc350.jpeg?odnHeight=580&amp;odnWidth=580&amp;odnBg=FFFFFF" TargetMode="External"/><Relationship Id="rId111" Type="http://schemas.openxmlformats.org/officeDocument/2006/relationships/hyperlink" Target="https://i5.walmartimages.cl/asr/a1ab1399-f5f5-47ef-9c44-6a88de0e3023.8b903e691552a5f118b3fd255e3a1203.jpeg?odnHeight=580&amp;odnWidth=580&amp;odnBg=FFFFFF" TargetMode="External"/><Relationship Id="rId132" Type="http://schemas.openxmlformats.org/officeDocument/2006/relationships/hyperlink" Target="https://i5.walmartimages.cl/asr/872f91be-b8fa-4b69-9209-81c81d322d5c.e8faf4e286200fbdb4c620967fce3d26.jpeg?odnHeight=580&amp;odnWidth=580&amp;odnBg=FFFFFF" TargetMode="External"/><Relationship Id="rId153" Type="http://schemas.openxmlformats.org/officeDocument/2006/relationships/hyperlink" Target="https://i5.walmartimages.cl/asr/aa7d56dd-0911-437b-a57c-d636d1117a21.eb0b997ce81ed4937b09f0996763686d.jpeg?odnHeight=580&amp;odnWidth=580&amp;odnBg=FFFFFF" TargetMode="External"/><Relationship Id="rId174" Type="http://schemas.openxmlformats.org/officeDocument/2006/relationships/hyperlink" Target="https://i5.walmartimages.cl/asr/0aee0593-6a4d-4e80-a4af-0d08f2250dfa.2dde2c2a3a9b1be82790353ab506a1b7.jpeg?odnHeight=580&amp;odnWidth=580&amp;odnBg=FFFFFF" TargetMode="External"/><Relationship Id="rId195" Type="http://schemas.openxmlformats.org/officeDocument/2006/relationships/hyperlink" Target="https://i5.walmartimages.cl/asr/f39c97a9-d80b-4722-9485-7c5e122b4fff.e12e75f574b0f4706cde063d138cdd1f.jpeg?null=&amp;odnHeight=580&amp;odnWidth=580&amp;odnBg=FFFFFF" TargetMode="External"/><Relationship Id="rId209" Type="http://schemas.openxmlformats.org/officeDocument/2006/relationships/hyperlink" Target="https://i5.walmartimages.cl/asr/e68c43b1-47dc-450b-9993-03fa0e06e19e.a4a66ed1988bdb265277e15a46d72235.jpeg?odnHeight=580&amp;odnWidth=580&amp;odnBg=FFFFFF" TargetMode="External"/><Relationship Id="rId220" Type="http://schemas.openxmlformats.org/officeDocument/2006/relationships/hyperlink" Target="https://i5.walmartimages.cl/asr/9cf5d0ff-d82a-4cfd-8360-4b3e890e0aa8.4eaa5bb8a1b53e57e72d1d691ebe9b05.jpeg?null=&amp;odnHeight=580&amp;odnWidth=580&amp;odnBg=FFFFFF" TargetMode="External"/><Relationship Id="rId241" Type="http://schemas.openxmlformats.org/officeDocument/2006/relationships/hyperlink" Target="https://i5.walmartimages.cl/asr/378396c7-19f7-46d2-8bf6-8880e67e63bf.354742b8c8e9e82e98ecf67814151931.jpeg?null=&amp;odnHeight=580&amp;odnWidth=580&amp;odnBg=FFFFFF" TargetMode="External"/><Relationship Id="rId15" Type="http://schemas.openxmlformats.org/officeDocument/2006/relationships/hyperlink" Target="https://i5.walmartimages.cl/asr/9296aaae-51d5-488d-ac29-883412c7b872.3c4a859594370810ee98a3337ee3af21.jpeg?odnHeight=580&amp;odnWidth=580&amp;odnBg=FFFFFF" TargetMode="External"/><Relationship Id="rId36" Type="http://schemas.openxmlformats.org/officeDocument/2006/relationships/hyperlink" Target="https://i5.walmartimages.cl/asr/f4170aac-aa5d-4d07-a018-0570ef72d9e1.77714a1d8f5693d3af642554f47f9af6.jpeg?odnHeight=580&amp;odnWidth=580&amp;odnBg=FFFFFF" TargetMode="External"/><Relationship Id="rId57" Type="http://schemas.openxmlformats.org/officeDocument/2006/relationships/hyperlink" Target="https://i5.walmartimages.cl/asr/2a86ce15-4e9f-47f6-841e-d8bdcc0eacd1.77ecb04d402cfdabaa8803b55067a4df.jpeg?odnHeight=580&amp;odnWidth=580&amp;odnBg=FFFFFF" TargetMode="External"/><Relationship Id="rId262" Type="http://schemas.openxmlformats.org/officeDocument/2006/relationships/hyperlink" Target="https://i5.walmartimages.cl/asr/fccd88b8-69dc-4bfa-bf2e-c0bc03dc5ca1.eeba681117e915fd85541884cf8382ad.jpeg?odnHeight=580&amp;odnWidth=580&amp;odnBg=FFFFFF" TargetMode="External"/><Relationship Id="rId78" Type="http://schemas.openxmlformats.org/officeDocument/2006/relationships/hyperlink" Target="https://i5.walmartimages.cl/asr/b64272c4-ede5-46f4-ad31-236e56bb654a.1109b3ff9e3af98ed32fe3d21b854d9a.jpeg?null=&amp;odnHeight=580&amp;odnWidth=580&amp;odnBg=FFFFFF" TargetMode="External"/><Relationship Id="rId99" Type="http://schemas.openxmlformats.org/officeDocument/2006/relationships/hyperlink" Target="https://i5.walmartimages.cl/asr/6365cbf6-4e5a-4ba4-ad4d-17b829963dc4.0f2a91e0e6e7d908f76e2d475d83dda5.jpeg?odnHeight=580&amp;odnWidth=580&amp;odnBg=FFFFFF" TargetMode="External"/><Relationship Id="rId101" Type="http://schemas.openxmlformats.org/officeDocument/2006/relationships/hyperlink" Target="https://i5.walmartimages.cl/asr/1647c3fa-45d8-455d-9b2f-efd48eea39ed.0b69dde2e60bfa25c285918e433e65c1.jpeg?odnHeight=580&amp;odnWidth=580&amp;odnBg=FFFFFF" TargetMode="External"/><Relationship Id="rId122" Type="http://schemas.openxmlformats.org/officeDocument/2006/relationships/hyperlink" Target="https://i5.walmartimages.cl/asr/27a53a46-1a96-47ab-a0d7-04ec9bcd510a.4c49af82a34f177dd5db1030d32ce133.jpeg?odnHeight=580&amp;odnWidth=580&amp;odnBg=FFFFFF" TargetMode="External"/><Relationship Id="rId143" Type="http://schemas.openxmlformats.org/officeDocument/2006/relationships/hyperlink" Target="https://i5.walmartimages.cl/asr/afd0b5cd-ada3-4afb-bebd-deec85ca137c.f84c1dd4f84bd6b735cc67f2ce207e43.jpeg?odnHeight=580&amp;odnWidth=580&amp;odnBg=FFFFFF" TargetMode="External"/><Relationship Id="rId164" Type="http://schemas.openxmlformats.org/officeDocument/2006/relationships/hyperlink" Target="https://i5.walmartimages.cl/asr/5bf7a952-406b-40fb-a7d3-9a08bff4b488.da7eac1924ffccc9f8e842554b2894a5.jpeg?odnHeight=580&amp;odnWidth=580&amp;odnBg=FFFFFF" TargetMode="External"/><Relationship Id="rId185" Type="http://schemas.openxmlformats.org/officeDocument/2006/relationships/hyperlink" Target="https://i5.walmartimages.cl/asr/8c24717d-4c2d-41d9-b570-ac2b9fca9ecf.7ac2374f299e11edbcbb2625f994aa0d.jpeg?odnHeight=580&amp;odnWidth=580&amp;odnBg=FFFFFF" TargetMode="External"/><Relationship Id="rId9" Type="http://schemas.openxmlformats.org/officeDocument/2006/relationships/hyperlink" Target="https://i5.walmartimages.cl/asr/7cec853e-fb16-4a48-9eec-c763cee05513.cf714b9536fcc0d6ea89e1eee7afe81a.jpeg?odnHeight=580&amp;odnWidth=580&amp;odnBg=FFFFFF" TargetMode="External"/><Relationship Id="rId210" Type="http://schemas.openxmlformats.org/officeDocument/2006/relationships/hyperlink" Target="https://i5.walmartimages.cl/asr/cd7d91aa-06b0-406d-883e-4dcd3ccd59cd.b1e16dbcae36e23b0c2a261e543d7b3c.jpeg?odnHeight=580&amp;odnWidth=580&amp;odnBg=FFFFFF" TargetMode="External"/><Relationship Id="rId26" Type="http://schemas.openxmlformats.org/officeDocument/2006/relationships/hyperlink" Target="https://i5.walmartimages.cl/asr/6e91773b-2219-416f-be21-571d2a150a59.93b3dc03226d82221f635e108c4a882f.jpeg?odnHeight=580&amp;odnWidth=580&amp;odnBg=FFFFFF" TargetMode="External"/><Relationship Id="rId231" Type="http://schemas.openxmlformats.org/officeDocument/2006/relationships/hyperlink" Target="https://i5.walmartimages.cl/asr/a31b72e8-0143-47d3-9bf3-2568966014a5.ae3509ae641f5ab664fe9aa7ab521c70.jpeg?odnHeight=580&amp;odnWidth=580&amp;odnBg=FFFFFF" TargetMode="External"/><Relationship Id="rId252" Type="http://schemas.openxmlformats.org/officeDocument/2006/relationships/hyperlink" Target="https://i5.walmartimages.cl/asr/b4663f0f-7c77-43b6-ab6b-71e4da4dbc7a.fbb87028fd80313753c334c64748ff98.jpeg?odnHeight=580&amp;odnWidth=580&amp;odnBg=FFFFFF" TargetMode="External"/><Relationship Id="rId47" Type="http://schemas.openxmlformats.org/officeDocument/2006/relationships/hyperlink" Target="https://i5.walmartimages.cl/asr/7bb1c22e-ef23-4d05-abaf-e59f17906727.a73616b27e3c752e6b3a86fb1d5099ad.jpeg?odnHeight=580&amp;odnWidth=580&amp;odnBg=FFFFFF" TargetMode="External"/><Relationship Id="rId68" Type="http://schemas.openxmlformats.org/officeDocument/2006/relationships/hyperlink" Target="https://i5.walmartimages.cl/asr/3033a908-d1cc-486b-beb0-0e8497c36326.ab17a63b20a103ffb60aa2e533cfc301.jpeg?null=&amp;odnHeight=580&amp;odnWidth=580&amp;odnBg=FFFFFF" TargetMode="External"/><Relationship Id="rId89" Type="http://schemas.openxmlformats.org/officeDocument/2006/relationships/hyperlink" Target="https://i5.walmartimages.cl/asr/acc7e04d-a2aa-4697-beb4-61e42ae1032a.777f194c23a77cfad5fb05112af33941.jpeg?odnHeight=580&amp;odnWidth=580&amp;odnBg=FFFFFF" TargetMode="External"/><Relationship Id="rId112" Type="http://schemas.openxmlformats.org/officeDocument/2006/relationships/hyperlink" Target="https://i5.walmartimages.cl/asr/bbc3d792-27fe-4764-80b7-00ceb7af17a3.3f12a3d73f34f8abccbe9ac5081772aa.jpeg?odnHeight=580&amp;odnWidth=580&amp;odnBg=FFFFFF" TargetMode="External"/><Relationship Id="rId133" Type="http://schemas.openxmlformats.org/officeDocument/2006/relationships/hyperlink" Target="https://i5.walmartimages.cl/asr/367613a7-4fc0-42dd-9475-d5fc0921ae4d.47f243912ddce1c5ac010925ba312605.jpeg?null=&amp;odnHeight=580&amp;odnWidth=580&amp;odnBg=FFFFFF" TargetMode="External"/><Relationship Id="rId154" Type="http://schemas.openxmlformats.org/officeDocument/2006/relationships/hyperlink" Target="https://i5.walmartimages.cl/asr/8887b7e8-29d1-4e92-aad5-6bacd809ccdd.6e301f2c777c78f644b1bae250b82b82.jpeg?odnHeight=580&amp;odnWidth=580&amp;odnBg=FFFFFF" TargetMode="External"/><Relationship Id="rId175" Type="http://schemas.openxmlformats.org/officeDocument/2006/relationships/hyperlink" Target="https://i5.walmartimages.cl/asr/e591dd9f-f69a-4d3f-b0a1-62f8c354cb88.1ccd1b41d82c28edf32a6933b50f31e0.jpeg?odnHeight=580&amp;odnWidth=580&amp;odnBg=FFFFFF" TargetMode="External"/><Relationship Id="rId196" Type="http://schemas.openxmlformats.org/officeDocument/2006/relationships/hyperlink" Target="https://i5.walmartimages.cl/asr/891f64cb-45a3-4aec-91d3-5173925bc317.a3cfd70797f0ea27637cd726e8ee7158.jpeg?odnHeight=580&amp;odnWidth=580&amp;odnBg=FFFFFF" TargetMode="External"/><Relationship Id="rId200" Type="http://schemas.openxmlformats.org/officeDocument/2006/relationships/hyperlink" Target="https://i5.walmartimages.cl/asr/1ae984d1-7a8b-47a6-be30-9ddd3a1af9a1.ac6c8fc2cdc39f5c89f383e6bb3cf4b6.jpeg?odnHeight=580&amp;odnWidth=580&amp;odnBg=FFFFFF" TargetMode="External"/><Relationship Id="rId16" Type="http://schemas.openxmlformats.org/officeDocument/2006/relationships/hyperlink" Target="https://i5.walmartimages.cl/asr/40cbf5ab-c9ad-4e9a-8d3c-2da09be63fa3.7e334af70061cd2816dd582188606bf4.jpeg?odnHeight=580&amp;odnWidth=580&amp;odnBg=FFFFFF" TargetMode="External"/><Relationship Id="rId221" Type="http://schemas.openxmlformats.org/officeDocument/2006/relationships/hyperlink" Target="https://i5.walmartimages.cl/asr/a7250332-e932-497f-b096-ebd8f393bd8b.f29c47ab84608024f2aff86e820c06ca.jpeg?odnHeight=580&amp;odnWidth=580&amp;odnBg=FFFFFF" TargetMode="External"/><Relationship Id="rId242" Type="http://schemas.openxmlformats.org/officeDocument/2006/relationships/hyperlink" Target="https://i5.walmartimages.cl/asr/5ae4da96-1a4a-454b-9679-a0cfb32d85ef.91582e22e31c9e9327c8dcee21b66a97.jpeg?odnHeight=580&amp;odnWidth=580&amp;odnBg=FFFFFF" TargetMode="External"/><Relationship Id="rId263" Type="http://schemas.openxmlformats.org/officeDocument/2006/relationships/hyperlink" Target="https://i5.walmartimages.cl/asr/36157011-7957-45ce-bcb4-5a2613d18599.77b3786c4cfef2cb86366d9ad3309b73.jpeg?odnHeight=580&amp;odnWidth=580&amp;odnBg=FFFFFF" TargetMode="External"/><Relationship Id="rId37" Type="http://schemas.openxmlformats.org/officeDocument/2006/relationships/hyperlink" Target="https://i5.walmartimages.cl/asr/122b0b25-3f2a-4665-872e-848f663caec7.dfd1e39ba1fac8248edf239f49a943e4.jpeg?odnHeight=580&amp;odnWidth=580&amp;odnBg=FFFFFF" TargetMode="External"/><Relationship Id="rId58" Type="http://schemas.openxmlformats.org/officeDocument/2006/relationships/hyperlink" Target="https://i5.walmartimages.cl/asr/edc7aa22-9444-48e0-8633-8fd49d078a32.aca353ff9d09fae8085f823a39ffb049.jpeg?null=&amp;odnHeight=580&amp;odnWidth=580&amp;odnBg=FFFFFF" TargetMode="External"/><Relationship Id="rId79" Type="http://schemas.openxmlformats.org/officeDocument/2006/relationships/hyperlink" Target="https://i5.walmartimages.cl/asr/7f61fe46-09ed-4376-b9fc-14fa60023a6d.3f44a3b2bb802a94ed5de21b427c1eb0.jpeg?odnHeight=580&amp;odnWidth=580&amp;odnBg=FFFFFF" TargetMode="External"/><Relationship Id="rId102" Type="http://schemas.openxmlformats.org/officeDocument/2006/relationships/hyperlink" Target="https://i5.walmartimages.cl/asr/3a8d3df6-de73-474b-be16-f6afe3c4be07.55e5155a2c602c6a2d2614fea7f1cf79.jpeg?odnHeight=580&amp;odnWidth=580&amp;odnBg=FFFFFF" TargetMode="External"/><Relationship Id="rId123" Type="http://schemas.openxmlformats.org/officeDocument/2006/relationships/hyperlink" Target="https://i5.walmartimages.cl/asr/d06cee3b-8dec-4350-9199-f326bf91b4c1.c22c3fff03e9f08289060dc005f0292c.jpeg?odnHeight=580&amp;odnWidth=580&amp;odnBg=FFFFFF" TargetMode="External"/><Relationship Id="rId144" Type="http://schemas.openxmlformats.org/officeDocument/2006/relationships/hyperlink" Target="https://i5.walmartimages.cl/asr/35fb2373-ddd7-48cc-a39f-0435358d4dee.3edb7a9a212204bb369e12540b4a18cd.jpeg?odnHeight=580&amp;odnWidth=580&amp;odnBg=FFFFFF" TargetMode="External"/><Relationship Id="rId90" Type="http://schemas.openxmlformats.org/officeDocument/2006/relationships/hyperlink" Target="https://i5.walmartimages.cl/asr/5f548827-24d4-4ee6-aaf9-710f15eb7910.1ac17739dfc9dc64af8bcb7e30814ab6.jpeg?odnHeight=580&amp;odnWidth=580&amp;odnBg=FFFFFF" TargetMode="External"/><Relationship Id="rId165" Type="http://schemas.openxmlformats.org/officeDocument/2006/relationships/hyperlink" Target="https://i5.walmartimages.cl/asr/f801f63d-6550-4002-9d93-5987492072c0.b927f94eb3acafbc943badbe0db05621.jpeg?odnHeight=580&amp;odnWidth=580&amp;odnBg=FFFFFF" TargetMode="External"/><Relationship Id="rId186" Type="http://schemas.openxmlformats.org/officeDocument/2006/relationships/hyperlink" Target="https://i5.walmartimages.cl/asr/ef05c852-55bb-44b1-89c7-19f549facccb.0136e4e780f9c301ae4ef27dac965ae3.jpeg?odnHeight=580&amp;odnWidth=580&amp;odnBg=FFFFFF" TargetMode="External"/><Relationship Id="rId211" Type="http://schemas.openxmlformats.org/officeDocument/2006/relationships/hyperlink" Target="https://i5.walmartimages.cl/asr/0be44c51-290b-4a14-910c-7bb580f36a92.a39ffa4007e45d2c48c5286f10246fc0.jpeg?odnHeight=580&amp;odnWidth=580&amp;odnBg=FFFFFF" TargetMode="External"/><Relationship Id="rId232" Type="http://schemas.openxmlformats.org/officeDocument/2006/relationships/hyperlink" Target="https://i5.walmartimages.cl/asr/4a3264ce-676a-447e-9104-d099de5185b0.9929c3596675d4449c70541fba5edc74.jpeg?null=&amp;odnHeight=580&amp;odnWidth=580&amp;odnBg=FFFFFF" TargetMode="External"/><Relationship Id="rId253" Type="http://schemas.openxmlformats.org/officeDocument/2006/relationships/hyperlink" Target="https://i5.walmartimages.cl/asr/b8e594e7-b800-4141-be52-fe7606f9c7b2.fb286ca05713bad35e8f16ac69abaf2d.jpeg?null=&amp;odnHeight=580&amp;odnWidth=580&amp;odnBg=FFFFFF" TargetMode="External"/><Relationship Id="rId27" Type="http://schemas.openxmlformats.org/officeDocument/2006/relationships/hyperlink" Target="https://i5.walmartimages.cl/asr/b4883972-a340-4960-b082-80df64a5e6f1.d11cccdf2d520234e7c34584c4715701.jpeg?odnHeight=580&amp;odnWidth=580&amp;odnBg=FFFFFF" TargetMode="External"/><Relationship Id="rId48" Type="http://schemas.openxmlformats.org/officeDocument/2006/relationships/hyperlink" Target="https://i5.walmartimages.cl/asr/0fac941f-f3d3-4c1b-ba28-c113441686ec.0aaf02993fe09fff586cd4c77635a551.jpeg?odnHeight=580&amp;odnWidth=580&amp;odnBg=FFFFFF" TargetMode="External"/><Relationship Id="rId69" Type="http://schemas.openxmlformats.org/officeDocument/2006/relationships/hyperlink" Target="https://i5.walmartimages.cl/asr/08597117-bb0d-41b1-a260-2eb3477fc262.f0d4347e084eeb972294e159d90c0916.jpeg?null=&amp;odnHeight=580&amp;odnWidth=580&amp;odnBg=FFFFFF" TargetMode="External"/><Relationship Id="rId113" Type="http://schemas.openxmlformats.org/officeDocument/2006/relationships/hyperlink" Target="https://i5.walmartimages.cl/asr/6807b3a8-45d4-4487-9d7b-8d2e6635e0f2.cbd9bed2bbcf0d4cb4e9a67701ad38ee.jpeg?odnHeight=580&amp;odnWidth=580&amp;odnBg=FFFFFF" TargetMode="External"/><Relationship Id="rId134" Type="http://schemas.openxmlformats.org/officeDocument/2006/relationships/hyperlink" Target="https://i5.walmartimages.cl/asr/c1f70d0b-9c73-4f1b-876a-113211a66e0f.10a5295c81981f8c2a921bd206293d9b.jpeg?odnHeight=580&amp;odnWidth=580&amp;odnBg=FFFFFF" TargetMode="External"/><Relationship Id="rId80" Type="http://schemas.openxmlformats.org/officeDocument/2006/relationships/hyperlink" Target="https://i5.walmartimages.cl/asr/b302d8f2-ddde-450b-afa5-fe254c9bdc3c.5f28a3c4e332d4c9b45cb7348bc54f10.jpeg?odnHeight=580&amp;odnWidth=580&amp;odnBg=FFFFFF" TargetMode="External"/><Relationship Id="rId155" Type="http://schemas.openxmlformats.org/officeDocument/2006/relationships/hyperlink" Target="https://i5.walmartimages.cl/asr/89ce73b1-6f82-40b5-9e07-ab35ac3dbf13.3d23c24f8d330e15858739aee70c1452.jpeg?odnHeight=580&amp;odnWidth=580&amp;odnBg=FFFFFF" TargetMode="External"/><Relationship Id="rId176" Type="http://schemas.openxmlformats.org/officeDocument/2006/relationships/hyperlink" Target="https://i5.walmartimages.cl/asr/7b9d420f-a813-404d-884f-269db1c02322.a14d1b2975f697751232bd255abbe8a2.jpeg?odnHeight=580&amp;odnWidth=580&amp;odnBg=FFFFFF" TargetMode="External"/><Relationship Id="rId197" Type="http://schemas.openxmlformats.org/officeDocument/2006/relationships/hyperlink" Target="https://i5.walmartimages.cl/asr/4348d754-bf32-4552-9741-ff26da3dee99.89f43890fcdae81790b503ee65c43121.jpeg?odnHeight=580&amp;odnWidth=580&amp;odnBg=FFFFFF" TargetMode="External"/><Relationship Id="rId201" Type="http://schemas.openxmlformats.org/officeDocument/2006/relationships/hyperlink" Target="https://i5.walmartimages.cl/asr/134feb56-a298-4a21-a1b4-7eb1e4749ea5.79cb97e043ffa67d5f139aa675987759.jpeg?odnHeight=580&amp;odnWidth=580&amp;odnBg=FFFFFF" TargetMode="External"/><Relationship Id="rId222" Type="http://schemas.openxmlformats.org/officeDocument/2006/relationships/hyperlink" Target="https://i5.walmartimages.cl/asr/598e7117-bd6e-4599-9f92-65c64504ddeb.3697b06a9b04953471c021fc3a132a1d.jpeg?odnHeight=580&amp;odnWidth=580&amp;odnBg=FFFFFF" TargetMode="External"/><Relationship Id="rId243" Type="http://schemas.openxmlformats.org/officeDocument/2006/relationships/hyperlink" Target="https://i5.walmartimages.cl/asr/14ef44f0-2a9a-4efe-bab4-22498b6c4d9d.d1646bf3b906621d1adcfba44c473c83.jpeg?odnHeight=580&amp;odnWidth=580&amp;odnBg=FFFFFF" TargetMode="External"/><Relationship Id="rId264" Type="http://schemas.openxmlformats.org/officeDocument/2006/relationships/hyperlink" Target="https://i5.walmartimages.cl/asr/4b1e5a3a-29bc-4186-b77e-9cad81afaedf.633df8fa2a67f5783c5464685f281671.jpeg?odnHeight=580&amp;odnWidth=580&amp;odnBg=FFFFFF" TargetMode="External"/><Relationship Id="rId17" Type="http://schemas.openxmlformats.org/officeDocument/2006/relationships/hyperlink" Target="https://i5.walmartimages.cl/asr/4ac6a051-bf10-4705-8711-c5f279bf9ece.c4dac71ef3fd543890640665d3893645.jpeg?null=&amp;odnHeight=580&amp;odnWidth=580&amp;odnBg=FFFFFF" TargetMode="External"/><Relationship Id="rId38" Type="http://schemas.openxmlformats.org/officeDocument/2006/relationships/hyperlink" Target="https://i5.walmartimages.cl/asr/45bef92f-1d02-45c8-9603-18d9a9cab63d.d1c55c070f1545f75f9162a65148a3e2.jpeg?odnHeight=580&amp;odnWidth=580&amp;odnBg=FFFFFF" TargetMode="External"/><Relationship Id="rId59" Type="http://schemas.openxmlformats.org/officeDocument/2006/relationships/hyperlink" Target="https://i5.walmartimages.cl/asr/3aaae334-4057-47e7-ad48-3aa8ddde82e6.bbaa90660f8ca7f61552a2b7deb8f12b.jpeg?null=&amp;odnHeight=580&amp;odnWidth=580&amp;odnBg=FFFFFF" TargetMode="External"/><Relationship Id="rId103" Type="http://schemas.openxmlformats.org/officeDocument/2006/relationships/hyperlink" Target="https://i5.walmartimages.cl/asr/ff54e475-bb4f-4ece-a8ae-40d707f6a5db.aa6c906b7fe799adbbf9ce71771630b3.jpeg?odnHeight=580&amp;odnWidth=580&amp;odnBg=FFFFFF" TargetMode="External"/><Relationship Id="rId124" Type="http://schemas.openxmlformats.org/officeDocument/2006/relationships/hyperlink" Target="https://i5.walmartimages.cl/asr/f1857b10-732b-4bc3-ad82-026eb2e2f653.36a9f27d47caaf362f76bc6c0c22e09a.jpeg?odnHeight=580&amp;odnWidth=580&amp;odnBg=FFFFFF" TargetMode="External"/><Relationship Id="rId70" Type="http://schemas.openxmlformats.org/officeDocument/2006/relationships/hyperlink" Target="https://i5.walmartimages.cl/asr/d2cc3e1c-525d-4d2a-be32-73d88c65f5e2.7c1f1339d1329aaf2717562a9b8a951d.jpeg?odnHeight=580&amp;odnWidth=580&amp;odnBg=FFFFFF" TargetMode="External"/><Relationship Id="rId91" Type="http://schemas.openxmlformats.org/officeDocument/2006/relationships/hyperlink" Target="https://i5.walmartimages.cl/asr/28631ab6-f346-4458-b5ae-78d5d4e22e2b.cf06ab893dd7a67e6207d6cb2b088b3c.jpeg?odnHeight=580&amp;odnWidth=580&amp;odnBg=FFFFFF" TargetMode="External"/><Relationship Id="rId145" Type="http://schemas.openxmlformats.org/officeDocument/2006/relationships/hyperlink" Target="https://i5.walmartimages.cl/asr/0d5ee8ad-3ade-47ba-9fba-8ec3c8ac58f1.c2f7472433dfc0f10bb04450d4bd6df4.jpeg?odnHeight=580&amp;odnWidth=580&amp;odnBg=FFFFFF" TargetMode="External"/><Relationship Id="rId166" Type="http://schemas.openxmlformats.org/officeDocument/2006/relationships/hyperlink" Target="https://i5.walmartimages.cl/asr/c9e1386a-3398-4fd4-a3a6-d3e78522d0c7.6d04ec4695fb2efdbff97f74162e67d5.jpeg?odnHeight=580&amp;odnWidth=580&amp;odnBg=FFFFFF" TargetMode="External"/><Relationship Id="rId187" Type="http://schemas.openxmlformats.org/officeDocument/2006/relationships/hyperlink" Target="https://i5.walmartimages.cl/asr/b1d44db3-de53-462f-b48a-e957ef422335.491a53b46d8573ae69306bc4f771d001.jpeg?odnHeight=580&amp;odnWidth=580&amp;odnBg=FFFFFF" TargetMode="External"/><Relationship Id="rId1" Type="http://schemas.openxmlformats.org/officeDocument/2006/relationships/hyperlink" Target="https://i5.walmartimages.cl/asr/248bd1b1-37a4-464f-aa17-53104ebe63ac.7840608b4f5e2e75776c79060f2de2f4.jpeg?odnHeight=580&amp;odnWidth=580&amp;odnBg=FFFFFF" TargetMode="External"/><Relationship Id="rId212" Type="http://schemas.openxmlformats.org/officeDocument/2006/relationships/hyperlink" Target="https://i5.walmartimages.cl/asr/2dcde29d-1850-40bc-9be8-030285808758.fec49da6e7e19f1c95198773cba1b40e.jpeg?odnHeight=580&amp;odnWidth=580&amp;odnBg=FFFFFF" TargetMode="External"/><Relationship Id="rId233" Type="http://schemas.openxmlformats.org/officeDocument/2006/relationships/hyperlink" Target="https://i5.walmartimages.cl/asr/686c43d2-9f15-48b3-9495-5008caf098e0.0f4d004df0b69fcd6bd8734a74f17311.jpeg?odnHeight=580&amp;odnWidth=580&amp;odnBg=FFFFFF" TargetMode="External"/><Relationship Id="rId254" Type="http://schemas.openxmlformats.org/officeDocument/2006/relationships/hyperlink" Target="https://i5.walmartimages.cl/asr/5f52e9fe-7328-401d-a230-6992e3ad5ad9.507b4a77775d10f0b6389e935e36a2f0.jpeg?odnHeight=580&amp;odnWidth=580&amp;odnBg=FFFFFF" TargetMode="External"/><Relationship Id="rId28" Type="http://schemas.openxmlformats.org/officeDocument/2006/relationships/hyperlink" Target="https://i5.walmartimages.cl/asr/241bd205-b6b9-429b-b68b-91c78ef59c8a.96082974a4b67edc985e53ec84efe4b2.jpeg?odnHeight=580&amp;odnWidth=580&amp;odnBg=FFFFFF" TargetMode="External"/><Relationship Id="rId49" Type="http://schemas.openxmlformats.org/officeDocument/2006/relationships/hyperlink" Target="https://i5.walmartimages.cl/asr/0d0f9119-b379-47e8-b018-d64544cffe74.05fd7279a06d6414fc71010f1e1ade22.jpeg?odnHeight=580&amp;odnWidth=580&amp;odnBg=FFFFFF" TargetMode="External"/><Relationship Id="rId114" Type="http://schemas.openxmlformats.org/officeDocument/2006/relationships/hyperlink" Target="https://i5.walmartimages.cl/asr/9281c906-161e-4722-a669-9499f2a69658.b30ebd8099e0d4792d87dcc52bdea6b8.jpeg?odnHeight=580&amp;odnWidth=580&amp;odnBg=FFFFFF" TargetMode="External"/><Relationship Id="rId60" Type="http://schemas.openxmlformats.org/officeDocument/2006/relationships/hyperlink" Target="https://i5.walmartimages.cl/asr/cb3c4d2d-2161-43cc-8f91-b1e005517252.f1abf81334dd7fb88debd641a64bc119.jpeg?odnHeight=580&amp;odnWidth=580&amp;odnBg=FFFFFF" TargetMode="External"/><Relationship Id="rId81" Type="http://schemas.openxmlformats.org/officeDocument/2006/relationships/hyperlink" Target="https://i5.walmartimages.cl/asr/8af00696-a82b-48a1-a20c-0f811e074534.d63d6be33ced72343e5641fe4f593bb7.jpeg?odnHeight=580&amp;odnWidth=580&amp;odnBg=FFFFFF" TargetMode="External"/><Relationship Id="rId135" Type="http://schemas.openxmlformats.org/officeDocument/2006/relationships/hyperlink" Target="https://i5.walmartimages.cl/asr/7befd389-f534-4747-9b14-fc0643e4cd08.9f1fe72f1e9639742777398bfad0d596.jpeg?odnHeight=580&amp;odnWidth=580&amp;odnBg=FFFFFF" TargetMode="External"/><Relationship Id="rId156" Type="http://schemas.openxmlformats.org/officeDocument/2006/relationships/hyperlink" Target="https://i5.walmartimages.cl/asr/c8746a4d-a89b-430e-ab8f-33f21aad793a.58c692ad6f63ed57ee980c600fa385d2.jpeg?odnHeight=580&amp;odnWidth=580&amp;odnBg=FFFFFF" TargetMode="External"/><Relationship Id="rId177" Type="http://schemas.openxmlformats.org/officeDocument/2006/relationships/hyperlink" Target="https://i5.walmartimages.cl/asr/1abd4a0d-c013-4a2a-bd69-779d9dd043cd.676c10266aee8ab5898878db65994cf7.jpeg?odnHeight=580&amp;odnWidth=580&amp;odnBg=FFFFFF" TargetMode="External"/><Relationship Id="rId198" Type="http://schemas.openxmlformats.org/officeDocument/2006/relationships/hyperlink" Target="https://i5.walmartimages.cl/asr/97dbb37b-866a-4f54-b4a2-afeee9b04039.214196a639b692e4300cb895203a1ae0.jpeg?odnHeight=580&amp;odnWidth=580&amp;odnBg=FFFFFF" TargetMode="External"/><Relationship Id="rId202" Type="http://schemas.openxmlformats.org/officeDocument/2006/relationships/hyperlink" Target="https://i5.walmartimages.cl/asr/bdb12923-5841-436d-83e8-e724fb371c9e.64901777df39c801fc792bea9f5ac411.jpeg?odnHeight=580&amp;odnWidth=580&amp;odnBg=FFFFFF" TargetMode="External"/><Relationship Id="rId223" Type="http://schemas.openxmlformats.org/officeDocument/2006/relationships/hyperlink" Target="https://i5.walmartimages.cl/asr/9612ad94-4842-4eb6-b91a-1d97511e0feb.afeb50cb4ff07a12b74cbfb9c45aaf6a.jpeg?odnHeight=580&amp;odnWidth=580&amp;odnBg=FFFFFF" TargetMode="External"/><Relationship Id="rId244" Type="http://schemas.openxmlformats.org/officeDocument/2006/relationships/hyperlink" Target="https://i5.walmartimages.cl/asr/6d9e32bf-c2a9-43df-b213-4db95d24c697.e65af4f0bb0426ecb8d357f8862bedda.jpeg?odnHeight=580&amp;odnWidth=580&amp;odnBg=FFFFFF" TargetMode="External"/><Relationship Id="rId18" Type="http://schemas.openxmlformats.org/officeDocument/2006/relationships/hyperlink" Target="https://i5.walmartimages.cl/asr/a93666f4-6b8b-4483-907b-57ec204f5822.877d029c11afa51b18a6baab89bee45a.jpeg?odnHeight=580&amp;odnWidth=580&amp;odnBg=FFFFFF" TargetMode="External"/><Relationship Id="rId39" Type="http://schemas.openxmlformats.org/officeDocument/2006/relationships/hyperlink" Target="https://i5.walmartimages.cl/asr/f454eabc-a704-4051-9cc2-61ae3a9ea708.bced8adf7ec553a8090f89307c2c1209.jpeg?odnHeight=580&amp;odnWidth=580&amp;odnBg=FFFFFF" TargetMode="External"/><Relationship Id="rId265" Type="http://schemas.openxmlformats.org/officeDocument/2006/relationships/hyperlink" Target="https://i5.walmartimages.cl/asr/8d02a672-34d2-461e-9ed5-dfbf79d748c1.d79905d12a3881eb60d1e586284fe7ae.jpeg?odnHeight=580&amp;odnWidth=580&amp;odnBg=FFFFFF" TargetMode="External"/><Relationship Id="rId50" Type="http://schemas.openxmlformats.org/officeDocument/2006/relationships/hyperlink" Target="https://i5.walmartimages.cl/asr/e3c82ade-7de4-4b43-9cd1-529cf4c477bc.0ccfd353ea7f818e786ed13848dd6bb4.jpeg?odnHeight=580&amp;odnWidth=580&amp;odnBg=FFFFFF" TargetMode="External"/><Relationship Id="rId104" Type="http://schemas.openxmlformats.org/officeDocument/2006/relationships/hyperlink" Target="https://i5.walmartimages.cl/asr/d4626bf5-c396-4557-95a5-3802e10d778e.a1445ae43d01537bd96f58eb8caa368e.jpeg?odnHeight=580&amp;odnWidth=580&amp;odnBg=FFFFFF" TargetMode="External"/><Relationship Id="rId125" Type="http://schemas.openxmlformats.org/officeDocument/2006/relationships/hyperlink" Target="https://i5.walmartimages.cl/asr/41426f9e-1b9c-4ab2-a0db-8f2f3bdcc606.d1a3433ed8085d1b7064f7fc0ce81c0a.jpeg?odnHeight=580&amp;odnWidth=580&amp;odnBg=FFFFFF" TargetMode="External"/><Relationship Id="rId146" Type="http://schemas.openxmlformats.org/officeDocument/2006/relationships/hyperlink" Target="https://i5.walmartimages.cl/asr/6861e6bd-07fb-4de4-bf01-9689e4628191.51fd7c65a58d496121a0f0c6c759817c.jpeg?null=&amp;odnHeight=580&amp;odnWidth=580&amp;odnBg=FFFFFF" TargetMode="External"/><Relationship Id="rId167" Type="http://schemas.openxmlformats.org/officeDocument/2006/relationships/hyperlink" Target="https://i5.walmartimages.cl/asr/88649284-354d-418d-98a1-c64b9d468dd3.80e95b9827e9f55df47414fa68ef706d.jpeg?odnHeight=580&amp;odnWidth=580&amp;odnBg=FFFFFF" TargetMode="External"/><Relationship Id="rId188" Type="http://schemas.openxmlformats.org/officeDocument/2006/relationships/hyperlink" Target="https://i5.walmartimages.cl/asr/0ee2f0fa-07fa-49e4-9f01-e8fa76936349.640e965f7c7da1c5807d70eb1461a91b.jpeg?null=&amp;odnHeight=580&amp;odnWidth=580&amp;odnBg=FFFFFF" TargetMode="External"/><Relationship Id="rId71" Type="http://schemas.openxmlformats.org/officeDocument/2006/relationships/hyperlink" Target="https://i5.walmartimages.cl/asr/29a58cec-dfd4-4f68-bf52-69f84dbad6fe.3bcb8f5108996efd57431d07fcd42ad9.jpeg?odnHeight=580&amp;odnWidth=580&amp;odnBg=FFFFFF" TargetMode="External"/><Relationship Id="rId92" Type="http://schemas.openxmlformats.org/officeDocument/2006/relationships/hyperlink" Target="https://i5.walmartimages.cl/asr/968b814b-ac9f-47f8-a576-d2425fdc7fc4.96147120992ae84801fa1f3b007e7706.jpeg?odnHeight=580&amp;odnWidth=580&amp;odnBg=FFFFFF" TargetMode="External"/><Relationship Id="rId213" Type="http://schemas.openxmlformats.org/officeDocument/2006/relationships/hyperlink" Target="https://i5.walmartimages.cl/asr/b6362e98-51e2-4f98-8f23-98a04b3513dd.ccbf5238d4a537a6838e0e3bf34a5839.jpeg?odnHeight=580&amp;odnWidth=580&amp;odnBg=FFFFFF" TargetMode="External"/><Relationship Id="rId234" Type="http://schemas.openxmlformats.org/officeDocument/2006/relationships/hyperlink" Target="https://i5.walmartimages.cl/asr/0b869194-f44b-434a-b5f6-78e4686b034f.f71d72a58a296b08c3d7778b3b5469eb.jpeg?odnHeight=580&amp;odnWidth=580&amp;odnBg=FFFFFF" TargetMode="External"/><Relationship Id="rId2" Type="http://schemas.openxmlformats.org/officeDocument/2006/relationships/hyperlink" Target="https://i5.walmartimages.cl/asr/083eabb8-cd7f-46c2-ace0-8664f45a0cd8.906cbaffd69e0d8a60626c5fe9f8b7cb.jpeg?null=&amp;odnHeight=580&amp;odnWidth=580&amp;odnBg=FFFFFF" TargetMode="External"/><Relationship Id="rId29" Type="http://schemas.openxmlformats.org/officeDocument/2006/relationships/hyperlink" Target="https://i5.walmartimages.cl/asr/3f93ee9f-29e1-4ec6-9357-623c62793713.a6641a8ae20a6bd07255e02fbabe9faf.jpeg?odnHeight=580&amp;odnWidth=580&amp;odnBg=FFFFFF" TargetMode="External"/><Relationship Id="rId255" Type="http://schemas.openxmlformats.org/officeDocument/2006/relationships/hyperlink" Target="https://i5.walmartimages.cl/asr/a8517a9b-f898-4a18-9733-2c292b76bde6.3cfe1a7bb61e6d45896d3aef2b438b9d.jpeg?odnHeight=580&amp;odnWidth=580&amp;odnBg=FFFFFF" TargetMode="External"/><Relationship Id="rId40" Type="http://schemas.openxmlformats.org/officeDocument/2006/relationships/hyperlink" Target="https://i5.walmartimages.cl/asr/945e5518-2a01-460c-ab47-0bbc57535333.a3085046531cd30670182a88928b43d3.jpeg?odnHeight=580&amp;odnWidth=580&amp;odnBg=FFFFFF" TargetMode="External"/><Relationship Id="rId115" Type="http://schemas.openxmlformats.org/officeDocument/2006/relationships/hyperlink" Target="https://i5.walmartimages.cl/asr/a6b4b9fe-9cd6-483b-b61b-5d87cadb73bd.c603d54ae2205700a3f90e13670d582a.jpeg?null=&amp;odnHeight=580&amp;odnWidth=580&amp;odnBg=FFFFFF" TargetMode="External"/><Relationship Id="rId136" Type="http://schemas.openxmlformats.org/officeDocument/2006/relationships/hyperlink" Target="https://i5.walmartimages.cl/asr/428b58e1-bb6f-4a9d-a063-392553ab6aa6.4a865dabde2176dec8d39e36ad755ae6.jpeg?odnHeight=580&amp;odnWidth=580&amp;odnBg=FFFFFF" TargetMode="External"/><Relationship Id="rId157" Type="http://schemas.openxmlformats.org/officeDocument/2006/relationships/hyperlink" Target="https://i5.walmartimages.cl/asr/72711c0f-874b-4615-9c6f-e03632b04cb7.b9bf661b8c2a6a6016dc54253e7cbb90.jpeg?odnHeight=580&amp;odnWidth=580&amp;odnBg=FFFFFF" TargetMode="External"/><Relationship Id="rId178" Type="http://schemas.openxmlformats.org/officeDocument/2006/relationships/hyperlink" Target="https://i5.walmartimages.cl/asr/2d325131-7930-45f0-9767-4afd31db7dc9.3760a3e859d9eb0080dc874013b80b62.jpeg?null=&amp;odnHeight=580&amp;odnWidth=580&amp;odnBg=FFFFFF" TargetMode="External"/><Relationship Id="rId61" Type="http://schemas.openxmlformats.org/officeDocument/2006/relationships/hyperlink" Target="https://i5.walmartimages.cl/asr/e7139b2d-66d2-433a-944f-60143d327256.d2f949111f1f698c2eefc805b570c708.jpeg?odnHeight=580&amp;odnWidth=580&amp;odnBg=FFFFFF" TargetMode="External"/><Relationship Id="rId82" Type="http://schemas.openxmlformats.org/officeDocument/2006/relationships/hyperlink" Target="https://i5.walmartimages.cl/asr/299e483f-a619-4a1d-baf1-2879e05b5d0e.ecd370b8869027707db14557030b85f3.jpeg?odnHeight=580&amp;odnWidth=580&amp;odnBg=FFFFFF" TargetMode="External"/><Relationship Id="rId199" Type="http://schemas.openxmlformats.org/officeDocument/2006/relationships/hyperlink" Target="https://i5.walmartimages.cl/asr/d6816cdd-ec71-4cae-981a-16ba4b8191bc.baf07445c9a27819eba5b0ed724cafbc.jpeg?odnHeight=580&amp;odnWidth=580&amp;odnBg=FFFFFF" TargetMode="External"/><Relationship Id="rId203" Type="http://schemas.openxmlformats.org/officeDocument/2006/relationships/hyperlink" Target="https://i5.walmartimages.cl/asr/3b21bfbf-374b-454f-9469-43395dbbbedc.bfe5a9d4ab1ebca53621e8c4b3f3ec6f.jpeg?odnHeight=580&amp;odnWidth=580&amp;odnBg=FFFFFF" TargetMode="External"/><Relationship Id="rId19" Type="http://schemas.openxmlformats.org/officeDocument/2006/relationships/hyperlink" Target="https://i5.walmartimages.cl/asr/9ec3c315-2567-4067-88a9-c63de4965078.8b2c25a93d3d7ae4417ef14c93a64106.jpeg?odnHeight=580&amp;odnWidth=580&amp;odnBg=FFFFFF" TargetMode="External"/><Relationship Id="rId224" Type="http://schemas.openxmlformats.org/officeDocument/2006/relationships/hyperlink" Target="https://i5.walmartimages.cl/asr/2d9f8e7c-3f33-4e10-8024-ad38225fc974.8762166b90f7e64ab0ab260818755e65.jpeg?odnHeight=580&amp;odnWidth=580&amp;odnBg=FFFFFF" TargetMode="External"/><Relationship Id="rId245" Type="http://schemas.openxmlformats.org/officeDocument/2006/relationships/hyperlink" Target="https://i5.walmartimages.cl/asr/69c12828-d674-441d-aa7e-f5cc202e0274.d8ad88d02f3a63789acdcb145dee1d2a.jpeg?odnHeight=580&amp;odnWidth=580&amp;odnBg=FFFFFF" TargetMode="External"/><Relationship Id="rId30" Type="http://schemas.openxmlformats.org/officeDocument/2006/relationships/hyperlink" Target="https://i5.walmartimages.cl/asr/93895a7e-108f-466b-b076-6e0e83282232.6a18620121058c55c18f6cc2d69fffbf.jpeg?null=&amp;odnHeight=580&amp;odnWidth=580&amp;odnBg=FFFFFF" TargetMode="External"/><Relationship Id="rId105" Type="http://schemas.openxmlformats.org/officeDocument/2006/relationships/hyperlink" Target="https://i5.walmartimages.cl/asr/d2b4b933-3316-4b55-9a47-ab97d5a8f034.650b1a42fd9ffc8482c678b392f0587c.jpeg?odnHeight=580&amp;odnWidth=580&amp;odnBg=FFFFFF" TargetMode="External"/><Relationship Id="rId126" Type="http://schemas.openxmlformats.org/officeDocument/2006/relationships/hyperlink" Target="https://i5.walmartimages.cl/asr/736030fe-e3b3-49b6-b647-67f665a8839a.c6a09e22296ce00371c25272b0c91773.jpeg?odnHeight=580&amp;odnWidth=580&amp;odnBg=FFFFFF" TargetMode="External"/><Relationship Id="rId147" Type="http://schemas.openxmlformats.org/officeDocument/2006/relationships/hyperlink" Target="https://i5.walmartimages.cl/asr/455622bf-4599-46c8-b680-f11cfdb3f537.8821a6a9d31ac2e91be53430f61c9cff.jpeg?odnHeight=580&amp;odnWidth=580&amp;odnBg=FFFFFF" TargetMode="External"/><Relationship Id="rId168" Type="http://schemas.openxmlformats.org/officeDocument/2006/relationships/hyperlink" Target="https://i5.walmartimages.cl/asr/593b4f38-db9e-4321-9b28-35ca952539c6.87c5823935e9276fca8248d108f6f4e8.jpeg?null=&amp;odnHeight=580&amp;odnWidth=580&amp;odnBg=FFFFFF" TargetMode="External"/><Relationship Id="rId51" Type="http://schemas.openxmlformats.org/officeDocument/2006/relationships/hyperlink" Target="https://i5.walmartimages.cl/asr/7878d651-e90d-48de-bccd-d2b1bb98d545.8ec83b7517c9a9ee5af3bc867ef7453f.jpeg?null=&amp;odnHeight=580&amp;odnWidth=580&amp;odnBg=FFFFFF" TargetMode="External"/><Relationship Id="rId72" Type="http://schemas.openxmlformats.org/officeDocument/2006/relationships/hyperlink" Target="https://i5.walmartimages.cl/asr/c73fde10-2b93-4e19-9ecc-8c4d617cd060.c09ee639728519d6c07af34886ad693b.jpeg?odnHeight=580&amp;odnWidth=580&amp;odnBg=FFFFFF" TargetMode="External"/><Relationship Id="rId93" Type="http://schemas.openxmlformats.org/officeDocument/2006/relationships/hyperlink" Target="https://i5.walmartimages.cl/asr/a29098ad-b21b-4059-b5e9-33103e838c07.f58f4542731ee0ff89b115f710f24c7c.jpeg?odnHeight=580&amp;odnWidth=580&amp;odnBg=FFFFFF" TargetMode="External"/><Relationship Id="rId189" Type="http://schemas.openxmlformats.org/officeDocument/2006/relationships/hyperlink" Target="https://i5.walmartimages.cl/asr/e77f73de-d360-4569-9c7f-69b5bc87a73e.931172b96b528929460cd60f7191b8aa.jpeg?null=&amp;odnHeight=580&amp;odnWidth=580&amp;odnBg=FFFFFF" TargetMode="External"/><Relationship Id="rId3" Type="http://schemas.openxmlformats.org/officeDocument/2006/relationships/hyperlink" Target="https://i5.walmartimages.cl/asr/87055fe6-e907-4a58-8677-0563ee63c3d1.2bb397d62720c4a73ec62b5bc6edd4f3.jpeg?odnHeight=580&amp;odnWidth=580&amp;odnBg=FFFFFF" TargetMode="External"/><Relationship Id="rId214" Type="http://schemas.openxmlformats.org/officeDocument/2006/relationships/hyperlink" Target="https://i5.walmartimages.cl/asr/6803a7e3-7307-4f9d-9357-887f3d6ea4b0.6b8326ab837212bd6af62aab814e6ab1.jpeg?odnHeight=580&amp;odnWidth=580&amp;odnBg=FFFFFF" TargetMode="External"/><Relationship Id="rId235" Type="http://schemas.openxmlformats.org/officeDocument/2006/relationships/hyperlink" Target="https://i5.walmartimages.cl/asr/618d4afd-38e2-46ff-bdc4-f871a5bf7e8d.3babc10aab982ace56b139859696a9ee.jpeg?null=&amp;odnHeight=580&amp;odnWidth=580&amp;odnBg=FFFFFF" TargetMode="External"/><Relationship Id="rId256" Type="http://schemas.openxmlformats.org/officeDocument/2006/relationships/hyperlink" Target="https://i5.walmartimages.cl/asr/93db18ce-e006-4c6d-a0cf-974ed2645384.3cffa5be97a08fbc0f087816fa1bcc92.jpeg?odnHeight=580&amp;odnWidth=580&amp;odnBg=FFFFFF" TargetMode="External"/><Relationship Id="rId116" Type="http://schemas.openxmlformats.org/officeDocument/2006/relationships/hyperlink" Target="https://i5.walmartimages.cl/asr/3f320c3c-0310-449d-8a50-e0be52c61218.3217f921b8401f339132b7b33f47505a.jpeg?odnHeight=580&amp;odnWidth=580&amp;odnBg=FFFFFF" TargetMode="External"/><Relationship Id="rId137" Type="http://schemas.openxmlformats.org/officeDocument/2006/relationships/hyperlink" Target="https://i5.walmartimages.cl/asr/36c368e7-0226-4ae5-a919-e953495c75f6.0a73be7c25ea6b971e4975f67713daf8.jpeg?null=&amp;odnHeight=580&amp;odnWidth=580&amp;odnBg=FFFFFF" TargetMode="External"/><Relationship Id="rId158" Type="http://schemas.openxmlformats.org/officeDocument/2006/relationships/hyperlink" Target="https://i5.walmartimages.cl/asr/475ecb33-fcca-410f-8fc0-77756c25f250.71e5e33d904fb5672bd1634b66dec649.jpeg?null=&amp;odnHeight=580&amp;odnWidth=580&amp;odnBg=FFFFFF" TargetMode="External"/><Relationship Id="rId20" Type="http://schemas.openxmlformats.org/officeDocument/2006/relationships/hyperlink" Target="https://i5.walmartimages.cl/asr/20df7f10-f765-47be-9147-9dbc72e5d56f.2b926841f31184654a8b84c90873c27b.jpeg?odnHeight=580&amp;odnWidth=580&amp;odnBg=FFFFFF" TargetMode="External"/><Relationship Id="rId41" Type="http://schemas.openxmlformats.org/officeDocument/2006/relationships/hyperlink" Target="https://i5.walmartimages.cl/asr/f5c7878d-2051-4bdf-9def-f0c742aa2f05.c70df7278aaa19bb79c3b753ced98cbf.jpeg?null=&amp;odnHeight=580&amp;odnWidth=580&amp;odnBg=FFFFFF" TargetMode="External"/><Relationship Id="rId62" Type="http://schemas.openxmlformats.org/officeDocument/2006/relationships/hyperlink" Target="https://i5.walmartimages.cl/asr/7abdad1d-07df-4856-92e8-4f036f75964b.014123888e7e0a2903e306e8a1be4224.jpeg?null=&amp;odnHeight=580&amp;odnWidth=580&amp;odnBg=FFFFFF" TargetMode="External"/><Relationship Id="rId83" Type="http://schemas.openxmlformats.org/officeDocument/2006/relationships/hyperlink" Target="https://i5.walmartimages.cl/asr/e5b0af54-6078-4fe7-830e-542ef6799acf.b5b7dc6bd0e9a4213687f6e9fe4d324a.jpeg?odnHeight=580&amp;odnWidth=580&amp;odnBg=FFFFFF" TargetMode="External"/><Relationship Id="rId179" Type="http://schemas.openxmlformats.org/officeDocument/2006/relationships/hyperlink" Target="https://i5.walmartimages.cl/asr/1af58ec6-4db3-442b-9d13-2d72f36a801d.f4fff86004e4021c194c1d04693ab984.jpeg?null=&amp;odnHeight=580&amp;odnWidth=580&amp;odnBg=FFFFFF" TargetMode="External"/><Relationship Id="rId190" Type="http://schemas.openxmlformats.org/officeDocument/2006/relationships/hyperlink" Target="https://i5.walmartimages.cl/asr/cc8d7095-b27b-43dc-bc73-6596d51253fa.4501c86b823f3a144f404ce6bde2155b.jpeg?odnHeight=580&amp;odnWidth=580&amp;odnBg=FFFFFF" TargetMode="External"/><Relationship Id="rId204" Type="http://schemas.openxmlformats.org/officeDocument/2006/relationships/hyperlink" Target="https://i5.walmartimages.cl/asr/cd79a0d0-76f5-47b9-8a4f-680a0c0332b4.f521911fb89cfcffd21e9c0810a5a677.jpeg?odnHeight=580&amp;odnWidth=580&amp;odnBg=FFFFFF" TargetMode="External"/><Relationship Id="rId225" Type="http://schemas.openxmlformats.org/officeDocument/2006/relationships/hyperlink" Target="https://i5.walmartimages.cl/asr/775c8666-6e94-45fe-b7bf-2c568283e5a0.95db7e685eb097b1d4cfac4d2393aa1b.jpeg?null=&amp;odnHeight=580&amp;odnWidth=580&amp;odnBg=FFFFFF" TargetMode="External"/><Relationship Id="rId246" Type="http://schemas.openxmlformats.org/officeDocument/2006/relationships/hyperlink" Target="https://i5.walmartimages.cl/asr/a744e301-5814-444a-be11-6a3a9cfe892d.e520f017c3af7d443ae61008e0e9fe6e.jpeg?odnHeight=580&amp;odnWidth=580&amp;odnBg=FFFFFF" TargetMode="External"/><Relationship Id="rId106" Type="http://schemas.openxmlformats.org/officeDocument/2006/relationships/hyperlink" Target="https://i5.walmartimages.cl/asr/d460dd01-dbed-4a81-870b-9ba5bb2d4ea8.916913e74deeacd29be5af0f2c31a327.jpeg?odnHeight=580&amp;odnWidth=580&amp;odnBg=FFFFFF" TargetMode="External"/><Relationship Id="rId127" Type="http://schemas.openxmlformats.org/officeDocument/2006/relationships/hyperlink" Target="https://i5.walmartimages.cl/asr/a40c8d0a-0366-4396-b4ee-cd29a5431259.1b2df964e893aedacc00683787aadf32.jpeg?odnHeight=580&amp;odnWidth=580&amp;odnBg=FFFFFF" TargetMode="External"/><Relationship Id="rId10" Type="http://schemas.openxmlformats.org/officeDocument/2006/relationships/hyperlink" Target="https://i5.walmartimages.cl/asr/49eac9c8-a6ab-49fb-8b03-978ccd8ab53c.fd750cbb4b081ea4cb169b99a94d0f4c.jpeg?odnHeight=580&amp;odnWidth=580&amp;odnBg=FFFFFF" TargetMode="External"/><Relationship Id="rId31" Type="http://schemas.openxmlformats.org/officeDocument/2006/relationships/hyperlink" Target="https://i5.walmartimages.cl/asr/9b694b29-44c2-49b4-a997-4625bc2f8e1e.0e64d26c7dd4a11eed203d828c7d41e6.jpeg?null=&amp;odnHeight=580&amp;odnWidth=580&amp;odnBg=FFFFFF" TargetMode="External"/><Relationship Id="rId52" Type="http://schemas.openxmlformats.org/officeDocument/2006/relationships/hyperlink" Target="https://i5.walmartimages.cl/asr/42047681-e6dc-4fba-87a7-020dbf30b08f.0c9ee26c67ac41f238fe615b0ff31473.jpeg?odnHeight=580&amp;odnWidth=580&amp;odnBg=FFFFFF" TargetMode="External"/><Relationship Id="rId73" Type="http://schemas.openxmlformats.org/officeDocument/2006/relationships/hyperlink" Target="https://i5.walmartimages.cl/asr/cc5c5c73-6f6f-452b-9d6b-e14d28dc5f5e.6e748baecbabd98467bef711e6feee52.jpeg?null=&amp;odnHeight=580&amp;odnWidth=580&amp;odnBg=FFFFFF" TargetMode="External"/><Relationship Id="rId94" Type="http://schemas.openxmlformats.org/officeDocument/2006/relationships/hyperlink" Target="https://i5.walmartimages.cl/asr/259f3853-c859-47ce-ab66-476577d878c6.278c4beb8cc580f043e514fdac8d64a1.jpeg?odnHeight=580&amp;odnWidth=580&amp;odnBg=FFFFFF" TargetMode="External"/><Relationship Id="rId148" Type="http://schemas.openxmlformats.org/officeDocument/2006/relationships/hyperlink" Target="https://i5.walmartimages.cl/asr/fcf394f4-5846-4531-b1ce-496ca7d37b21.1845f897c0fa9ebc288945c3ff97e5c8.jpeg?odnHeight=580&amp;odnWidth=580&amp;odnBg=FFFFFF" TargetMode="External"/><Relationship Id="rId169" Type="http://schemas.openxmlformats.org/officeDocument/2006/relationships/hyperlink" Target="https://i5.walmartimages.cl/asr/69711c4b-56f5-4dd1-9088-083c5debc105.3391e2a4390dd2c80ac768741f781453.jpeg?odnHeight=580&amp;odnWidth=580&amp;odnBg=FFFFFF" TargetMode="External"/><Relationship Id="rId4" Type="http://schemas.openxmlformats.org/officeDocument/2006/relationships/hyperlink" Target="https://i5.walmartimages.cl/asr/26816f7e-4d05-463b-b73e-cd6f05220db8.a49fa7c44acb5d70eadb6d39e4a02ddd.jpeg?odnHeight=580&amp;odnWidth=580&amp;odnBg=FFFFFF" TargetMode="External"/><Relationship Id="rId180" Type="http://schemas.openxmlformats.org/officeDocument/2006/relationships/hyperlink" Target="https://i5.walmartimages.cl/asr/c4dde834-d22d-4c9d-abd7-5260a77ef58f.a9d61f9cc879aa579055efde379fa822.jpeg?odnHeight=580&amp;odnWidth=580&amp;odnBg=FFFFFF" TargetMode="External"/><Relationship Id="rId215" Type="http://schemas.openxmlformats.org/officeDocument/2006/relationships/hyperlink" Target="https://i5.walmartimages.cl/asr/2de8cf0e-304e-4b61-bae8-37d363168408.cf2191069c3a76f2101512a2e3a3cba4.jpeg?odnHeight=580&amp;odnWidth=580&amp;odnBg=FFFFFF" TargetMode="External"/><Relationship Id="rId236" Type="http://schemas.openxmlformats.org/officeDocument/2006/relationships/hyperlink" Target="https://i5.walmartimages.cl/asr/eb53aabb-f3a3-41dc-a77a-2491e73629b5.aa5e0c259fd04b90d6ce41df98a218b5.jpeg?odnHeight=580&amp;odnWidth=580&amp;odnBg=FFFFFF" TargetMode="External"/><Relationship Id="rId257" Type="http://schemas.openxmlformats.org/officeDocument/2006/relationships/hyperlink" Target="https://i5.walmartimages.cl/asr/432a3eb2-1e1b-4d6c-94c9-f0fa419be3d6.5f52410d5fd26b40283f0809cc7e0596.jpeg?odnHeight=580&amp;odnWidth=580&amp;odnBg=FFFFFF" TargetMode="External"/><Relationship Id="rId42" Type="http://schemas.openxmlformats.org/officeDocument/2006/relationships/hyperlink" Target="https://i5.walmartimages.cl/asr/9be25181-4fa4-4d4c-80ec-78a6cdb3e21f.78b8b6dd7091ae87f32c369b6899146f.jpeg?odnHeight=580&amp;odnWidth=580&amp;odnBg=FFFFFF" TargetMode="External"/><Relationship Id="rId84" Type="http://schemas.openxmlformats.org/officeDocument/2006/relationships/hyperlink" Target="https://i5.walmartimages.cl/asr/f2f678d7-bdf1-4f7e-b2f1-e93f1e7d1089.cbe73517df97798a0262f0e189246707.jpeg?null=&amp;odnHeight=580&amp;odnWidth=580&amp;odnBg=FFFFFF" TargetMode="External"/><Relationship Id="rId138" Type="http://schemas.openxmlformats.org/officeDocument/2006/relationships/hyperlink" Target="https://i5.walmartimages.cl/asr/5eb2976c-a2df-4606-a35d-ce8dfa033a24.67e31e5f569533c5ee00f57e8057e82b.jpeg?odnHeight=580&amp;odnWidth=580&amp;odnBg=FFFFFF" TargetMode="External"/><Relationship Id="rId191" Type="http://schemas.openxmlformats.org/officeDocument/2006/relationships/hyperlink" Target="https://i5.walmartimages.cl/asr/7fe3ebac-7998-4d30-8d4e-48db0cb1a94c.69f7f5f96d6c65599fe375c9fda1e6cb.jpeg?odnHeight=580&amp;odnWidth=580&amp;odnBg=FFFFFF" TargetMode="External"/><Relationship Id="rId205" Type="http://schemas.openxmlformats.org/officeDocument/2006/relationships/hyperlink" Target="https://i5.walmartimages.cl/asr/38220c80-fe85-44da-9784-d8b7eb44a3d4.54a54483d160cc00b89d45e1afc850bb.jpeg?odnHeight=580&amp;odnWidth=580&amp;odnBg=FFFFFF" TargetMode="External"/><Relationship Id="rId247" Type="http://schemas.openxmlformats.org/officeDocument/2006/relationships/hyperlink" Target="https://i5.walmartimages.cl/asr/3e6431a8-949f-477c-9903-26b507783227.9fd303703531163c88f57ed926067b58.jpeg?odnHeight=580&amp;odnWidth=580&amp;odnBg=FFFFFF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jumbocl.vteximg.com.br/arquivos/ids/347993-250-250/674275.jpg?v=638776478868630000" TargetMode="External"/><Relationship Id="rId21" Type="http://schemas.openxmlformats.org/officeDocument/2006/relationships/hyperlink" Target="https://jumbocl.vteximg.com.br/arquivos/ids/347982-250-250/Lechuga-escarola-un.jpg?v=638776478720700000" TargetMode="External"/><Relationship Id="rId324" Type="http://schemas.openxmlformats.org/officeDocument/2006/relationships/hyperlink" Target="https://jumbocl.vteximg.com.br/arquivos/ids/353008-250-250/1361565.jpg?v=638776695623200000" TargetMode="External"/><Relationship Id="rId531" Type="http://schemas.openxmlformats.org/officeDocument/2006/relationships/hyperlink" Target="https://jumbocl.vteximg.com.br/arquivos/ids/312254-250-250/Mix-de-Lechugas-Hidroponicas-150-g.jpg?v=638776396034800000" TargetMode="External"/><Relationship Id="rId170" Type="http://schemas.openxmlformats.org/officeDocument/2006/relationships/hyperlink" Target="https://jumbocl.vteximg.com.br/arquivos/ids/501709-250-250/Puerros-4-un.jpg?v=638920189444070000" TargetMode="External"/><Relationship Id="rId268" Type="http://schemas.openxmlformats.org/officeDocument/2006/relationships/hyperlink" Target="https://jumbocl.vteximg.com.br/arquivos/ids/324037-250-250/Mix-Manzana-Arandano-Frutilla-Liofilizada-Tribu-20-g.jpg?v=638776427310600000" TargetMode="External"/><Relationship Id="rId475" Type="http://schemas.openxmlformats.org/officeDocument/2006/relationships/hyperlink" Target="https://jumbocl.vteximg.com.br/arquivos/ids/642334-250-250/Platano-Liofilizado-Atama-Rodaja-20-g.jpg?v=639147966788370000" TargetMode="External"/><Relationship Id="rId32" Type="http://schemas.openxmlformats.org/officeDocument/2006/relationships/hyperlink" Target="https://jumbocl.vteximg.com.br/arquivos/ids/450388-250-250/Papa-granel.jpg?v=638847369679500000" TargetMode="External"/><Relationship Id="rId128" Type="http://schemas.openxmlformats.org/officeDocument/2006/relationships/hyperlink" Target="https://jumbocl.vteximg.com.br/arquivos/ids/347946-250-250/Platano-Barraganette-granel.jpg?v=638776478245070000" TargetMode="External"/><Relationship Id="rId335" Type="http://schemas.openxmlformats.org/officeDocument/2006/relationships/hyperlink" Target="https://jumbocl.vteximg.com.br/arquivos/ids/584581-250-250/Frasco-Morchellas-Deshidratadas-30-g.jpg?v=639077991825570000" TargetMode="External"/><Relationship Id="rId542" Type="http://schemas.openxmlformats.org/officeDocument/2006/relationships/hyperlink" Target="https://jumbocl.vteximg.com.br/arquivos/ids/352993-250-250/Tangelo-granel-1-17460.jpg?v=638776695545500000" TargetMode="External"/><Relationship Id="rId181" Type="http://schemas.openxmlformats.org/officeDocument/2006/relationships/hyperlink" Target="https://jumbocl.vteximg.com.br/arquivos/ids/347975-250-250/Mix-Salad-150-g.jpg?v=638776478626700000" TargetMode="External"/><Relationship Id="rId402" Type="http://schemas.openxmlformats.org/officeDocument/2006/relationships/hyperlink" Target="https://jumbocl.vteximg.com.br/arquivos/ids/352989-250-250/1060537-KG-1.jpg?v=638776695523130000" TargetMode="External"/><Relationship Id="rId279" Type="http://schemas.openxmlformats.org/officeDocument/2006/relationships/hyperlink" Target="https://jumbocl.vteximg.com.br/arquivos/ids/353002-250-250/261331.jpg?v=638776695600470000" TargetMode="External"/><Relationship Id="rId486" Type="http://schemas.openxmlformats.org/officeDocument/2006/relationships/hyperlink" Target="https://jumbocl.vteximg.com.br/arquivos/ids/518501-250-250/Cebolla-Cubo-Organico-200-g.jpg?v=638950379142530000" TargetMode="External"/><Relationship Id="rId43" Type="http://schemas.openxmlformats.org/officeDocument/2006/relationships/hyperlink" Target="https://jumbocl.vteximg.com.br/arquivos/ids/478128-250-250/Betarraga-Cocida-Pro-Verde-500-g.jpg?v=638877146441270000" TargetMode="External"/><Relationship Id="rId139" Type="http://schemas.openxmlformats.org/officeDocument/2006/relationships/hyperlink" Target="https://jumbocl.vteximg.com.br/arquivos/ids/353041-250-250/Brocoli-florete-300-g.jpg?v=638776695754070000" TargetMode="External"/><Relationship Id="rId346" Type="http://schemas.openxmlformats.org/officeDocument/2006/relationships/hyperlink" Target="https://jumbocl.vteximg.com.br/arquivos/ids/369979-250-250/Cebolla-organica-malla-1-kg.jpg?v=638776779934330000" TargetMode="External"/><Relationship Id="rId553" Type="http://schemas.openxmlformats.org/officeDocument/2006/relationships/hyperlink" Target="https://jumbocl.vteximg.com.br/arquivos/ids/353146-250-250/260799.jpg?v=638776696181230000" TargetMode="External"/><Relationship Id="rId192" Type="http://schemas.openxmlformats.org/officeDocument/2006/relationships/hyperlink" Target="https://jumbocl.vteximg.com.br/arquivos/ids/347981-250-250/Salsa-Verde-Genial-200-g.jpg?v=638776478703970000" TargetMode="External"/><Relationship Id="rId206" Type="http://schemas.openxmlformats.org/officeDocument/2006/relationships/hyperlink" Target="https://jumbocl.vteximg.com.br/arquivos/ids/353164-250-250/Champi%C3%B1ones-portobello-200-g.jpg?v=638776696233930000" TargetMode="External"/><Relationship Id="rId413" Type="http://schemas.openxmlformats.org/officeDocument/2006/relationships/hyperlink" Target="https://jumbocl.vteximg.com.br/arquivos/ids/353051-250-250/Nuez-Mariposa-Frutisa-200-g.jpg?v=638776695789500000" TargetMode="External"/><Relationship Id="rId497" Type="http://schemas.openxmlformats.org/officeDocument/2006/relationships/hyperlink" Target="https://jumbocl.vteximg.com.br/arquivos/ids/365289-250-250/Pasas-morenas-300-g.jpg?v=638776758140200000" TargetMode="External"/><Relationship Id="rId357" Type="http://schemas.openxmlformats.org/officeDocument/2006/relationships/hyperlink" Target="https://jumbocl.vteximg.com.br/arquivos/ids/347931-250-250/Lechuga-escarola-300-g.jpg?v=638776478043600000" TargetMode="External"/><Relationship Id="rId54" Type="http://schemas.openxmlformats.org/officeDocument/2006/relationships/hyperlink" Target="https://jumbocl.vteximg.com.br/arquivos/ids/361207-250-250/1555303.jpg?v=638776736081730000" TargetMode="External"/><Relationship Id="rId217" Type="http://schemas.openxmlformats.org/officeDocument/2006/relationships/hyperlink" Target="https://jumbocl.vteximg.com.br/arquivos/ids/368448-250-250/Ensalada-con-aderezos-sunflower-crunch-350-g.jpg?v=638776772676230000" TargetMode="External"/><Relationship Id="rId564" Type="http://schemas.openxmlformats.org/officeDocument/2006/relationships/hyperlink" Target="https://jumbocl.vteximg.com.br/arquivos/ids/355837-250-250/575665.jpg?v=638776709248030000" TargetMode="External"/><Relationship Id="rId424" Type="http://schemas.openxmlformats.org/officeDocument/2006/relationships/hyperlink" Target="https://jumbocl.vteximg.com.br/arquivos/ids/347950-250-250/Nuez-partida-200-g.jpg?v=638776478297630000" TargetMode="External"/><Relationship Id="rId270" Type="http://schemas.openxmlformats.org/officeDocument/2006/relationships/hyperlink" Target="https://jumbocl.vteximg.com.br/arquivos/ids/353098-250-250/Principal-17629.jpg?v=638776695979730000" TargetMode="External"/><Relationship Id="rId65" Type="http://schemas.openxmlformats.org/officeDocument/2006/relationships/hyperlink" Target="https://jumbocl.vteximg.com.br/arquivos/ids/348059-250-250/Cebolla-granel.jpg?v=638776479779400000" TargetMode="External"/><Relationship Id="rId130" Type="http://schemas.openxmlformats.org/officeDocument/2006/relationships/hyperlink" Target="https://jumbocl.vteximg.com.br/arquivos/ids/347909-250-250/Ensalada-apio-Dole-420-g.jpg?v=638776477738800000" TargetMode="External"/><Relationship Id="rId368" Type="http://schemas.openxmlformats.org/officeDocument/2006/relationships/hyperlink" Target="https://jumbocl.vteximg.com.br/arquivos/ids/518502-250-250/Apio-Medialuna-Organico-350-g.jpg?v=638950379148930000" TargetMode="External"/><Relationship Id="rId575" Type="http://schemas.openxmlformats.org/officeDocument/2006/relationships/hyperlink" Target="https://jumbocl.vteximg.com.br/arquivos/ids/362359-250-250/Rabanitos-unid.jpg?v=638776742593230000" TargetMode="External"/><Relationship Id="rId228" Type="http://schemas.openxmlformats.org/officeDocument/2006/relationships/hyperlink" Target="https://jumbocl.vteximg.com.br/arquivos/ids/361210-250-250/Repollo-crespo-unid.jpg?v=638776736084870000" TargetMode="External"/><Relationship Id="rId435" Type="http://schemas.openxmlformats.org/officeDocument/2006/relationships/hyperlink" Target="https://jumbocl.vteximg.com.br/arquivos/ids/347951-250-250/642206.jpg?v=638776478309370000" TargetMode="External"/><Relationship Id="rId281" Type="http://schemas.openxmlformats.org/officeDocument/2006/relationships/hyperlink" Target="https://jumbocl.vteximg.com.br/arquivos/ids/479388-250-250/Mix-Mediterraneo-Sabor-Tomate-Albahaca-100-g.jpg?v=638881344191300000" TargetMode="External"/><Relationship Id="rId502" Type="http://schemas.openxmlformats.org/officeDocument/2006/relationships/hyperlink" Target="https://jumbocl.vteximg.com.br/arquivos/ids/365275-250-250/Goji-100-g-1-92801011.jpg?v=638776758065570000" TargetMode="External"/><Relationship Id="rId76" Type="http://schemas.openxmlformats.org/officeDocument/2006/relationships/hyperlink" Target="https://jumbocl.vteximg.com.br/arquivos/ids/347999-250-250/Cebolla-morada-1-kg.jpg?v=638776478979200000" TargetMode="External"/><Relationship Id="rId141" Type="http://schemas.openxmlformats.org/officeDocument/2006/relationships/hyperlink" Target="https://jumbocl.vteximg.com.br/arquivos/ids/353166-250-250/260640.jpg?v=638776696256600000" TargetMode="External"/><Relationship Id="rId379" Type="http://schemas.openxmlformats.org/officeDocument/2006/relationships/hyperlink" Target="https://jumbocl.vteximg.com.br/arquivos/ids/388495-250-250/MIX-NATURAL-CON-PASAS-MORENAS.jpg?v=638776856051000000" TargetMode="External"/><Relationship Id="rId586" Type="http://schemas.openxmlformats.org/officeDocument/2006/relationships/hyperlink" Target="https://jumbocl.vteximg.com.br/arquivos/ids/373775-250-250/Palta-fuerte-malla-1-kg.jpg?v=638776797059570000" TargetMode="External"/><Relationship Id="rId7" Type="http://schemas.openxmlformats.org/officeDocument/2006/relationships/hyperlink" Target="https://jumbocl.vteximg.com.br/arquivos/ids/348051-250-250/Zanahoria-bolsa-1-kg.jpg?v=638776479671400000" TargetMode="External"/><Relationship Id="rId239" Type="http://schemas.openxmlformats.org/officeDocument/2006/relationships/hyperlink" Target="https://jumbocl.vteximg.com.br/arquivos/ids/372069-250-250/Lechuga-escarola-feria-un.jpg?v=638776789804830000" TargetMode="External"/><Relationship Id="rId446" Type="http://schemas.openxmlformats.org/officeDocument/2006/relationships/hyperlink" Target="https://jumbocl.vteximg.com.br/arquivos/ids/375491-250-250/Rabanito-blanco-5-un.jpg?v=638776803883500000" TargetMode="External"/><Relationship Id="rId292" Type="http://schemas.openxmlformats.org/officeDocument/2006/relationships/hyperlink" Target="https://jumbocl.vteximg.com.br/arquivos/ids/368251-250-250/Mix-asiaticos-procesado-bandeja-120-g.jpg?v=638776771734670000" TargetMode="External"/><Relationship Id="rId306" Type="http://schemas.openxmlformats.org/officeDocument/2006/relationships/hyperlink" Target="https://jumbocl.vteximg.com.br/arquivos/ids/540856-250-250/PLANTA-MELISA-ORG.jpg?v=638986715591370000" TargetMode="External"/><Relationship Id="rId87" Type="http://schemas.openxmlformats.org/officeDocument/2006/relationships/hyperlink" Target="https://jumbocl.vteximg.com.br/arquivos/ids/504525-250-250/Perejil-1-un.jpg?v=638930657917000000" TargetMode="External"/><Relationship Id="rId513" Type="http://schemas.openxmlformats.org/officeDocument/2006/relationships/hyperlink" Target="https://jumbocl.vteximg.com.br/arquivos/ids/365285-250-250/Mani-tostado-300-g.jpg?v=638776758122370000" TargetMode="External"/><Relationship Id="rId597" Type="http://schemas.openxmlformats.org/officeDocument/2006/relationships/hyperlink" Target="https://jumbocl.vteximg.com.br/arquivos/ids/322302-250-250/Damasco-Turco-700-g.jpg?v=638776425855330000" TargetMode="External"/><Relationship Id="rId152" Type="http://schemas.openxmlformats.org/officeDocument/2006/relationships/hyperlink" Target="https://jumbocl.vteximg.com.br/arquivos/ids/473704-250-250/Mix-Fruta-Arandano-Frutilla-Kiwi-Mango-400-g.jpg?v=638872408413770000" TargetMode="External"/><Relationship Id="rId457" Type="http://schemas.openxmlformats.org/officeDocument/2006/relationships/hyperlink" Target="https://jumbocl.vteximg.com.br/arquivos/ids/353172-250-250/545256.jpg?v=638776696279700000" TargetMode="External"/><Relationship Id="rId14" Type="http://schemas.openxmlformats.org/officeDocument/2006/relationships/hyperlink" Target="https://jumbocl.vteximg.com.br/arquivos/ids/353115-250-250/Mandarina-malla-1-kg.jpg?v=638776696049130000" TargetMode="External"/><Relationship Id="rId317" Type="http://schemas.openxmlformats.org/officeDocument/2006/relationships/hyperlink" Target="https://jumbocl.vteximg.com.br/arquivos/ids/329170-250-250/Apio.jpg?v=638776431557670000" TargetMode="External"/><Relationship Id="rId524" Type="http://schemas.openxmlformats.org/officeDocument/2006/relationships/hyperlink" Target="https://jumbocl.vteximg.com.br/arquivos/ids/393545-250-250/PAPA-MORADA.jpg?v=638776875037100000" TargetMode="External"/><Relationship Id="rId98" Type="http://schemas.openxmlformats.org/officeDocument/2006/relationships/hyperlink" Target="https://jumbocl.vteximg.com.br/arquivos/ids/353162-250-250/Champi%C3%B1ones-Shitake-100-g.jpg?v=638776696231030000" TargetMode="External"/><Relationship Id="rId163" Type="http://schemas.openxmlformats.org/officeDocument/2006/relationships/hyperlink" Target="https://jumbocl.vteximg.com.br/arquivos/ids/362356-250-250/Repollo-morado-un.jpg?v=638776742590400000" TargetMode="External"/><Relationship Id="rId370" Type="http://schemas.openxmlformats.org/officeDocument/2006/relationships/hyperlink" Target="https://jumbocl.vteximg.com.br/arquivos/ids/632878-250-250/Zapallo-Butternut-Cubo-Organico-500-g.jpg?v=639130807496070000" TargetMode="External"/><Relationship Id="rId230" Type="http://schemas.openxmlformats.org/officeDocument/2006/relationships/hyperlink" Target="https://jumbocl.vteximg.com.br/arquivos/ids/625559-250-250/Granola-Keto-Tradicional-312-g.jpg?v=639123760055470000" TargetMode="External"/><Relationship Id="rId468" Type="http://schemas.openxmlformats.org/officeDocument/2006/relationships/hyperlink" Target="https://jumbocl.vteximg.com.br/arquivos/ids/370127-250-250/Tomates-whitney-340-g.jpg?v=638776780693570000" TargetMode="External"/><Relationship Id="rId25" Type="http://schemas.openxmlformats.org/officeDocument/2006/relationships/hyperlink" Target="https://jumbocl.vteximg.com.br/arquivos/ids/347988-250-250/Principal-9197.jpg?v=638776478803200000" TargetMode="External"/><Relationship Id="rId67" Type="http://schemas.openxmlformats.org/officeDocument/2006/relationships/hyperlink" Target="https://jumbocl.vteximg.com.br/arquivos/ids/359145-250-250/Manzana-Royal-Gala-granel.jpg?v=638776727054170000" TargetMode="External"/><Relationship Id="rId272" Type="http://schemas.openxmlformats.org/officeDocument/2006/relationships/hyperlink" Target="https://jumbocl.vteximg.com.br/arquivos/ids/366337-250-250/Mix-tomate-cherry-500-g.jpg?v=638776763062130000" TargetMode="External"/><Relationship Id="rId328" Type="http://schemas.openxmlformats.org/officeDocument/2006/relationships/hyperlink" Target="https://jumbocl.vteximg.com.br/arquivos/ids/379278-250-250/Almendra-Tostada-700-g.jpg?v=638776818593430000" TargetMode="External"/><Relationship Id="rId535" Type="http://schemas.openxmlformats.org/officeDocument/2006/relationships/hyperlink" Target="https://jumbocl.vteximg.com.br/arquivos/ids/352973-250-250/261065.jpg?v=638776695424570000" TargetMode="External"/><Relationship Id="rId577" Type="http://schemas.openxmlformats.org/officeDocument/2006/relationships/hyperlink" Target="https://jumbocl.vteximg.com.br/arquivos/ids/368030-250-250/Cilantro-organico.jpg?v=638776770729200000" TargetMode="External"/><Relationship Id="rId132" Type="http://schemas.openxmlformats.org/officeDocument/2006/relationships/hyperlink" Target="https://jumbocl.vteximg.com.br/arquivos/ids/347917-250-250/Repollo-blanco-300-g.jpg?v=638776477848100000" TargetMode="External"/><Relationship Id="rId174" Type="http://schemas.openxmlformats.org/officeDocument/2006/relationships/hyperlink" Target="https://jumbocl.vteximg.com.br/arquivos/ids/362220-250-250/Crutones-estilo-c-sar-80-g-1-480543.jpg?v=638776741738400000" TargetMode="External"/><Relationship Id="rId381" Type="http://schemas.openxmlformats.org/officeDocument/2006/relationships/hyperlink" Target="https://jumbocl.vteximg.com.br/arquivos/ids/347912-250-250/Ensalada-Napolitana-Repollo-blanco-y-Zanahoria-Dole-600-g.jpg?v=638776477783400000" TargetMode="External"/><Relationship Id="rId602" Type="http://schemas.openxmlformats.org/officeDocument/2006/relationships/hyperlink" Target="https://jumbocl.vteximg.com.br/arquivos/ids/430030-250-250/ARANDANO-POTE-PRIZE-125-GR.jpg?v=638814687846400000" TargetMode="External"/><Relationship Id="rId241" Type="http://schemas.openxmlformats.org/officeDocument/2006/relationships/hyperlink" Target="https://jumbocl.vteximg.com.br/arquivos/ids/362381-250-250/Damasco-140-g.jpg?v=638776742712700000" TargetMode="External"/><Relationship Id="rId437" Type="http://schemas.openxmlformats.org/officeDocument/2006/relationships/hyperlink" Target="https://jumbocl.vteximg.com.br/arquivos/ids/353054-250-250/574126.jpg?v=638776695798800000" TargetMode="External"/><Relationship Id="rId479" Type="http://schemas.openxmlformats.org/officeDocument/2006/relationships/hyperlink" Target="https://jumbocl.vteximg.com.br/arquivos/ids/355980-250-250/Mixed-baby-greens-organica-150-g.jpg?v=638776709977200000" TargetMode="External"/><Relationship Id="rId36" Type="http://schemas.openxmlformats.org/officeDocument/2006/relationships/hyperlink" Target="https://jumbocl.vteximg.com.br/arquivos/ids/347936-250-250/Mango-granel.jpg?v=638776478112200000" TargetMode="External"/><Relationship Id="rId283" Type="http://schemas.openxmlformats.org/officeDocument/2006/relationships/hyperlink" Target="https://jumbocl.vteximg.com.br/arquivos/ids/357022-250-250/Principal-37729.jpg?v=638776715500770000" TargetMode="External"/><Relationship Id="rId339" Type="http://schemas.openxmlformats.org/officeDocument/2006/relationships/hyperlink" Target="https://jumbocl.vteximg.com.br/arquivos/ids/353057-250-250/1433832.jpg?v=638776695814730000" TargetMode="External"/><Relationship Id="rId490" Type="http://schemas.openxmlformats.org/officeDocument/2006/relationships/hyperlink" Target="https://jumbocl.vteximg.com.br/arquivos/ids/365282-250-250/Mani-tostado-100-g.jpg?v=638776758121130000" TargetMode="External"/><Relationship Id="rId504" Type="http://schemas.openxmlformats.org/officeDocument/2006/relationships/hyperlink" Target="https://jumbocl.vteximg.com.br/arquivos/ids/364932-250-250/Callampa-40-g-1-92801015.jpg?v=638776756516000000" TargetMode="External"/><Relationship Id="rId546" Type="http://schemas.openxmlformats.org/officeDocument/2006/relationships/hyperlink" Target="https://jumbocl.vteximg.com.br/arquivos/ids/353065-250-250/1467544.jpg?v=638776695860000000" TargetMode="External"/><Relationship Id="rId78" Type="http://schemas.openxmlformats.org/officeDocument/2006/relationships/hyperlink" Target="https://jumbocl.vteximg.com.br/arquivos/ids/362358-250-250/Pi%C3%B1a-pelada-un.jpg?v=638776742592930000" TargetMode="External"/><Relationship Id="rId101" Type="http://schemas.openxmlformats.org/officeDocument/2006/relationships/hyperlink" Target="https://jumbocl.vteximg.com.br/arquivos/ids/478129-250-250/Zapallo-Camote-Picado-500-g.jpg?v=638877146451030000" TargetMode="External"/><Relationship Id="rId143" Type="http://schemas.openxmlformats.org/officeDocument/2006/relationships/hyperlink" Target="https://jumbocl.vteximg.com.br/arquivos/ids/347962-250-250/Apio-Juliana-Dole-300-g.jpg?v=638776478455600000" TargetMode="External"/><Relationship Id="rId185" Type="http://schemas.openxmlformats.org/officeDocument/2006/relationships/hyperlink" Target="https://jumbocl.vteximg.com.br/arquivos/ids/362057-250-250/Kale-300-g-1-49649882.jpg?v=638776740839430000" TargetMode="External"/><Relationship Id="rId350" Type="http://schemas.openxmlformats.org/officeDocument/2006/relationships/hyperlink" Target="https://jumbocl.vteximg.com.br/arquivos/ids/353028-250-250/911596.jpg?v=638776695700370000" TargetMode="External"/><Relationship Id="rId406" Type="http://schemas.openxmlformats.org/officeDocument/2006/relationships/hyperlink" Target="https://jumbocl.vteximg.com.br/arquivos/ids/394333-250-250/Casta%C3%B1a-de-Caju-Sin-Sal-350-g.jpg?v=638776878403570000" TargetMode="External"/><Relationship Id="rId588" Type="http://schemas.openxmlformats.org/officeDocument/2006/relationships/hyperlink" Target="https://jumbocl.vteximg.com.br/arquivos/ids/378169-250-250/1906001-KG-01_618102.jpg?v=638776814058470000" TargetMode="External"/><Relationship Id="rId9" Type="http://schemas.openxmlformats.org/officeDocument/2006/relationships/hyperlink" Target="https://jumbocl.vteximg.com.br/arquivos/ids/348057-250-250/Zapallo-italiano-un.jpg?v=638776479756130000" TargetMode="External"/><Relationship Id="rId210" Type="http://schemas.openxmlformats.org/officeDocument/2006/relationships/hyperlink" Target="https://jumbocl.vteximg.com.br/arquivos/ids/368205-250-250/Manzana-organica-900-g.jpg?v=638776771536700000" TargetMode="External"/><Relationship Id="rId392" Type="http://schemas.openxmlformats.org/officeDocument/2006/relationships/hyperlink" Target="https://jumbocl.vteximg.com.br/arquivos/ids/355826-250-250/526521.jpg?v=638776709155100000" TargetMode="External"/><Relationship Id="rId448" Type="http://schemas.openxmlformats.org/officeDocument/2006/relationships/hyperlink" Target="https://jumbocl.vteximg.com.br/arquivos/ids/316628-250-250/Champi%C3%B1on-campestre-400-g.jpg?v=638776409622370000" TargetMode="External"/><Relationship Id="rId613" Type="http://schemas.openxmlformats.org/officeDocument/2006/relationships/hyperlink" Target="https://jumbocl.vteximg.com.br/arquivos/ids/625309-250-250/Salsa-Heinz-Alioli-Squeeze-215-g.jpg?v=639123194125400000" TargetMode="External"/><Relationship Id="rId252" Type="http://schemas.openxmlformats.org/officeDocument/2006/relationships/hyperlink" Target="https://jumbocl.vteximg.com.br/arquivos/ids/347961-250-250/Espinaca-baby-140-g.jpg?v=638776478437600000" TargetMode="External"/><Relationship Id="rId294" Type="http://schemas.openxmlformats.org/officeDocument/2006/relationships/hyperlink" Target="https://jumbocl.vteximg.com.br/arquivos/ids/347915-250-250/Espinaca-Dole-200-g.jpg?v=638776477819000000" TargetMode="External"/><Relationship Id="rId308" Type="http://schemas.openxmlformats.org/officeDocument/2006/relationships/hyperlink" Target="https://jumbocl.vteximg.com.br/arquivos/ids/384551-250-250/Pasta-Ajo-Negro-Chilote-125-g.jpg?v=638776840668000000" TargetMode="External"/><Relationship Id="rId515" Type="http://schemas.openxmlformats.org/officeDocument/2006/relationships/hyperlink" Target="https://jumbocl.vteximg.com.br/arquivos/ids/380011-250-250/HUES-GRA-700G-C-.jpg?v=638776821424470000" TargetMode="External"/><Relationship Id="rId47" Type="http://schemas.openxmlformats.org/officeDocument/2006/relationships/hyperlink" Target="https://jumbocl.vteximg.com.br/arquivos/ids/352983-250-250/976123-KG-1.jpg?v=638776695492800000" TargetMode="External"/><Relationship Id="rId89" Type="http://schemas.openxmlformats.org/officeDocument/2006/relationships/hyperlink" Target="https://jumbocl.vteximg.com.br/arquivos/ids/625637-250-250/Colaciones-Snack-Tikititos-5-un-30-g.jpg?v=639123760368730000" TargetMode="External"/><Relationship Id="rId112" Type="http://schemas.openxmlformats.org/officeDocument/2006/relationships/hyperlink" Target="https://jumbocl.vteximg.com.br/arquivos/ids/372088-250-250/Pi%C3%B1a-rodaja-500-g.jpg?v=638776789882170000" TargetMode="External"/><Relationship Id="rId154" Type="http://schemas.openxmlformats.org/officeDocument/2006/relationships/hyperlink" Target="https://jumbocl.vteximg.com.br/arquivos/ids/366246-250-250/Retardador-de-descomposicion-de-vegetales-Veggy-Fresh.jpg?v=638776762668500000" TargetMode="External"/><Relationship Id="rId361" Type="http://schemas.openxmlformats.org/officeDocument/2006/relationships/hyperlink" Target="https://jumbocl.vteximg.com.br/arquivos/ids/347929-250-250/Ensalada-Repollo-Zanahoria-y-Lechuga-Escarola-Genial-600-g.jpg?v=638776478013370000" TargetMode="External"/><Relationship Id="rId557" Type="http://schemas.openxmlformats.org/officeDocument/2006/relationships/hyperlink" Target="https://jumbocl.vteximg.com.br/arquivos/ids/353096-250-250/Ensalada-organica-mix-romano-Vegus-200-g.jpg?v=638776695975070000" TargetMode="External"/><Relationship Id="rId599" Type="http://schemas.openxmlformats.org/officeDocument/2006/relationships/hyperlink" Target="https://jumbocl.vteximg.com.br/arquivos/ids/411304-250-250/Zapallo-Negro-Table-Suggar.jpg?v=638791190272030000" TargetMode="External"/><Relationship Id="rId196" Type="http://schemas.openxmlformats.org/officeDocument/2006/relationships/hyperlink" Target="https://jumbocl.vteximg.com.br/arquivos/ids/347974-250-250/Principal-9181.jpg?v=638776478614370000" TargetMode="External"/><Relationship Id="rId417" Type="http://schemas.openxmlformats.org/officeDocument/2006/relationships/hyperlink" Target="https://jumbocl.vteximg.com.br/arquivos/ids/575032-250-250/Mix-Frutos-Secos-Chocofun-Sembrasol-670-g.jpg?v=639068658866470000" TargetMode="External"/><Relationship Id="rId459" Type="http://schemas.openxmlformats.org/officeDocument/2006/relationships/hyperlink" Target="https://jumbocl.vteximg.com.br/arquivos/ids/347948-250-250/Ciruelas-Sin-Carozo-Surco-250-g.jpg?v=638776478272130000" TargetMode="External"/><Relationship Id="rId16" Type="http://schemas.openxmlformats.org/officeDocument/2006/relationships/hyperlink" Target="https://jumbocl.vteximg.com.br/arquivos/ids/368596-250-250/Pimiento-rojo-extra.jpg?v=638776773409300000" TargetMode="External"/><Relationship Id="rId221" Type="http://schemas.openxmlformats.org/officeDocument/2006/relationships/hyperlink" Target="https://jumbocl.vteximg.com.br/arquivos/ids/347919-250-250/Repollo-Morado-Dole-300-g.jpg?v=638776477869530000" TargetMode="External"/><Relationship Id="rId263" Type="http://schemas.openxmlformats.org/officeDocument/2006/relationships/hyperlink" Target="https://jumbocl.vteximg.com.br/arquivos/ids/347963-250-250/Rucula-Baby-Dole-140-g.jpg?v=638776478471400000" TargetMode="External"/><Relationship Id="rId319" Type="http://schemas.openxmlformats.org/officeDocument/2006/relationships/hyperlink" Target="https://jumbocl.vteximg.com.br/arquivos/ids/323761-250-250/Datil-Sin-Carozo-700-g.jpg?v=638776427125270000" TargetMode="External"/><Relationship Id="rId470" Type="http://schemas.openxmlformats.org/officeDocument/2006/relationships/hyperlink" Target="https://jumbocl.vteximg.com.br/arquivos/ids/563539-250-250/Frutos-Secos-Sembrasol-Delicious-700-g.jpg?v=639038205498730000" TargetMode="External"/><Relationship Id="rId526" Type="http://schemas.openxmlformats.org/officeDocument/2006/relationships/hyperlink" Target="https://jumbocl.vteximg.com.br/arquivos/ids/353118-250-250/Principal-17657.jpg?v=638776696060870000" TargetMode="External"/><Relationship Id="rId58" Type="http://schemas.openxmlformats.org/officeDocument/2006/relationships/hyperlink" Target="https://jumbocl.vteximg.com.br/arquivos/ids/348040-250-250/Tomate-cocktail-pote-250-g.jpg?v=638776479500470000" TargetMode="External"/><Relationship Id="rId123" Type="http://schemas.openxmlformats.org/officeDocument/2006/relationships/hyperlink" Target="https://jumbocl.vteximg.com.br/arquivos/ids/366686-250-250/Mandarina-bolsa-15-kg.jpg?v=638776764261130000" TargetMode="External"/><Relationship Id="rId330" Type="http://schemas.openxmlformats.org/officeDocument/2006/relationships/hyperlink" Target="https://jumbocl.vteximg.com.br/arquivos/ids/556836-250-250/Perejil-Badia-Spices-85-g.jpg?v=639022766336300000" TargetMode="External"/><Relationship Id="rId568" Type="http://schemas.openxmlformats.org/officeDocument/2006/relationships/hyperlink" Target="https://jumbocl.vteximg.com.br/arquivos/ids/360059-250-250/Higos-pote-500-g.jpg?v=638776730970530000" TargetMode="External"/><Relationship Id="rId165" Type="http://schemas.openxmlformats.org/officeDocument/2006/relationships/hyperlink" Target="https://jumbocl.vteximg.com.br/arquivos/ids/648196-250-250/Rabano-Blanco-1-un.jpg?v=639155313529300000" TargetMode="External"/><Relationship Id="rId372" Type="http://schemas.openxmlformats.org/officeDocument/2006/relationships/hyperlink" Target="https://jumbocl.vteximg.com.br/arquivos/ids/380008-250-250/Nuez-Cuarto-700-g.jpg?v=638776821423300000" TargetMode="External"/><Relationship Id="rId428" Type="http://schemas.openxmlformats.org/officeDocument/2006/relationships/hyperlink" Target="https://jumbocl.vteximg.com.br/arquivos/ids/322282-250-250/Manzana-Anillo-Deshidratada-300-g.jpg?v=638776425792530000" TargetMode="External"/><Relationship Id="rId232" Type="http://schemas.openxmlformats.org/officeDocument/2006/relationships/hyperlink" Target="https://jumbocl.vteximg.com.br/arquivos/ids/584720-250-250/Ensalada-Coleslaw-Genial-300-g.jpg?v=639077992073100000" TargetMode="External"/><Relationship Id="rId274" Type="http://schemas.openxmlformats.org/officeDocument/2006/relationships/hyperlink" Target="https://jumbocl.vteximg.com.br/arquivos/ids/353134-250-250/1261601.jpg?v=638776696126530000" TargetMode="External"/><Relationship Id="rId481" Type="http://schemas.openxmlformats.org/officeDocument/2006/relationships/hyperlink" Target="https://jumbocl.vteximg.com.br/arquivos/ids/375592-250-250/1897483-01_612403.jpg?v=638776804319500000" TargetMode="External"/><Relationship Id="rId27" Type="http://schemas.openxmlformats.org/officeDocument/2006/relationships/hyperlink" Target="https://jumbocl.vteximg.com.br/arquivos/ids/502750-250-250/Zapallo-Camote-1-un.jpg?v=638924450982570000" TargetMode="External"/><Relationship Id="rId69" Type="http://schemas.openxmlformats.org/officeDocument/2006/relationships/hyperlink" Target="https://jumbocl.vteximg.com.br/arquivos/ids/363388-250-250/Bolsa-de-papas-mixtas-650-g-1-95674865.jpg?v=638776748026230000" TargetMode="External"/><Relationship Id="rId134" Type="http://schemas.openxmlformats.org/officeDocument/2006/relationships/hyperlink" Target="https://jumbocl.vteximg.com.br/arquivos/ids/586818-250-250/1057035-KG-01_96168.jpg?v=639083263089070000" TargetMode="External"/><Relationship Id="rId537" Type="http://schemas.openxmlformats.org/officeDocument/2006/relationships/hyperlink" Target="https://jumbocl.vteximg.com.br/arquivos/ids/606362-250-250/Mango-ataulfo-granel.jpg?v=639104937058500000" TargetMode="External"/><Relationship Id="rId579" Type="http://schemas.openxmlformats.org/officeDocument/2006/relationships/hyperlink" Target="https://jumbocl.vteximg.com.br/arquivos/ids/368422-250-250/Tallarines-de-zanahoria-400-g.jpg?v=638776772551300000" TargetMode="External"/><Relationship Id="rId80" Type="http://schemas.openxmlformats.org/officeDocument/2006/relationships/hyperlink" Target="https://jumbocl.vteximg.com.br/arquivos/ids/501313-250-250/Lechuga-Lollo-Rossa-Hidroponica-1-un.jpg?v=638920188551070000" TargetMode="External"/><Relationship Id="rId176" Type="http://schemas.openxmlformats.org/officeDocument/2006/relationships/hyperlink" Target="https://jumbocl.vteximg.com.br/arquivos/ids/348006-250-250/260618.jpg?v=638776479070570000" TargetMode="External"/><Relationship Id="rId341" Type="http://schemas.openxmlformats.org/officeDocument/2006/relationships/hyperlink" Target="https://jumbocl.vteximg.com.br/arquivos/ids/366863-250-250/Berro-baby-listo-para-servir-bandeja-120-g-1-156009288.jpg?v=638776765194230000" TargetMode="External"/><Relationship Id="rId383" Type="http://schemas.openxmlformats.org/officeDocument/2006/relationships/hyperlink" Target="https://jumbocl.vteximg.com.br/arquivos/ids/501401-250-250/Hojas-Verdes.jpg?v=638920188710930000" TargetMode="External"/><Relationship Id="rId439" Type="http://schemas.openxmlformats.org/officeDocument/2006/relationships/hyperlink" Target="https://jumbocl.vteximg.com.br/arquivos/ids/353137-250-250/1614535.jpg?v=638776696140070000" TargetMode="External"/><Relationship Id="rId590" Type="http://schemas.openxmlformats.org/officeDocument/2006/relationships/hyperlink" Target="https://jumbocl.vteximg.com.br/arquivos/ids/315391-250-250/Tomate-uva-organico-250-g.jpg?v=638776405123670000" TargetMode="External"/><Relationship Id="rId604" Type="http://schemas.openxmlformats.org/officeDocument/2006/relationships/hyperlink" Target="https://jumbocl.vteximg.com.br/arquivos/ids/496747-250-250/Manzana-Fuji-bolsa-1-kilo.jpg?v=638912151795570000" TargetMode="External"/><Relationship Id="rId201" Type="http://schemas.openxmlformats.org/officeDocument/2006/relationships/hyperlink" Target="https://jumbocl.vteximg.com.br/arquivos/ids/366993-250-250/Mix-cajuna-700-g-1-183513418.jpg?v=638776765787970000" TargetMode="External"/><Relationship Id="rId243" Type="http://schemas.openxmlformats.org/officeDocument/2006/relationships/hyperlink" Target="https://jumbocl.vteximg.com.br/arquivos/ids/366996-250-250/Mix-frutos-del-bosque-700-g-1-183513417.jpg?v=638776765794870000" TargetMode="External"/><Relationship Id="rId285" Type="http://schemas.openxmlformats.org/officeDocument/2006/relationships/hyperlink" Target="https://jumbocl.vteximg.com.br/arquivos/ids/353078-250-250/Rucula-Organica-Vegus-200-g.jpg?v=638776695915230000" TargetMode="External"/><Relationship Id="rId450" Type="http://schemas.openxmlformats.org/officeDocument/2006/relationships/hyperlink" Target="https://jumbocl.vteximg.com.br/arquivos/ids/347967-250-250/1261604.jpg?v=638776478522030000" TargetMode="External"/><Relationship Id="rId506" Type="http://schemas.openxmlformats.org/officeDocument/2006/relationships/hyperlink" Target="https://jumbocl.vteximg.com.br/arquivos/ids/380015-250-250/Semilla-Linaza-700-g.jpg?v=638776821441100000" TargetMode="External"/><Relationship Id="rId38" Type="http://schemas.openxmlformats.org/officeDocument/2006/relationships/hyperlink" Target="https://jumbocl.vteximg.com.br/arquivos/ids/348016-250-250/Lechuga-escarola-bandeja-2-un.jpg?v=638776479191200000" TargetMode="External"/><Relationship Id="rId103" Type="http://schemas.openxmlformats.org/officeDocument/2006/relationships/hyperlink" Target="https://jumbocl.vteximg.com.br/arquivos/ids/489469-250-250/Ensalada-Repollo-y-Zanahoria-300-g.jpg?v=638900483970970000" TargetMode="External"/><Relationship Id="rId310" Type="http://schemas.openxmlformats.org/officeDocument/2006/relationships/hyperlink" Target="https://jumbocl.vteximg.com.br/arquivos/ids/315825-250-250/Mix-Natural-Tostado-700-g.jpg?v=638776406543900000" TargetMode="External"/><Relationship Id="rId492" Type="http://schemas.openxmlformats.org/officeDocument/2006/relationships/hyperlink" Target="https://jumbocl.vteximg.com.br/arquivos/ids/380014-250-250/PIST-CC-SS-500-C-.jpg?v=638776821440630000" TargetMode="External"/><Relationship Id="rId548" Type="http://schemas.openxmlformats.org/officeDocument/2006/relationships/hyperlink" Target="https://jumbocl.vteximg.com.br/arquivos/ids/304106-250-250/Arandanos-organicos-120-g.jpg?v=638776378998770000" TargetMode="External"/><Relationship Id="rId91" Type="http://schemas.openxmlformats.org/officeDocument/2006/relationships/hyperlink" Target="https://jumbocl.vteximg.com.br/arquivos/ids/489464-250-250/Ensalada-Toscana-300-g.jpg?v=638900483946600000" TargetMode="External"/><Relationship Id="rId145" Type="http://schemas.openxmlformats.org/officeDocument/2006/relationships/hyperlink" Target="https://jumbocl.vteximg.com.br/arquivos/ids/489468-250-250/Ensalada-Repollo-Blanco-300-g.jpg?v=638900483961670000" TargetMode="External"/><Relationship Id="rId187" Type="http://schemas.openxmlformats.org/officeDocument/2006/relationships/hyperlink" Target="https://jumbocl.vteximg.com.br/arquivos/ids/368581-250-250/Mix-vegetales-asiaticos-Rapilistas-50-g.jpg?v=638776773332570000" TargetMode="External"/><Relationship Id="rId352" Type="http://schemas.openxmlformats.org/officeDocument/2006/relationships/hyperlink" Target="https://jumbocl.vteximg.com.br/arquivos/ids/366057-250-250/Datil-100-g-1-92801017.jpg?v=638776761867470000" TargetMode="External"/><Relationship Id="rId394" Type="http://schemas.openxmlformats.org/officeDocument/2006/relationships/hyperlink" Target="https://jumbocl.vteximg.com.br/arquivos/ids/299733-250-250/Salsa-Para-Untar-Gourmet-Yoghurt-y-Ciboulette-200-g.jpg?v=638776370977330000" TargetMode="External"/><Relationship Id="rId408" Type="http://schemas.openxmlformats.org/officeDocument/2006/relationships/hyperlink" Target="https://jumbocl.vteximg.com.br/arquivos/ids/488608-250-250/MANZANA-DESHI-80GR.jpg?v=638894864798830000" TargetMode="External"/><Relationship Id="rId212" Type="http://schemas.openxmlformats.org/officeDocument/2006/relationships/hyperlink" Target="https://jumbocl.vteximg.com.br/arquivos/ids/347928-250-250/Ensalada-Repollo-Zanahoria-y-Lechuga-Escarola-Genial-300-g.jpg?v=638776477997570000" TargetMode="External"/><Relationship Id="rId254" Type="http://schemas.openxmlformats.org/officeDocument/2006/relationships/hyperlink" Target="https://jumbocl.vteximg.com.br/arquivos/ids/353009-250-250/1342051.jpg?v=638776695623800000" TargetMode="External"/><Relationship Id="rId49" Type="http://schemas.openxmlformats.org/officeDocument/2006/relationships/hyperlink" Target="https://jumbocl.vteximg.com.br/arquivos/ids/347996-250-250/Cebolla-malla-1-kg.jpg?v=638776478908130000" TargetMode="External"/><Relationship Id="rId114" Type="http://schemas.openxmlformats.org/officeDocument/2006/relationships/hyperlink" Target="https://jumbocl.vteximg.com.br/arquivos/ids/348011-250-250/260641.jpg?v=638776479129700000" TargetMode="External"/><Relationship Id="rId296" Type="http://schemas.openxmlformats.org/officeDocument/2006/relationships/hyperlink" Target="https://jumbocl.vteximg.com.br/arquivos/ids/348002-250-250/296675.jpg?v=638776479018530000" TargetMode="External"/><Relationship Id="rId461" Type="http://schemas.openxmlformats.org/officeDocument/2006/relationships/hyperlink" Target="https://jumbocl.vteximg.com.br/arquivos/ids/368012-250-250/Apio-baston-bolsa-org-500-gr-1-441408.jpg?v=638776770638130000" TargetMode="External"/><Relationship Id="rId517" Type="http://schemas.openxmlformats.org/officeDocument/2006/relationships/hyperlink" Target="https://jumbocl.vteximg.com.br/arquivos/ids/311657-250-250/Tomates-Deshidratados-150-g.jpg?v=638776394303800000" TargetMode="External"/><Relationship Id="rId559" Type="http://schemas.openxmlformats.org/officeDocument/2006/relationships/hyperlink" Target="https://jumbocl.vteximg.com.br/arquivos/ids/353149-250-250/1651598.jpg?v=638776696185700000" TargetMode="External"/><Relationship Id="rId60" Type="http://schemas.openxmlformats.org/officeDocument/2006/relationships/hyperlink" Target="https://jumbocl.vteximg.com.br/arquivos/ids/348005-250-250/Choclo-4-un.jpg?v=638776479056900000" TargetMode="External"/><Relationship Id="rId156" Type="http://schemas.openxmlformats.org/officeDocument/2006/relationships/hyperlink" Target="https://jumbocl.vteximg.com.br/arquivos/ids/297650-250-250/Menta-bandeja-30-g.jpg?v=638775741774930000" TargetMode="External"/><Relationship Id="rId198" Type="http://schemas.openxmlformats.org/officeDocument/2006/relationships/hyperlink" Target="https://jumbocl.vteximg.com.br/arquivos/ids/366994-250-250/Mix-puro-nuts-700-g-1-183513420.jpg?v=638776765794570000" TargetMode="External"/><Relationship Id="rId321" Type="http://schemas.openxmlformats.org/officeDocument/2006/relationships/hyperlink" Target="https://jumbocl.vteximg.com.br/arquivos/ids/376667-250-250/Tomate-cocktail-amarillo-250-g.jpg?v=638776808582670000" TargetMode="External"/><Relationship Id="rId363" Type="http://schemas.openxmlformats.org/officeDocument/2006/relationships/hyperlink" Target="https://jumbocl.vteximg.com.br/arquivos/ids/347926-250-250/Ensalada-de-Repollo-Morado-Genial-300-g.jpg?v=638776477967570000" TargetMode="External"/><Relationship Id="rId419" Type="http://schemas.openxmlformats.org/officeDocument/2006/relationships/hyperlink" Target="https://jumbocl.vteximg.com.br/arquivos/ids/330634-250-250/Corazon-de-Costina-Duo-Color.jpg?v=638776432572630000" TargetMode="External"/><Relationship Id="rId570" Type="http://schemas.openxmlformats.org/officeDocument/2006/relationships/hyperlink" Target="https://jumbocl.vteximg.com.br/arquivos/ids/360213-250-250/Principal-441249.jpg?v=638776731677100000" TargetMode="External"/><Relationship Id="rId223" Type="http://schemas.openxmlformats.org/officeDocument/2006/relationships/hyperlink" Target="https://jumbocl.vteximg.com.br/arquivos/ids/368365-250-250/Berro-50-g.jpg?v=638776772200970000" TargetMode="External"/><Relationship Id="rId430" Type="http://schemas.openxmlformats.org/officeDocument/2006/relationships/hyperlink" Target="https://jumbocl.vteximg.com.br/arquivos/ids/362363-250-250/Champi%C3%B1on-portobello-400-g.jpg?v=638776742625130000" TargetMode="External"/><Relationship Id="rId18" Type="http://schemas.openxmlformats.org/officeDocument/2006/relationships/hyperlink" Target="https://jumbocl.vteximg.com.br/arquivos/ids/196761-250-250/Cebolla-3-unid.jpg?v=638682284728400000" TargetMode="External"/><Relationship Id="rId265" Type="http://schemas.openxmlformats.org/officeDocument/2006/relationships/hyperlink" Target="https://jumbocl.vteximg.com.br/arquivos/ids/379282-250-250/Mix-Frutos-Secos-y-Semillas-700-g.jpg?v=638776818618330000" TargetMode="External"/><Relationship Id="rId472" Type="http://schemas.openxmlformats.org/officeDocument/2006/relationships/hyperlink" Target="https://jumbocl.vteximg.com.br/arquivos/ids/353053-250-250/1497668.jpg?v=638776695797100000" TargetMode="External"/><Relationship Id="rId528" Type="http://schemas.openxmlformats.org/officeDocument/2006/relationships/hyperlink" Target="https://jumbocl.vteximg.com.br/arquivos/ids/353135-250-250/1261598.jpg?v=638776696137000000" TargetMode="External"/><Relationship Id="rId125" Type="http://schemas.openxmlformats.org/officeDocument/2006/relationships/hyperlink" Target="https://jumbocl.vteximg.com.br/arquivos/ids/502890-250-250/Cebolla-Crujiente-Ligeramente-Salada-80-g.jpg?v=638924452010370000" TargetMode="External"/><Relationship Id="rId167" Type="http://schemas.openxmlformats.org/officeDocument/2006/relationships/hyperlink" Target="https://jumbocl.vteximg.com.br/arquivos/ids/347989-250-250/Alcachofa-espa%C3%B1ola-unid.jpg?v=638776478814370000" TargetMode="External"/><Relationship Id="rId332" Type="http://schemas.openxmlformats.org/officeDocument/2006/relationships/hyperlink" Target="https://jumbocl.vteximg.com.br/arquivos/ids/359459-250-250/Principal-4411212.jpg?v=638776728298370000" TargetMode="External"/><Relationship Id="rId374" Type="http://schemas.openxmlformats.org/officeDocument/2006/relationships/hyperlink" Target="https://jumbocl.vteximg.com.br/arquivos/ids/355672-250-250/Principal-24388.jpg?v=638776708355300000" TargetMode="External"/><Relationship Id="rId581" Type="http://schemas.openxmlformats.org/officeDocument/2006/relationships/hyperlink" Target="https://jumbocl.vteximg.com.br/arquivos/ids/369574-250-250/1822856-01_566496.jpg?v=638776777951430000" TargetMode="External"/><Relationship Id="rId71" Type="http://schemas.openxmlformats.org/officeDocument/2006/relationships/hyperlink" Target="https://jumbocl.vteximg.com.br/arquivos/ids/361208-250-250/1555311.jpg?v=638776736082200000" TargetMode="External"/><Relationship Id="rId234" Type="http://schemas.openxmlformats.org/officeDocument/2006/relationships/hyperlink" Target="https://jumbocl.vteximg.com.br/arquivos/ids/473807-250-250/Kiwi-Amarillo-en-Pote-500-g.jpg?v=638872408800830000" TargetMode="External"/><Relationship Id="rId2" Type="http://schemas.openxmlformats.org/officeDocument/2006/relationships/hyperlink" Target="https://jumbocl.vteximg.com.br/arquivos/ids/350892-250-250/Platano-granel.jpg?v=638776683161100000" TargetMode="External"/><Relationship Id="rId29" Type="http://schemas.openxmlformats.org/officeDocument/2006/relationships/hyperlink" Target="https://jumbocl.vteximg.com.br/arquivos/ids/357725-250-250/Kiwi-exportacion-granel.jpg?v=638776720501930000" TargetMode="External"/><Relationship Id="rId276" Type="http://schemas.openxmlformats.org/officeDocument/2006/relationships/hyperlink" Target="https://jumbocl.vteximg.com.br/arquivos/ids/379281-250-250/Mix-Puro-Nuts-700-g.jpg?v=638776818616630000" TargetMode="External"/><Relationship Id="rId441" Type="http://schemas.openxmlformats.org/officeDocument/2006/relationships/hyperlink" Target="https://jumbocl.vteximg.com.br/arquivos/ids/356590-250-250/1550296.jpg?v=638776713413670000" TargetMode="External"/><Relationship Id="rId483" Type="http://schemas.openxmlformats.org/officeDocument/2006/relationships/hyperlink" Target="https://jumbocl.vteximg.com.br/arquivos/ids/353107-250-250/Spring-mix-salad-organica-150-g.jpg?v=638776696017630000" TargetMode="External"/><Relationship Id="rId539" Type="http://schemas.openxmlformats.org/officeDocument/2006/relationships/hyperlink" Target="https://jumbocl.vteximg.com.br/arquivos/ids/304047-250-250/Palta-Hass-Organica-900-g.jpg?v=638776378708870000" TargetMode="External"/><Relationship Id="rId40" Type="http://schemas.openxmlformats.org/officeDocument/2006/relationships/hyperlink" Target="https://jumbocl.vteximg.com.br/arquivos/ids/520083-250-250/Espinaca-en-Bolsa-280-g.jpg?v=638950957344570000" TargetMode="External"/><Relationship Id="rId136" Type="http://schemas.openxmlformats.org/officeDocument/2006/relationships/hyperlink" Target="https://jumbocl.vteximg.com.br/arquivos/ids/445444-250-250/Salad-Kit-Asiatica-300-g.jpg?v=638839631370330000" TargetMode="External"/><Relationship Id="rId178" Type="http://schemas.openxmlformats.org/officeDocument/2006/relationships/hyperlink" Target="https://jumbocl.vteximg.com.br/arquivos/ids/473840-250-250/Naranja-Kiwi-Pi%C3%B1a-400-g.jpg?v=638872408988630000" TargetMode="External"/><Relationship Id="rId301" Type="http://schemas.openxmlformats.org/officeDocument/2006/relationships/hyperlink" Target="https://jumbocl.vteximg.com.br/arquivos/ids/368029-250-250/Albahaca-organica-un.jpg?v=638776770728730000" TargetMode="External"/><Relationship Id="rId343" Type="http://schemas.openxmlformats.org/officeDocument/2006/relationships/hyperlink" Target="https://jumbocl.vteximg.com.br/arquivos/ids/347933-250-250/Repollo-Blanco-Genial-300-g.jpg?v=638776478072470000" TargetMode="External"/><Relationship Id="rId550" Type="http://schemas.openxmlformats.org/officeDocument/2006/relationships/hyperlink" Target="https://jumbocl.vteximg.com.br/arquivos/ids/353138-250-250/Lechuga-costina-organica-unid.jpg?v=638776696143800000" TargetMode="External"/><Relationship Id="rId82" Type="http://schemas.openxmlformats.org/officeDocument/2006/relationships/hyperlink" Target="https://jumbocl.vteximg.com.br/arquivos/ids/353018-250-250/Lechuga-francesa-unid.jpg?v=638776695658070000" TargetMode="External"/><Relationship Id="rId203" Type="http://schemas.openxmlformats.org/officeDocument/2006/relationships/hyperlink" Target="https://jumbocl.vteximg.com.br/arquivos/ids/388494-250-250/NUECES-EN-TROZO.jpg?v=638776856049600000" TargetMode="External"/><Relationship Id="rId385" Type="http://schemas.openxmlformats.org/officeDocument/2006/relationships/hyperlink" Target="https://jumbocl.vteximg.com.br/arquivos/ids/368034-250-250/Oregano-organico.jpg?v=638776770747230000" TargetMode="External"/><Relationship Id="rId592" Type="http://schemas.openxmlformats.org/officeDocument/2006/relationships/hyperlink" Target="https://jumbocl.vteximg.com.br/arquivos/ids/315893-250-250/Aji-organico-200-g.jpg?v=638776406849370000" TargetMode="External"/><Relationship Id="rId606" Type="http://schemas.openxmlformats.org/officeDocument/2006/relationships/hyperlink" Target="https://jumbocl.vteximg.com.br/arquivos/ids/532267-250-250/Lechuga-Butterhead-Feria-Organica-1-un.jpg?v=638979413945030000" TargetMode="External"/><Relationship Id="rId245" Type="http://schemas.openxmlformats.org/officeDocument/2006/relationships/hyperlink" Target="https://jumbocl.vteximg.com.br/arquivos/ids/368028-250-250/Menta-organica.jpg?v=638776770728400000" TargetMode="External"/><Relationship Id="rId287" Type="http://schemas.openxmlformats.org/officeDocument/2006/relationships/hyperlink" Target="https://jumbocl.vteximg.com.br/arquivos/ids/399239-250-250/Ciruela-Deshidratada-Snack-3-un.jpg?v=638776897011400000" TargetMode="External"/><Relationship Id="rId410" Type="http://schemas.openxmlformats.org/officeDocument/2006/relationships/hyperlink" Target="https://jumbocl.vteximg.com.br/arquivos/ids/379283-250-250/Mix-Frutos-Del-Bosque-700-g.jpg?v=638776818618670000" TargetMode="External"/><Relationship Id="rId452" Type="http://schemas.openxmlformats.org/officeDocument/2006/relationships/hyperlink" Target="https://jumbocl.vteximg.com.br/arquivos/ids/643995-250-250/Salsa-Kraft-Spicy-Honey-Barbecue-Botella-510-g.jpg?v=639150632988300000" TargetMode="External"/><Relationship Id="rId494" Type="http://schemas.openxmlformats.org/officeDocument/2006/relationships/hyperlink" Target="https://jumbocl.vteximg.com.br/arquivos/ids/364974-250-250/Pasas-rubias-100-g.jpg?v=638776756718630000" TargetMode="External"/><Relationship Id="rId508" Type="http://schemas.openxmlformats.org/officeDocument/2006/relationships/hyperlink" Target="https://jumbocl.vteximg.com.br/arquivos/ids/380012-250-250/Nuez-Mariposa-Light-700-g.jpg?v=638776821424630000" TargetMode="External"/><Relationship Id="rId105" Type="http://schemas.openxmlformats.org/officeDocument/2006/relationships/hyperlink" Target="https://jumbocl.vteximg.com.br/arquivos/ids/489473-250-250/Ensalada-Apio-Media-Luna-600-g.jpg?v=638900483995700000" TargetMode="External"/><Relationship Id="rId147" Type="http://schemas.openxmlformats.org/officeDocument/2006/relationships/hyperlink" Target="https://jumbocl.vteximg.com.br/arquivos/ids/445448-250-250/Salad-Kit-Italiana-300-g.jpg?v=638839631388730000" TargetMode="External"/><Relationship Id="rId312" Type="http://schemas.openxmlformats.org/officeDocument/2006/relationships/hyperlink" Target="https://jumbocl.vteximg.com.br/arquivos/ids/394335-250-250/Ciruela-Sin-Carozo-250-g.jpg?v=638776878405900000" TargetMode="External"/><Relationship Id="rId354" Type="http://schemas.openxmlformats.org/officeDocument/2006/relationships/hyperlink" Target="https://jumbocl.vteximg.com.br/arquivos/ids/323800-250-250/Semilla-de-Amapola-300-g.jpg?v=638776427160670000" TargetMode="External"/><Relationship Id="rId51" Type="http://schemas.openxmlformats.org/officeDocument/2006/relationships/hyperlink" Target="https://jumbocl.vteximg.com.br/arquivos/ids/348037-250-250/Tomate-cherry-clamshell-500-g.jpg?v=638776479470800000" TargetMode="External"/><Relationship Id="rId93" Type="http://schemas.openxmlformats.org/officeDocument/2006/relationships/hyperlink" Target="https://jumbocl.vteximg.com.br/arquivos/ids/625194-250-250/Papa-Mini-650-g.jpg?v=639123193794100000" TargetMode="External"/><Relationship Id="rId189" Type="http://schemas.openxmlformats.org/officeDocument/2006/relationships/hyperlink" Target="https://jumbocl.vteximg.com.br/arquivos/ids/352968-250-250/261172.jpg?v=638776695363000000" TargetMode="External"/><Relationship Id="rId396" Type="http://schemas.openxmlformats.org/officeDocument/2006/relationships/hyperlink" Target="https://jumbocl.vteximg.com.br/arquivos/ids/584711-250-250/Cebollin-Feria-Organico-3-un.jpg?v=639077992060600000" TargetMode="External"/><Relationship Id="rId561" Type="http://schemas.openxmlformats.org/officeDocument/2006/relationships/hyperlink" Target="https://jumbocl.vteximg.com.br/arquivos/ids/355669-250-250/Hinojo-un.jpg?v=638776708340400000" TargetMode="External"/><Relationship Id="rId214" Type="http://schemas.openxmlformats.org/officeDocument/2006/relationships/hyperlink" Target="https://jumbocl.vteximg.com.br/arquivos/ids/633302-250-250/Lechuga-Milanesa.jpg?v=639130808412600000" TargetMode="External"/><Relationship Id="rId256" Type="http://schemas.openxmlformats.org/officeDocument/2006/relationships/hyperlink" Target="https://jumbocl.vteximg.com.br/arquivos/ids/368354-250-250/Espinaca-50-g.jpg?v=638776772168000000" TargetMode="External"/><Relationship Id="rId298" Type="http://schemas.openxmlformats.org/officeDocument/2006/relationships/hyperlink" Target="https://jumbocl.vteximg.com.br/arquivos/ids/376681-250-250/Zuchinni-kg.jpg?v=638776808637230000" TargetMode="External"/><Relationship Id="rId421" Type="http://schemas.openxmlformats.org/officeDocument/2006/relationships/hyperlink" Target="https://jumbocl.vteximg.com.br/arquivos/ids/423189-250-250/Aji-cacho-de-cabra-deshidratado-50-g.jpg?v=638809594921570000" TargetMode="External"/><Relationship Id="rId463" Type="http://schemas.openxmlformats.org/officeDocument/2006/relationships/hyperlink" Target="https://jumbocl.vteximg.com.br/arquivos/ids/304152-250-250/Melisa-6-g.jpg?v=638776379261700000" TargetMode="External"/><Relationship Id="rId519" Type="http://schemas.openxmlformats.org/officeDocument/2006/relationships/hyperlink" Target="https://jumbocl.vteximg.com.br/arquivos/ids/363917-250-250/Huesillos-1-kg.jpg?v=638776751185100000" TargetMode="External"/><Relationship Id="rId116" Type="http://schemas.openxmlformats.org/officeDocument/2006/relationships/hyperlink" Target="https://jumbocl.vteximg.com.br/arquivos/ids/355301-250-250/1690609.jpg?v=638776706265970000" TargetMode="External"/><Relationship Id="rId158" Type="http://schemas.openxmlformats.org/officeDocument/2006/relationships/hyperlink" Target="https://jumbocl.vteximg.com.br/arquivos/ids/648194-250-250/Endibias-250-g.jpg?v=639155313513030000" TargetMode="External"/><Relationship Id="rId323" Type="http://schemas.openxmlformats.org/officeDocument/2006/relationships/hyperlink" Target="https://jumbocl.vteximg.com.br/arquivos/ids/369636-250-250/1856969-01_462590.jpg?v=638776778317600000" TargetMode="External"/><Relationship Id="rId530" Type="http://schemas.openxmlformats.org/officeDocument/2006/relationships/hyperlink" Target="https://jumbocl.vteximg.com.br/arquivos/ids/368420-250-250/Tallarines-de-betarraga-400-g.jpg?v=638776772550800000" TargetMode="External"/><Relationship Id="rId20" Type="http://schemas.openxmlformats.org/officeDocument/2006/relationships/hyperlink" Target="https://jumbocl.vteximg.com.br/arquivos/ids/568145-250-250/Platano-Organico-1-kg.jpg?v=639046839483100000" TargetMode="External"/><Relationship Id="rId62" Type="http://schemas.openxmlformats.org/officeDocument/2006/relationships/hyperlink" Target="https://jumbocl.vteximg.com.br/arquivos/ids/348015-250-250/260774.jpg?v=638776479178500000" TargetMode="External"/><Relationship Id="rId365" Type="http://schemas.openxmlformats.org/officeDocument/2006/relationships/hyperlink" Target="https://jumbocl.vteximg.com.br/arquivos/ids/352971-250-250/Chirimoya-granel.jpg?v=638776695422370000" TargetMode="External"/><Relationship Id="rId572" Type="http://schemas.openxmlformats.org/officeDocument/2006/relationships/hyperlink" Target="https://jumbocl.vteximg.com.br/arquivos/ids/362210-250-250/Mora-Jumbo-pote-125-g-1-214072.jpg?v=638776741689870000" TargetMode="External"/><Relationship Id="rId225" Type="http://schemas.openxmlformats.org/officeDocument/2006/relationships/hyperlink" Target="https://jumbocl.vteximg.com.br/arquivos/ids/353089-250-250/Papa-organica-bolsa-900-g.jpg?v=638776695946300000" TargetMode="External"/><Relationship Id="rId267" Type="http://schemas.openxmlformats.org/officeDocument/2006/relationships/hyperlink" Target="https://jumbocl.vteximg.com.br/arquivos/ids/393366-250-250/Zanahoria-Baby-454-g.jpg?v=638776874340130000" TargetMode="External"/><Relationship Id="rId432" Type="http://schemas.openxmlformats.org/officeDocument/2006/relationships/hyperlink" Target="https://jumbocl.vteximg.com.br/arquivos/ids/353092-250-250/Principal-17627.jpg?v=638776695956600000" TargetMode="External"/><Relationship Id="rId474" Type="http://schemas.openxmlformats.org/officeDocument/2006/relationships/hyperlink" Target="https://jumbocl.vteximg.com.br/arquivos/ids/563535-250-250/Mix-Frutos-Secos-Sembrasol-Happy-800-g.jpg?v=639038205472070000" TargetMode="External"/><Relationship Id="rId127" Type="http://schemas.openxmlformats.org/officeDocument/2006/relationships/hyperlink" Target="https://jumbocl.vteximg.com.br/arquivos/ids/353163-250-250/Corazones-de-Apio-Dole-2-unid.jpg?v=638776696231330000" TargetMode="External"/><Relationship Id="rId31" Type="http://schemas.openxmlformats.org/officeDocument/2006/relationships/hyperlink" Target="https://jumbocl.vteximg.com.br/arquivos/ids/414538-250-250/2032557-05_706290.jpg?v=638799184829500000" TargetMode="External"/><Relationship Id="rId73" Type="http://schemas.openxmlformats.org/officeDocument/2006/relationships/hyperlink" Target="https://jumbocl.vteximg.com.br/arquivos/ids/348052-250-250/1027562-KG.jpg?v=638776479685000000" TargetMode="External"/><Relationship Id="rId169" Type="http://schemas.openxmlformats.org/officeDocument/2006/relationships/hyperlink" Target="https://jumbocl.vteximg.com.br/arquivos/ids/489474-250-250/Berro-Hidroponico-200-g.jpg?v=638900484006600000" TargetMode="External"/><Relationship Id="rId334" Type="http://schemas.openxmlformats.org/officeDocument/2006/relationships/hyperlink" Target="https://jumbocl.vteximg.com.br/arquivos/ids/365277-250-250/Pistachos-sin-cascara-100-g-1-92801021.jpg?v=638776758067370000" TargetMode="External"/><Relationship Id="rId376" Type="http://schemas.openxmlformats.org/officeDocument/2006/relationships/hyperlink" Target="https://jumbocl.vteximg.com.br/arquivos/ids/355661-250-250/Principal-24379.jpg?v=638776708305300000" TargetMode="External"/><Relationship Id="rId541" Type="http://schemas.openxmlformats.org/officeDocument/2006/relationships/hyperlink" Target="https://jumbocl.vteximg.com.br/arquivos/ids/352966-250-250/1580859-01.png?v=638776695361270000" TargetMode="External"/><Relationship Id="rId583" Type="http://schemas.openxmlformats.org/officeDocument/2006/relationships/hyperlink" Target="https://jumbocl.vteximg.com.br/arquivos/ids/370137-250-250/Lechuga-mini-2-un.jpg?v=638776780750130000" TargetMode="External"/><Relationship Id="rId4" Type="http://schemas.openxmlformats.org/officeDocument/2006/relationships/hyperlink" Target="https://jumbocl.vteximg.com.br/arquivos/ids/348025-250-250/Papa-malla-2-kg.jpg?v=638776479317000000" TargetMode="External"/><Relationship Id="rId180" Type="http://schemas.openxmlformats.org/officeDocument/2006/relationships/hyperlink" Target="https://jumbocl.vteximg.com.br/arquivos/ids/587780-250-250/Lechuga-Lollo-Bionda-Hidroponica-1-un.jpg?v=639084032327900000" TargetMode="External"/><Relationship Id="rId236" Type="http://schemas.openxmlformats.org/officeDocument/2006/relationships/hyperlink" Target="https://jumbocl.vteximg.com.br/arquivos/ids/356278-250-250/Principal-39297.jpg?v=638776711615330000" TargetMode="External"/><Relationship Id="rId278" Type="http://schemas.openxmlformats.org/officeDocument/2006/relationships/hyperlink" Target="https://jumbocl.vteximg.com.br/arquivos/ids/362357-250-250/1054606-KG-01_70621.jpg?v=638776742592100000" TargetMode="External"/><Relationship Id="rId401" Type="http://schemas.openxmlformats.org/officeDocument/2006/relationships/hyperlink" Target="https://jumbocl.vteximg.com.br/arquivos/ids/379284-250-250/Mani-Tostado-700-g.jpg?v=638776818619430000" TargetMode="External"/><Relationship Id="rId443" Type="http://schemas.openxmlformats.org/officeDocument/2006/relationships/hyperlink" Target="https://jumbocl.vteximg.com.br/arquivos/ids/364930-250-250/Avellana-chilena-100-g.jpg?v=638776756513330000" TargetMode="External"/><Relationship Id="rId303" Type="http://schemas.openxmlformats.org/officeDocument/2006/relationships/hyperlink" Target="https://jumbocl.vteximg.com.br/arquivos/ids/353132-250-250/1616608.jpg?v=638776696122230000" TargetMode="External"/><Relationship Id="rId485" Type="http://schemas.openxmlformats.org/officeDocument/2006/relationships/hyperlink" Target="https://jumbocl.vteximg.com.br/arquivos/ids/364939-250-250/Almendra-natural-100-g.jpg?v=638776756543230000" TargetMode="External"/><Relationship Id="rId42" Type="http://schemas.openxmlformats.org/officeDocument/2006/relationships/hyperlink" Target="https://jumbocl.vteximg.com.br/arquivos/ids/351699-250-250/Acelga-agrosano-500-g.jpg?v=638776686583930000" TargetMode="External"/><Relationship Id="rId84" Type="http://schemas.openxmlformats.org/officeDocument/2006/relationships/hyperlink" Target="https://jumbocl.vteximg.com.br/arquivos/ids/353023-250-250/260619-01_17771.jpg?v=638776695678100000" TargetMode="External"/><Relationship Id="rId138" Type="http://schemas.openxmlformats.org/officeDocument/2006/relationships/hyperlink" Target="https://jumbocl.vteximg.com.br/arquivos/ids/348027-250-250/Papas-Soufle-malla-2-Kg.jpg?v=638776479341230000" TargetMode="External"/><Relationship Id="rId345" Type="http://schemas.openxmlformats.org/officeDocument/2006/relationships/hyperlink" Target="https://jumbocl.vteximg.com.br/arquivos/ids/388509-250-250/ALMENDRAS-LAMINADAS.jpg?v=638776856120730000" TargetMode="External"/><Relationship Id="rId387" Type="http://schemas.openxmlformats.org/officeDocument/2006/relationships/hyperlink" Target="https://jumbocl.vteximg.com.br/arquivos/ids/501396-250-250/Hojas-Mixtas.jpg?v=638920188702970000" TargetMode="External"/><Relationship Id="rId510" Type="http://schemas.openxmlformats.org/officeDocument/2006/relationships/hyperlink" Target="https://jumbocl.vteximg.com.br/arquivos/ids/364136-250-250/Huesillo-deshidratado-400-g-1-92801008.jpg?v=638776752387970000" TargetMode="External"/><Relationship Id="rId552" Type="http://schemas.openxmlformats.org/officeDocument/2006/relationships/hyperlink" Target="https://jumbocl.vteximg.com.br/arquivos/ids/353130-250-250/1261605.jpg?v=638776696118400000" TargetMode="External"/><Relationship Id="rId594" Type="http://schemas.openxmlformats.org/officeDocument/2006/relationships/hyperlink" Target="https://jumbocl.vteximg.com.br/arquivos/ids/319876-250-250/Tomillo-Organico.jpg?v=638776418344030000" TargetMode="External"/><Relationship Id="rId608" Type="http://schemas.openxmlformats.org/officeDocument/2006/relationships/hyperlink" Target="https://jumbocl.vteximg.com.br/arquivos/ids/532890-250-250/Lechuga-Costina-Feria-Organica-1-un.jpg?v=638979414744100000" TargetMode="External"/><Relationship Id="rId191" Type="http://schemas.openxmlformats.org/officeDocument/2006/relationships/hyperlink" Target="https://jumbocl.vteximg.com.br/arquivos/ids/357159-250-250/Curcuma-100-g.jpg?v=638776716306100000" TargetMode="External"/><Relationship Id="rId205" Type="http://schemas.openxmlformats.org/officeDocument/2006/relationships/hyperlink" Target="https://jumbocl.vteximg.com.br/arquivos/ids/347923-250-250/Apio-corte-media-luna-500-g.jpg?v=638776477923770000" TargetMode="External"/><Relationship Id="rId247" Type="http://schemas.openxmlformats.org/officeDocument/2006/relationships/hyperlink" Target="https://jumbocl.vteximg.com.br/arquivos/ids/488427-250-250/Mix-Fruta-Mango-Frutilla-Kiwi-300-g.jpg?v=638894807171870000" TargetMode="External"/><Relationship Id="rId412" Type="http://schemas.openxmlformats.org/officeDocument/2006/relationships/hyperlink" Target="https://jumbocl.vteximg.com.br/arquivos/ids/347953-250-250/1497665.jpg?v=638776478333430000" TargetMode="External"/><Relationship Id="rId107" Type="http://schemas.openxmlformats.org/officeDocument/2006/relationships/hyperlink" Target="https://jumbocl.vteximg.com.br/arquivos/ids/375916-250-250/Puerro-un.jpg?v=638776805501570000" TargetMode="External"/><Relationship Id="rId289" Type="http://schemas.openxmlformats.org/officeDocument/2006/relationships/hyperlink" Target="https://jumbocl.vteximg.com.br/arquivos/ids/353083-250-250/Principal-17616.jpg?v=638776695924100000" TargetMode="External"/><Relationship Id="rId454" Type="http://schemas.openxmlformats.org/officeDocument/2006/relationships/hyperlink" Target="https://jumbocl.vteximg.com.br/arquivos/ids/355332-250-250/1691589.jpg?v=638776706414700000" TargetMode="External"/><Relationship Id="rId496" Type="http://schemas.openxmlformats.org/officeDocument/2006/relationships/hyperlink" Target="https://jumbocl.vteximg.com.br/arquivos/ids/366056-250-250/Mani-con-cascara-300-g.jpg?v=638776761866300000" TargetMode="External"/><Relationship Id="rId11" Type="http://schemas.openxmlformats.org/officeDocument/2006/relationships/hyperlink" Target="https://jumbocl.vteximg.com.br/arquivos/ids/348029-250-250/Pepino-ensalada-un.jpg?v=638776479365130000" TargetMode="External"/><Relationship Id="rId53" Type="http://schemas.openxmlformats.org/officeDocument/2006/relationships/hyperlink" Target="https://jumbocl.vteximg.com.br/arquivos/ids/347985-250-250/540734-KG-01_5574.jpg?v=638776478755200000" TargetMode="External"/><Relationship Id="rId149" Type="http://schemas.openxmlformats.org/officeDocument/2006/relationships/hyperlink" Target="https://jumbocl.vteximg.com.br/arquivos/ids/352980-250-250/529210-KG.png?v=638776695476800000" TargetMode="External"/><Relationship Id="rId314" Type="http://schemas.openxmlformats.org/officeDocument/2006/relationships/hyperlink" Target="https://jumbocl.vteximg.com.br/arquivos/ids/304131-250-250/Limon-Organico-1-kg.jpg?v=638869766586730000" TargetMode="External"/><Relationship Id="rId356" Type="http://schemas.openxmlformats.org/officeDocument/2006/relationships/hyperlink" Target="https://jumbocl.vteximg.com.br/arquivos/ids/299876-250-250/Ali%C3%B1o-Cesar-Gourmet-Envase-250-g.jpg?v=638776371296530000" TargetMode="External"/><Relationship Id="rId398" Type="http://schemas.openxmlformats.org/officeDocument/2006/relationships/hyperlink" Target="https://jumbocl.vteximg.com.br/arquivos/ids/355375-250-250/1696047-1.jpg?v=638776706596770000" TargetMode="External"/><Relationship Id="rId521" Type="http://schemas.openxmlformats.org/officeDocument/2006/relationships/hyperlink" Target="https://jumbocl.vteximg.com.br/arquivos/ids/300328-250-250/Albahaca-Baby-Bandeja-60-g.jpg?v=638776372891400000" TargetMode="External"/><Relationship Id="rId563" Type="http://schemas.openxmlformats.org/officeDocument/2006/relationships/hyperlink" Target="https://jumbocl.vteximg.com.br/arquivos/ids/355830-250-250/545247.jpg?v=638776709204970000" TargetMode="External"/><Relationship Id="rId95" Type="http://schemas.openxmlformats.org/officeDocument/2006/relationships/hyperlink" Target="https://jumbocl.vteximg.com.br/arquivos/ids/347956-250-250/Apio-baston-500-g.jpg?v=638776478377830000" TargetMode="External"/><Relationship Id="rId160" Type="http://schemas.openxmlformats.org/officeDocument/2006/relationships/hyperlink" Target="https://jumbocl.vteximg.com.br/arquivos/ids/366688-250-250/Alcachofa-morada-1-un-1-336217.jpg?v=638776764268030000" TargetMode="External"/><Relationship Id="rId216" Type="http://schemas.openxmlformats.org/officeDocument/2006/relationships/hyperlink" Target="https://jumbocl.vteximg.com.br/arquivos/ids/348050-250-250/Tomates-Triple-Tasty-500-g.jpg?v=638776479651900000" TargetMode="External"/><Relationship Id="rId423" Type="http://schemas.openxmlformats.org/officeDocument/2006/relationships/hyperlink" Target="https://jumbocl.vteximg.com.br/arquivos/ids/353047-250-250/526523.jpg?v=638776695773500000" TargetMode="External"/><Relationship Id="rId258" Type="http://schemas.openxmlformats.org/officeDocument/2006/relationships/hyperlink" Target="https://jumbocl.vteximg.com.br/arquivos/ids/319061-250-250/Hierba-Manzanilla-Deshidratada-16-g.jpg?v=638776416491470000" TargetMode="External"/><Relationship Id="rId465" Type="http://schemas.openxmlformats.org/officeDocument/2006/relationships/hyperlink" Target="https://jumbocl.vteximg.com.br/arquivos/ids/342116-250-250/TOMATE-ROMANINI.jpg?v=638776442188270000" TargetMode="External"/><Relationship Id="rId22" Type="http://schemas.openxmlformats.org/officeDocument/2006/relationships/hyperlink" Target="https://jumbocl.vteximg.com.br/arquivos/ids/347942-250-250/Naranja-granel.jpg?v=638776478188170000" TargetMode="External"/><Relationship Id="rId64" Type="http://schemas.openxmlformats.org/officeDocument/2006/relationships/hyperlink" Target="https://jumbocl.vteximg.com.br/arquivos/ids/347997-250-250/Cebolla-morada-granel.jpg?v=638776478923630000" TargetMode="External"/><Relationship Id="rId118" Type="http://schemas.openxmlformats.org/officeDocument/2006/relationships/hyperlink" Target="https://jumbocl.vteximg.com.br/arquivos/ids/347921-250-250/Summer-mix-Dole-150-g.jpg?v=638776477896570000" TargetMode="External"/><Relationship Id="rId325" Type="http://schemas.openxmlformats.org/officeDocument/2006/relationships/hyperlink" Target="https://jumbocl.vteximg.com.br/arquivos/ids/324145-250-250/Manzana-Liofilizada-Tribu-20-g.jpg?v=638776427377230000" TargetMode="External"/><Relationship Id="rId367" Type="http://schemas.openxmlformats.org/officeDocument/2006/relationships/hyperlink" Target="https://jumbocl.vteximg.com.br/arquivos/ids/347949-250-250/Mix-natural-alto-la-cruz-300-g.jpg?v=638776478284530000" TargetMode="External"/><Relationship Id="rId532" Type="http://schemas.openxmlformats.org/officeDocument/2006/relationships/hyperlink" Target="https://jumbocl.vteximg.com.br/arquivos/ids/445453-250-250/Salad-Kit-Romana-250-g.jpg?v=638839631399200000" TargetMode="External"/><Relationship Id="rId574" Type="http://schemas.openxmlformats.org/officeDocument/2006/relationships/hyperlink" Target="https://jumbocl.vteximg.com.br/arquivos/ids/362415-250-250/Espinaca-Baby-Leaf-200-g.jpg?v=638776742922600000" TargetMode="External"/><Relationship Id="rId171" Type="http://schemas.openxmlformats.org/officeDocument/2006/relationships/hyperlink" Target="https://jumbocl.vteximg.com.br/arquivos/ids/356283-250-250/Principal-39298.jpg?v=638776711633000000" TargetMode="External"/><Relationship Id="rId227" Type="http://schemas.openxmlformats.org/officeDocument/2006/relationships/hyperlink" Target="https://jumbocl.vteximg.com.br/arquivos/ids/353032-250-250/1550294.jpg?v=638776695718500000" TargetMode="External"/><Relationship Id="rId269" Type="http://schemas.openxmlformats.org/officeDocument/2006/relationships/hyperlink" Target="https://jumbocl.vteximg.com.br/arquivos/ids/360212-250-250/1724562.jpg?v=638776731665500000" TargetMode="External"/><Relationship Id="rId434" Type="http://schemas.openxmlformats.org/officeDocument/2006/relationships/hyperlink" Target="https://jumbocl.vteximg.com.br/arquivos/ids/388498-250-250/SEMILLA-DE-ZAPALLO.jpg?v=638776856066070000" TargetMode="External"/><Relationship Id="rId476" Type="http://schemas.openxmlformats.org/officeDocument/2006/relationships/hyperlink" Target="https://jumbocl.vteximg.com.br/arquivos/ids/563531-250-250/Frutos-Secos-Sembrasol-Douce-Tentation-800-g.jpg?v=639038205445930000" TargetMode="External"/><Relationship Id="rId33" Type="http://schemas.openxmlformats.org/officeDocument/2006/relationships/hyperlink" Target="https://jumbocl.vteximg.com.br/arquivos/ids/367328-250-250/Frambuesas-pote-70-g-1-433172.jpg?v=638776767393070000" TargetMode="External"/><Relationship Id="rId129" Type="http://schemas.openxmlformats.org/officeDocument/2006/relationships/hyperlink" Target="https://jumbocl.vteximg.com.br/arquivos/ids/445447-250-250/Salad-Kit-Coleslaw-300-g.jpg?v=638839631379530000" TargetMode="External"/><Relationship Id="rId280" Type="http://schemas.openxmlformats.org/officeDocument/2006/relationships/hyperlink" Target="https://jumbocl.vteximg.com.br/arquivos/ids/648199-250-250/Endibias-500-g.jpg?v=639155313550800000" TargetMode="External"/><Relationship Id="rId336" Type="http://schemas.openxmlformats.org/officeDocument/2006/relationships/hyperlink" Target="https://jumbocl.vteximg.com.br/arquivos/ids/625563-250-250/Granola-Keto-Matcha-312-g.jpg?v=639123760072600000" TargetMode="External"/><Relationship Id="rId501" Type="http://schemas.openxmlformats.org/officeDocument/2006/relationships/hyperlink" Target="https://jumbocl.vteximg.com.br/arquivos/ids/365283-250-250/Ciruela-con-carozo-250-g-1-92801026.jpg?v=638776758121900000" TargetMode="External"/><Relationship Id="rId543" Type="http://schemas.openxmlformats.org/officeDocument/2006/relationships/hyperlink" Target="https://jumbocl.vteximg.com.br/arquivos/ids/353044-250-250/Lechuga-Hidroponica-Marina-1-Unidad.jpg?v=638776695757500000" TargetMode="External"/><Relationship Id="rId75" Type="http://schemas.openxmlformats.org/officeDocument/2006/relationships/hyperlink" Target="https://jumbocl.vteximg.com.br/arquivos/ids/384184-250-250/Lechuga-costina-2-un.jpg?v=638776839010370000" TargetMode="External"/><Relationship Id="rId140" Type="http://schemas.openxmlformats.org/officeDocument/2006/relationships/hyperlink" Target="https://jumbocl.vteximg.com.br/arquivos/ids/347955-250-250/911594.jpg?v=638776478363070000" TargetMode="External"/><Relationship Id="rId182" Type="http://schemas.openxmlformats.org/officeDocument/2006/relationships/hyperlink" Target="https://jumbocl.vteximg.com.br/arquivos/ids/368362-250-250/Rapilista-rucula-50-g.jpg?v=638776772199870000" TargetMode="External"/><Relationship Id="rId378" Type="http://schemas.openxmlformats.org/officeDocument/2006/relationships/hyperlink" Target="https://jumbocl.vteximg.com.br/arquivos/ids/520896-250-250/Zapallo-Italiano-Deshidratado-70-g.jpg?v=638954429790500000" TargetMode="External"/><Relationship Id="rId403" Type="http://schemas.openxmlformats.org/officeDocument/2006/relationships/hyperlink" Target="https://jumbocl.vteximg.com.br/arquivos/ids/356823-250-250/Principal-34653.jpg?v=638776714519400000" TargetMode="External"/><Relationship Id="rId585" Type="http://schemas.openxmlformats.org/officeDocument/2006/relationships/hyperlink" Target="https://jumbocl.vteximg.com.br/arquivos/ids/373245-250-250/261024-KG-01_97559.jpg?v=638776794918300000" TargetMode="External"/><Relationship Id="rId6" Type="http://schemas.openxmlformats.org/officeDocument/2006/relationships/hyperlink" Target="https://jumbocl.vteximg.com.br/arquivos/ids/348022-250-250/Palta-hass-malla-1-kg.jpg?v=638776479276530000" TargetMode="External"/><Relationship Id="rId238" Type="http://schemas.openxmlformats.org/officeDocument/2006/relationships/hyperlink" Target="https://jumbocl.vteximg.com.br/arquivos/ids/367538-250-250/Tomate-mix-coctel-variedades-300-g.jpg?v=638776768401670000" TargetMode="External"/><Relationship Id="rId445" Type="http://schemas.openxmlformats.org/officeDocument/2006/relationships/hyperlink" Target="https://jumbocl.vteximg.com.br/arquivos/ids/355832-250-250/Principal-25217.jpg?v=638776709218000000" TargetMode="External"/><Relationship Id="rId487" Type="http://schemas.openxmlformats.org/officeDocument/2006/relationships/hyperlink" Target="https://jumbocl.vteximg.com.br/arquivos/ids/380009-250-250/ALMEND-FIL-400G-C-.jpg?v=638776821424000000" TargetMode="External"/><Relationship Id="rId610" Type="http://schemas.openxmlformats.org/officeDocument/2006/relationships/hyperlink" Target="https://jumbocl.vteximg.com.br/arquivos/ids/633003-250-250/Lechuga-Crespa-Roja-Bolsa.jpg?v=639130807709600000" TargetMode="External"/><Relationship Id="rId291" Type="http://schemas.openxmlformats.org/officeDocument/2006/relationships/hyperlink" Target="https://jumbocl.vteximg.com.br/arquivos/ids/648197-250-250/Brotes-de-Alfalfa-150-g.jpg?v=639155313539200000" TargetMode="External"/><Relationship Id="rId305" Type="http://schemas.openxmlformats.org/officeDocument/2006/relationships/hyperlink" Target="https://jumbocl.vteximg.com.br/arquivos/ids/353031-250-250/1550295.jpg?v=638776695715270000" TargetMode="External"/><Relationship Id="rId347" Type="http://schemas.openxmlformats.org/officeDocument/2006/relationships/hyperlink" Target="https://jumbocl.vteximg.com.br/arquivos/ids/359252-250-250/Limon-cocktail-malla-500-g.jpg?v=638799890691700000" TargetMode="External"/><Relationship Id="rId512" Type="http://schemas.openxmlformats.org/officeDocument/2006/relationships/hyperlink" Target="https://jumbocl.vteximg.com.br/arquivos/ids/654451-250-250/Almendra-tostada-300-g.jpg?v=639174355353570000" TargetMode="External"/><Relationship Id="rId44" Type="http://schemas.openxmlformats.org/officeDocument/2006/relationships/hyperlink" Target="https://jumbocl.vteximg.com.br/arquivos/ids/352997-250-250/Camote-Peruano-granel.jpg?v=638776695574730000" TargetMode="External"/><Relationship Id="rId86" Type="http://schemas.openxmlformats.org/officeDocument/2006/relationships/hyperlink" Target="https://jumbocl.vteximg.com.br/arquivos/ids/348031-250-250/261130.jpg?v=638776479388870000" TargetMode="External"/><Relationship Id="rId151" Type="http://schemas.openxmlformats.org/officeDocument/2006/relationships/hyperlink" Target="https://jumbocl.vteximg.com.br/arquivos/ids/347911-250-250/Ensalada-Napolitana-Dole-Bolsa-300-g-Repollo-blanco-y-zanahoria.jpg?v=638776477767770000" TargetMode="External"/><Relationship Id="rId389" Type="http://schemas.openxmlformats.org/officeDocument/2006/relationships/hyperlink" Target="https://jumbocl.vteximg.com.br/arquivos/ids/369665-250-250/Diente-de-dragon-granel.jpg?v=638776778436230000" TargetMode="External"/><Relationship Id="rId554" Type="http://schemas.openxmlformats.org/officeDocument/2006/relationships/hyperlink" Target="https://jumbocl.vteximg.com.br/arquivos/ids/353148-250-250/260795.jpg?v=638776696182800000" TargetMode="External"/><Relationship Id="rId596" Type="http://schemas.openxmlformats.org/officeDocument/2006/relationships/hyperlink" Target="https://jumbocl.vteximg.com.br/arquivos/ids/612565-250-250/Stick-Platano-Wipala-40-g.jpg?v=639111774223730000" TargetMode="External"/><Relationship Id="rId193" Type="http://schemas.openxmlformats.org/officeDocument/2006/relationships/hyperlink" Target="https://jumbocl.vteximg.com.br/arquivos/ids/368447-250-250/Ensalada-miso-270-g.jpg?v=638776772674800000" TargetMode="External"/><Relationship Id="rId207" Type="http://schemas.openxmlformats.org/officeDocument/2006/relationships/hyperlink" Target="https://jumbocl.vteximg.com.br/arquivos/ids/347914-250-250/Ensalada-Toscana-Dole-600-g.jpg?v=638776477808100000" TargetMode="External"/><Relationship Id="rId249" Type="http://schemas.openxmlformats.org/officeDocument/2006/relationships/hyperlink" Target="https://jumbocl.vteximg.com.br/arquivos/ids/366864-250-250/R-cala-baby-lista-para-servir-bandeja-120-g-1-156009286.jpg?v=638776765194570000" TargetMode="External"/><Relationship Id="rId414" Type="http://schemas.openxmlformats.org/officeDocument/2006/relationships/hyperlink" Target="https://jumbocl.vteximg.com.br/arquivos/ids/353133-250-250/1261603.jpg?v=638776696123800000" TargetMode="External"/><Relationship Id="rId456" Type="http://schemas.openxmlformats.org/officeDocument/2006/relationships/hyperlink" Target="https://jumbocl.vteximg.com.br/arquivos/ids/360046-250-250/Champi%C3%B1on-portobello-granel.jpg?v=638776730920070000" TargetMode="External"/><Relationship Id="rId498" Type="http://schemas.openxmlformats.org/officeDocument/2006/relationships/hyperlink" Target="https://jumbocl.vteximg.com.br/arquivos/ids/299240-250-250/Semilla-de-Chia-Mi-Tierra-175-g.jpg?v=638775762323000000" TargetMode="External"/><Relationship Id="rId13" Type="http://schemas.openxmlformats.org/officeDocument/2006/relationships/hyperlink" Target="https://jumbocl.vteximg.com.br/arquivos/ids/347934-250-250/Frutillas-pote-300-g.jpg?v=638776478088100000" TargetMode="External"/><Relationship Id="rId109" Type="http://schemas.openxmlformats.org/officeDocument/2006/relationships/hyperlink" Target="https://jumbocl.vteximg.com.br/arquivos/ids/461162-250-250/Pimiento-Morron-1-un.jpg?v=638866404212170000" TargetMode="External"/><Relationship Id="rId260" Type="http://schemas.openxmlformats.org/officeDocument/2006/relationships/hyperlink" Target="https://jumbocl.vteximg.com.br/arquivos/ids/356829-250-250/Principal-34670.jpg?v=638776714539730000" TargetMode="External"/><Relationship Id="rId316" Type="http://schemas.openxmlformats.org/officeDocument/2006/relationships/hyperlink" Target="https://jumbocl.vteximg.com.br/arquivos/ids/356155-250-250/1340566.jpg?v=638776710959400000" TargetMode="External"/><Relationship Id="rId523" Type="http://schemas.openxmlformats.org/officeDocument/2006/relationships/hyperlink" Target="https://jumbocl.vteximg.com.br/arquivos/ids/348010-250-250/Coliflor-films-unid.jpg?v=638776479121000000" TargetMode="External"/><Relationship Id="rId55" Type="http://schemas.openxmlformats.org/officeDocument/2006/relationships/hyperlink" Target="https://jumbocl.vteximg.com.br/arquivos/ids/361954-250-250/261255-01.png?v=638776740227400000" TargetMode="External"/><Relationship Id="rId97" Type="http://schemas.openxmlformats.org/officeDocument/2006/relationships/hyperlink" Target="https://jumbocl.vteximg.com.br/arquivos/ids/351962-250-250/Pera-bolsa-1-kg.jpg?v=638776687826270000" TargetMode="External"/><Relationship Id="rId120" Type="http://schemas.openxmlformats.org/officeDocument/2006/relationships/hyperlink" Target="https://jumbocl.vteximg.com.br/arquivos/ids/353068-250-250/Verduras-surtidas-paquete-120-g-1-17605.jpg?v=638776695864400000" TargetMode="External"/><Relationship Id="rId358" Type="http://schemas.openxmlformats.org/officeDocument/2006/relationships/hyperlink" Target="https://jumbocl.vteximg.com.br/arquivos/ids/357262-250-250/Principal-38910.jpg?v=638776716670530000" TargetMode="External"/><Relationship Id="rId565" Type="http://schemas.openxmlformats.org/officeDocument/2006/relationships/hyperlink" Target="https://jumbocl.vteximg.com.br/arquivos/ids/355988-250-250/992553.jpg?v=638776710029500000" TargetMode="External"/><Relationship Id="rId162" Type="http://schemas.openxmlformats.org/officeDocument/2006/relationships/hyperlink" Target="https://jumbocl.vteximg.com.br/arquivos/ids/366998-250-250/Pack-colaci-n-5-sachets-1-183513421.jpg?v=638776765827830000" TargetMode="External"/><Relationship Id="rId218" Type="http://schemas.openxmlformats.org/officeDocument/2006/relationships/hyperlink" Target="https://jumbocl.vteximg.com.br/arquivos/ids/348013-250-250/1227316.jpg?v=638776479152500000" TargetMode="External"/><Relationship Id="rId425" Type="http://schemas.openxmlformats.org/officeDocument/2006/relationships/hyperlink" Target="https://jumbocl.vteximg.com.br/arquivos/ids/611583-250-250/Hierba-Menta-Deshidratada-16-g.jpg?v=639111764621200000" TargetMode="External"/><Relationship Id="rId467" Type="http://schemas.openxmlformats.org/officeDocument/2006/relationships/hyperlink" Target="https://jumbocl.vteximg.com.br/arquivos/ids/360048-250-250/Champi%C3%B1on-Frutas-y-Verduras-Jumbo-granel.jpg?v=638776730922870000" TargetMode="External"/><Relationship Id="rId271" Type="http://schemas.openxmlformats.org/officeDocument/2006/relationships/hyperlink" Target="https://jumbocl.vteximg.com.br/arquivos/ids/611569-250-250/Hierba-Passiflora-Deshidratada-16-g.jpg?v=639111764445830000" TargetMode="External"/><Relationship Id="rId24" Type="http://schemas.openxmlformats.org/officeDocument/2006/relationships/hyperlink" Target="https://jumbocl.vteximg.com.br/arquivos/ids/351219-250-250/Mandarina-granel.jpg?v=638776684524000000" TargetMode="External"/><Relationship Id="rId66" Type="http://schemas.openxmlformats.org/officeDocument/2006/relationships/hyperlink" Target="https://jumbocl.vteximg.com.br/arquivos/ids/352970-250-250/261071-KG-01_17675.jpg?v=638776695407300000" TargetMode="External"/><Relationship Id="rId131" Type="http://schemas.openxmlformats.org/officeDocument/2006/relationships/hyperlink" Target="https://jumbocl.vteximg.com.br/arquivos/ids/372027-250-250/Mix-frutilla-arandano-250-g.jpg?v=638776789638830000" TargetMode="External"/><Relationship Id="rId327" Type="http://schemas.openxmlformats.org/officeDocument/2006/relationships/hyperlink" Target="https://jumbocl.vteximg.com.br/arquivos/ids/642330-250-250/Cereza-Liofilizada-Atama-Rodaja-20-g.jpg?v=639147966769300000" TargetMode="External"/><Relationship Id="rId369" Type="http://schemas.openxmlformats.org/officeDocument/2006/relationships/hyperlink" Target="https://jumbocl.vteximg.com.br/arquivos/ids/653906-250-250/Acelga-Organica-700-g.jpg?v=639173144967330000" TargetMode="External"/><Relationship Id="rId534" Type="http://schemas.openxmlformats.org/officeDocument/2006/relationships/hyperlink" Target="https://jumbocl.vteximg.com.br/arquivos/ids/352975-250-250/260900-KG.png?v=638776695438070000" TargetMode="External"/><Relationship Id="rId576" Type="http://schemas.openxmlformats.org/officeDocument/2006/relationships/hyperlink" Target="https://jumbocl.vteximg.com.br/arquivos/ids/365762-250-250/Cranberries-100-g.jpg?v=638776760440270000" TargetMode="External"/><Relationship Id="rId173" Type="http://schemas.openxmlformats.org/officeDocument/2006/relationships/hyperlink" Target="https://jumbocl.vteximg.com.br/arquivos/ids/478130-250-250/Zapallo-en-Cubos-500-g.jpg?v=638877146459330000" TargetMode="External"/><Relationship Id="rId229" Type="http://schemas.openxmlformats.org/officeDocument/2006/relationships/hyperlink" Target="https://jumbocl.vteximg.com.br/arquivos/ids/347979-250-250/296634.jpg?v=638776478673400000" TargetMode="External"/><Relationship Id="rId380" Type="http://schemas.openxmlformats.org/officeDocument/2006/relationships/hyperlink" Target="https://jumbocl.vteximg.com.br/arquivos/ids/369587-250-250/Super-mix-frutos-secos-1-kg.jpg?v=638776778014970000" TargetMode="External"/><Relationship Id="rId436" Type="http://schemas.openxmlformats.org/officeDocument/2006/relationships/hyperlink" Target="https://jumbocl.vteximg.com.br/arquivos/ids/611577-250-250/Hierba-Calendula-Deshidratada-16-g.jpg?v=639111764532070000" TargetMode="External"/><Relationship Id="rId601" Type="http://schemas.openxmlformats.org/officeDocument/2006/relationships/hyperlink" Target="https://jumbocl.vteximg.com.br/arquivos/ids/411283-250-250/Tomate-Tommoro.jpg?v=638791190168870000" TargetMode="External"/><Relationship Id="rId240" Type="http://schemas.openxmlformats.org/officeDocument/2006/relationships/hyperlink" Target="https://jumbocl.vteximg.com.br/arquivos/ids/368363-250-250/Mix-frutos-secos-deshidratados-pote-300-g.jpg?v=638776772200200000" TargetMode="External"/><Relationship Id="rId478" Type="http://schemas.openxmlformats.org/officeDocument/2006/relationships/hyperlink" Target="https://jumbocl.vteximg.com.br/arquivos/ids/532275-250-250/Betarraga-Feria-Organico-5-un.jpg?v=638979413962100000" TargetMode="External"/><Relationship Id="rId35" Type="http://schemas.openxmlformats.org/officeDocument/2006/relationships/hyperlink" Target="https://jumbocl.vteximg.com.br/arquivos/ids/196778-250-250/Lechuga-costina-un.jpg?v=638682284941230000" TargetMode="External"/><Relationship Id="rId77" Type="http://schemas.openxmlformats.org/officeDocument/2006/relationships/hyperlink" Target="https://jumbocl.vteximg.com.br/arquivos/ids/417123-250-250/Manzana-verde-bolsa-1-kg.jpg?v=638804096137970000" TargetMode="External"/><Relationship Id="rId100" Type="http://schemas.openxmlformats.org/officeDocument/2006/relationships/hyperlink" Target="https://jumbocl.vteximg.com.br/arquivos/ids/352976-250-250/451384.jpg?v=638776695451530000" TargetMode="External"/><Relationship Id="rId282" Type="http://schemas.openxmlformats.org/officeDocument/2006/relationships/hyperlink" Target="https://jumbocl.vteximg.com.br/arquivos/ids/381145-250-250/Dientes-de-Ajo-Negro-Chilote-80-g.jpg?v=638776826157400000" TargetMode="External"/><Relationship Id="rId338" Type="http://schemas.openxmlformats.org/officeDocument/2006/relationships/hyperlink" Target="https://jumbocl.vteximg.com.br/arquivos/ids/348033-250-250/Porotos-verdes-500-g.jpg?v=638776479416700000" TargetMode="External"/><Relationship Id="rId503" Type="http://schemas.openxmlformats.org/officeDocument/2006/relationships/hyperlink" Target="https://jumbocl.vteximg.com.br/arquivos/ids/366047-250-250/Damasco-turco-100-g-1-92801016.jpg?v=638776761759300000" TargetMode="External"/><Relationship Id="rId545" Type="http://schemas.openxmlformats.org/officeDocument/2006/relationships/hyperlink" Target="https://jumbocl.vteximg.com.br/arquivos/ids/353070-250-250/Principal-17602.jpg?v=638776695878300000" TargetMode="External"/><Relationship Id="rId587" Type="http://schemas.openxmlformats.org/officeDocument/2006/relationships/hyperlink" Target="https://jumbocl.vteximg.com.br/arquivos/ids/376600-250-250/Mix-kale-150-g.jpg?v=638776808314300000" TargetMode="External"/><Relationship Id="rId8" Type="http://schemas.openxmlformats.org/officeDocument/2006/relationships/hyperlink" Target="https://jumbocl.vteximg.com.br/arquivos/ids/355100-250-250/Champi%C3%B1on-bandeja-200-g.jpg?v=638776705195000000" TargetMode="External"/><Relationship Id="rId142" Type="http://schemas.openxmlformats.org/officeDocument/2006/relationships/hyperlink" Target="https://jumbocl.vteximg.com.br/arquivos/ids/371977-250-250/Mix-mango-frutilla-y-pi%C3%B1a-400-g.jpg?v=638776789462630000" TargetMode="External"/><Relationship Id="rId184" Type="http://schemas.openxmlformats.org/officeDocument/2006/relationships/hyperlink" Target="https://jumbocl.vteximg.com.br/arquivos/ids/532325-250-250/Papa-Nativa-Oranica-700-g.jpg?v=638979414054530000" TargetMode="External"/><Relationship Id="rId391" Type="http://schemas.openxmlformats.org/officeDocument/2006/relationships/hyperlink" Target="https://jumbocl.vteximg.com.br/arquivos/ids/353048-250-250/526522.jpg?v=638776695774300000" TargetMode="External"/><Relationship Id="rId405" Type="http://schemas.openxmlformats.org/officeDocument/2006/relationships/hyperlink" Target="https://jumbocl.vteximg.com.br/arquivos/ids/584764-250-250/Amaranto-Granel.jpg?v=639077992291670000" TargetMode="External"/><Relationship Id="rId447" Type="http://schemas.openxmlformats.org/officeDocument/2006/relationships/hyperlink" Target="https://jumbocl.vteximg.com.br/arquivos/ids/353131-250-250/1261600.jpg?v=638776696120670000" TargetMode="External"/><Relationship Id="rId612" Type="http://schemas.openxmlformats.org/officeDocument/2006/relationships/hyperlink" Target="https://jumbocl.vteximg.com.br/arquivos/ids/625318-250-250/Salsa-Heinz-Cocktail-Squeeze-225-g.jpg?v=639123194157000000" TargetMode="External"/><Relationship Id="rId251" Type="http://schemas.openxmlformats.org/officeDocument/2006/relationships/hyperlink" Target="https://jumbocl.vteximg.com.br/arquivos/ids/648206-250-250/Chapsui-Especial-Mas-Vida-300-g.jpg?v=639155313599400000" TargetMode="External"/><Relationship Id="rId489" Type="http://schemas.openxmlformats.org/officeDocument/2006/relationships/hyperlink" Target="https://jumbocl.vteximg.com.br/arquivos/ids/370550-250-250/Alga-luche-bolsa-30-g.jpg?v=638776782989370000" TargetMode="External"/><Relationship Id="rId46" Type="http://schemas.openxmlformats.org/officeDocument/2006/relationships/hyperlink" Target="https://jumbocl.vteximg.com.br/arquivos/ids/370022-250-250/Champi%C3%B1ones-bandeja-500-g.jpg?v=638776780123830000" TargetMode="External"/><Relationship Id="rId293" Type="http://schemas.openxmlformats.org/officeDocument/2006/relationships/hyperlink" Target="https://jumbocl.vteximg.com.br/arquivos/ids/322547-250-250/Banana-Chips-400-g.jpg?v=638776426208030000" TargetMode="External"/><Relationship Id="rId307" Type="http://schemas.openxmlformats.org/officeDocument/2006/relationships/hyperlink" Target="https://jumbocl.vteximg.com.br/arquivos/ids/611587-250-250/Hierba-Melisa-Deshidratada-16-g.jpg?v=639111764685600000" TargetMode="External"/><Relationship Id="rId349" Type="http://schemas.openxmlformats.org/officeDocument/2006/relationships/hyperlink" Target="https://jumbocl.vteximg.com.br/arquivos/ids/379280-250-250/Mix-Cajuna-700-g.jpg?v=638776818615700000" TargetMode="External"/><Relationship Id="rId514" Type="http://schemas.openxmlformats.org/officeDocument/2006/relationships/hyperlink" Target="https://jumbocl.vteximg.com.br/arquivos/ids/364938-250-250/Almendra-natural-300-g.jpg?v=638776756542200000" TargetMode="External"/><Relationship Id="rId556" Type="http://schemas.openxmlformats.org/officeDocument/2006/relationships/hyperlink" Target="https://jumbocl.vteximg.com.br/arquivos/ids/353069-250-250/Achicoria-1-unid-1-17599.jpg?v=638776695873870000" TargetMode="External"/><Relationship Id="rId88" Type="http://schemas.openxmlformats.org/officeDocument/2006/relationships/hyperlink" Target="https://jumbocl.vteximg.com.br/arquivos/ids/413783-250-250/Manzana-royal-gala-1-kg.jpg?v=638798067993270000" TargetMode="External"/><Relationship Id="rId111" Type="http://schemas.openxmlformats.org/officeDocument/2006/relationships/hyperlink" Target="https://jumbocl.vteximg.com.br/arquivos/ids/489472-250-250/Ensalada-Repollo-Morado-300-g.jpg?v=638900483986500000" TargetMode="External"/><Relationship Id="rId153" Type="http://schemas.openxmlformats.org/officeDocument/2006/relationships/hyperlink" Target="https://jumbocl.vteximg.com.br/arquivos/ids/501594-250-250/Ensalada-Apio-Bastones-500-g.jpg?v=638920189072570000" TargetMode="External"/><Relationship Id="rId195" Type="http://schemas.openxmlformats.org/officeDocument/2006/relationships/hyperlink" Target="https://jumbocl.vteximg.com.br/arquivos/ids/366910-250-250/Limon-sin-semilla-malla-900-g.jpg?v=638776765435470000" TargetMode="External"/><Relationship Id="rId209" Type="http://schemas.openxmlformats.org/officeDocument/2006/relationships/hyperlink" Target="https://jumbocl.vteximg.com.br/arquivos/ids/322942-250-250/Maiz-Frito-Con-Sal-de-Mar-Alto-La-Cruz-200-g.jpg?v=638776426525130000" TargetMode="External"/><Relationship Id="rId360" Type="http://schemas.openxmlformats.org/officeDocument/2006/relationships/hyperlink" Target="https://jumbocl.vteximg.com.br/arquivos/ids/347916-250-250/Lechuga-Escarola-Dole-600-g.jpg?v=638776477832900000" TargetMode="External"/><Relationship Id="rId416" Type="http://schemas.openxmlformats.org/officeDocument/2006/relationships/hyperlink" Target="https://jumbocl.vteximg.com.br/arquivos/ids/563533-250-250/Frutos-Secos-Sembrasol-Sweet-Moment-800-g.jpg?v=639038205458900000" TargetMode="External"/><Relationship Id="rId598" Type="http://schemas.openxmlformats.org/officeDocument/2006/relationships/hyperlink" Target="https://jumbocl.vteximg.com.br/arquivos/ids/323211-250-250/Semilla-de-Maravilla-Alto-La-Cruz-300-g.jpg?v=638776426732500000" TargetMode="External"/><Relationship Id="rId220" Type="http://schemas.openxmlformats.org/officeDocument/2006/relationships/hyperlink" Target="https://jumbocl.vteximg.com.br/arquivos/ids/364000-250-250/Ciruelas-deshidratadas-pote-500-g-1-114578049.jpg?v=638776751559800000" TargetMode="External"/><Relationship Id="rId458" Type="http://schemas.openxmlformats.org/officeDocument/2006/relationships/hyperlink" Target="https://jumbocl.vteximg.com.br/arquivos/ids/355326-250-250/Mix-pote-150-g.jpg?v=638776706371200000" TargetMode="External"/><Relationship Id="rId15" Type="http://schemas.openxmlformats.org/officeDocument/2006/relationships/hyperlink" Target="https://jumbocl.vteximg.com.br/arquivos/ids/357731-250-250/Manzana-Fuji-granel.jpg?v=638776720527670000" TargetMode="External"/><Relationship Id="rId57" Type="http://schemas.openxmlformats.org/officeDocument/2006/relationships/hyperlink" Target="https://jumbocl.vteximg.com.br/arquivos/ids/352996-250-250/1358098.jpg?v=638776695574430000" TargetMode="External"/><Relationship Id="rId262" Type="http://schemas.openxmlformats.org/officeDocument/2006/relationships/hyperlink" Target="https://jumbocl.vteximg.com.br/arquivos/ids/362388-250-250/Pimiento-dulce-unid-1-476742.jpg?v=638776742734130000" TargetMode="External"/><Relationship Id="rId318" Type="http://schemas.openxmlformats.org/officeDocument/2006/relationships/hyperlink" Target="https://jumbocl.vteximg.com.br/arquivos/ids/347972-250-250/1261606.jpg?v=638776478589030000" TargetMode="External"/><Relationship Id="rId525" Type="http://schemas.openxmlformats.org/officeDocument/2006/relationships/hyperlink" Target="https://jumbocl.vteximg.com.br/arquivos/ids/648200-250-250/Pak-Choi-400-g.jpg?v=639155313555770000" TargetMode="External"/><Relationship Id="rId567" Type="http://schemas.openxmlformats.org/officeDocument/2006/relationships/hyperlink" Target="https://jumbocl.vteximg.com.br/arquivos/ids/356513-250-250/Principal-27664.jpg?v=638776712887800000" TargetMode="External"/><Relationship Id="rId99" Type="http://schemas.openxmlformats.org/officeDocument/2006/relationships/hyperlink" Target="https://jumbocl.vteximg.com.br/arquivos/ids/489466-250-250/Ensalada-Zanahoria-300-g.jpg?v=638900483956430000" TargetMode="External"/><Relationship Id="rId122" Type="http://schemas.openxmlformats.org/officeDocument/2006/relationships/hyperlink" Target="https://jumbocl.vteximg.com.br/arquivos/ids/353019-250-250/Ajo-2-un.jpg?v=638776695668300000" TargetMode="External"/><Relationship Id="rId164" Type="http://schemas.openxmlformats.org/officeDocument/2006/relationships/hyperlink" Target="https://jumbocl.vteximg.com.br/arquivos/ids/353025-250-250/1227315.jpg?v=638776695694270000" TargetMode="External"/><Relationship Id="rId371" Type="http://schemas.openxmlformats.org/officeDocument/2006/relationships/hyperlink" Target="https://jumbocl.vteximg.com.br/arquivos/ids/347984-250-250/260461.jpg?v=638776478744300000" TargetMode="External"/><Relationship Id="rId427" Type="http://schemas.openxmlformats.org/officeDocument/2006/relationships/hyperlink" Target="https://jumbocl.vteximg.com.br/arquivos/ids/518504-250-250/Cebolla-Morada-Organica-Malla-1-kg.jpg?v=638950379813970000" TargetMode="External"/><Relationship Id="rId469" Type="http://schemas.openxmlformats.org/officeDocument/2006/relationships/hyperlink" Target="https://jumbocl.vteximg.com.br/arquivos/ids/355335-250-250/Hearty-greens-mix-pote-150-g.jpg?v=638776706416730000" TargetMode="External"/><Relationship Id="rId26" Type="http://schemas.openxmlformats.org/officeDocument/2006/relationships/hyperlink" Target="https://jumbocl.vteximg.com.br/arquivos/ids/313121-250-250/Manzana-sugar-bee-kg.jpg?v=638776398549000000" TargetMode="External"/><Relationship Id="rId231" Type="http://schemas.openxmlformats.org/officeDocument/2006/relationships/hyperlink" Target="https://jumbocl.vteximg.com.br/arquivos/ids/369392-250-250/Ensalada-country-ranch-350-g.jpg?v=638776777052070000" TargetMode="External"/><Relationship Id="rId273" Type="http://schemas.openxmlformats.org/officeDocument/2006/relationships/hyperlink" Target="https://jumbocl.vteximg.com.br/arquivos/ids/388511-250-250/SEMILLA-DE-CHIA.jpg?v=638776856122930000" TargetMode="External"/><Relationship Id="rId329" Type="http://schemas.openxmlformats.org/officeDocument/2006/relationships/hyperlink" Target="https://jumbocl.vteximg.com.br/arquivos/ids/353091-250-250/Principal-17626.jpg?v=638776695955200000" TargetMode="External"/><Relationship Id="rId480" Type="http://schemas.openxmlformats.org/officeDocument/2006/relationships/hyperlink" Target="https://jumbocl.vteximg.com.br/arquivos/ids/518503-250-250/Zanahoria-Juliana-Organico-200-g.jpg?v=638950379153470000" TargetMode="External"/><Relationship Id="rId536" Type="http://schemas.openxmlformats.org/officeDocument/2006/relationships/hyperlink" Target="https://jumbocl.vteximg.com.br/arquivos/ids/352974-250-250/Palta-Esther-granel.jpg?v=638776695425170000" TargetMode="External"/><Relationship Id="rId68" Type="http://schemas.openxmlformats.org/officeDocument/2006/relationships/hyperlink" Target="https://jumbocl.vteximg.com.br/arquivos/ids/348045-250-250/1520953-KG.jpg?v=638776479562900000" TargetMode="External"/><Relationship Id="rId133" Type="http://schemas.openxmlformats.org/officeDocument/2006/relationships/hyperlink" Target="https://jumbocl.vteximg.com.br/arquivos/ids/590969-250-250/Manzana-Modi-Granel.jpg?v=639090085896070000" TargetMode="External"/><Relationship Id="rId175" Type="http://schemas.openxmlformats.org/officeDocument/2006/relationships/hyperlink" Target="https://jumbocl.vteximg.com.br/arquivos/ids/372531-250-250/Pi%C3%B1a-baston-400-g.jpg?v=638776791692600000" TargetMode="External"/><Relationship Id="rId340" Type="http://schemas.openxmlformats.org/officeDocument/2006/relationships/hyperlink" Target="https://jumbocl.vteximg.com.br/arquivos/ids/648205-250-250/Chapsui-Thai-Mas-Vida-300-g.jpg?v=639155313589630000" TargetMode="External"/><Relationship Id="rId578" Type="http://schemas.openxmlformats.org/officeDocument/2006/relationships/hyperlink" Target="https://jumbocl.vteximg.com.br/arquivos/ids/368155-250-250/Tatsoi-baby-bandeja-120-g.jpg?v=638776771292600000" TargetMode="External"/><Relationship Id="rId200" Type="http://schemas.openxmlformats.org/officeDocument/2006/relationships/hyperlink" Target="https://jumbocl.vteximg.com.br/arquivos/ids/648195-250-250/Mix-Brotes-Vegetales-120-g.jpg?v=639155313521600000" TargetMode="External"/><Relationship Id="rId382" Type="http://schemas.openxmlformats.org/officeDocument/2006/relationships/hyperlink" Target="https://jumbocl.vteximg.com.br/arquivos/ids/563529-250-250/Mix-Sembrasol-Nut-Chocofun-Nuts-800-g.jpg?v=639038205432500000" TargetMode="External"/><Relationship Id="rId438" Type="http://schemas.openxmlformats.org/officeDocument/2006/relationships/hyperlink" Target="https://jumbocl.vteximg.com.br/arquivos/ids/362380-250-250/Pi%C3%B1a-rodaja-152-g.jpg?v=638776742711770000" TargetMode="External"/><Relationship Id="rId603" Type="http://schemas.openxmlformats.org/officeDocument/2006/relationships/hyperlink" Target="https://jumbocl.vteximg.com.br/arquivos/ids/479121-250-250/Lechuga-Todo-Crunch-150-g.jpg?v=638877731088800000" TargetMode="External"/><Relationship Id="rId242" Type="http://schemas.openxmlformats.org/officeDocument/2006/relationships/hyperlink" Target="https://jumbocl.vteximg.com.br/arquivos/ids/347908-250-250/Ensalada-Cesar-Dole-300-g.jpg?v=638776477725030000" TargetMode="External"/><Relationship Id="rId284" Type="http://schemas.openxmlformats.org/officeDocument/2006/relationships/hyperlink" Target="https://jumbocl.vteximg.com.br/arquivos/ids/368026-250-250/Ciboulette-organico-un.jpg?v=638776770725770000" TargetMode="External"/><Relationship Id="rId491" Type="http://schemas.openxmlformats.org/officeDocument/2006/relationships/hyperlink" Target="https://jumbocl.vteximg.com.br/arquivos/ids/364929-250-250/Banana-chips-100-g.jpg?v=638776756513330000" TargetMode="External"/><Relationship Id="rId505" Type="http://schemas.openxmlformats.org/officeDocument/2006/relationships/hyperlink" Target="https://jumbocl.vteximg.com.br/arquivos/ids/370252-250-250/Nuez-partida-c-co-200g.jpg?v=638776781387170000" TargetMode="External"/><Relationship Id="rId37" Type="http://schemas.openxmlformats.org/officeDocument/2006/relationships/hyperlink" Target="https://jumbocl.vteximg.com.br/arquivos/ids/495050-250-250/260579-02_5597.jpg?v=638907790347000000" TargetMode="External"/><Relationship Id="rId79" Type="http://schemas.openxmlformats.org/officeDocument/2006/relationships/hyperlink" Target="https://jumbocl.vteximg.com.br/arquivos/ids/355947-250-250/932863.jpg?v=638776709824200000" TargetMode="External"/><Relationship Id="rId102" Type="http://schemas.openxmlformats.org/officeDocument/2006/relationships/hyperlink" Target="https://jumbocl.vteximg.com.br/arquivos/ids/495217-250-250/Papa-Baby-1-kg.jpg?v=638911557300900000" TargetMode="External"/><Relationship Id="rId144" Type="http://schemas.openxmlformats.org/officeDocument/2006/relationships/hyperlink" Target="https://jumbocl.vteximg.com.br/arquivos/ids/445463-250-250/ESPINACA-BABY-150G.jpg?v=638839631444000000" TargetMode="External"/><Relationship Id="rId547" Type="http://schemas.openxmlformats.org/officeDocument/2006/relationships/hyperlink" Target="https://jumbocl.vteximg.com.br/arquivos/ids/353113-250-250/1258778.jpg?v=638776696047730000" TargetMode="External"/><Relationship Id="rId589" Type="http://schemas.openxmlformats.org/officeDocument/2006/relationships/hyperlink" Target="https://jumbocl.vteximg.com.br/arquivos/ids/315445-250-250/Mix-aji-200-g.jpg?v=638776405327030000" TargetMode="External"/><Relationship Id="rId90" Type="http://schemas.openxmlformats.org/officeDocument/2006/relationships/hyperlink" Target="https://jumbocl.vteximg.com.br/arquivos/ids/355665-250-250/Brusela-500-g.jpg?v=638776708312800000" TargetMode="External"/><Relationship Id="rId186" Type="http://schemas.openxmlformats.org/officeDocument/2006/relationships/hyperlink" Target="https://jumbocl.vteximg.com.br/arquivos/ids/347980-250-250/Apio-Prepicado-Genial-300-g.jpg?v=638776478688230000" TargetMode="External"/><Relationship Id="rId351" Type="http://schemas.openxmlformats.org/officeDocument/2006/relationships/hyperlink" Target="https://jumbocl.vteximg.com.br/arquivos/ids/404885-250-250/PAPA-COCER-2-KG.jpg?v=638779826770700000" TargetMode="External"/><Relationship Id="rId393" Type="http://schemas.openxmlformats.org/officeDocument/2006/relationships/hyperlink" Target="https://jumbocl.vteximg.com.br/arquivos/ids/379275-250-250/Mix-Frutos-Secos-700-g.jpg?v=638776818589730000" TargetMode="External"/><Relationship Id="rId407" Type="http://schemas.openxmlformats.org/officeDocument/2006/relationships/hyperlink" Target="https://jumbocl.vteximg.com.br/arquivos/ids/353097-250-250/Papa-topinambur-250-g.jpg?v=638776695975530000" TargetMode="External"/><Relationship Id="rId449" Type="http://schemas.openxmlformats.org/officeDocument/2006/relationships/hyperlink" Target="https://jumbocl.vteximg.com.br/arquivos/ids/355566-250-250/Principal-29728.jpg?v=638776707744200000" TargetMode="External"/><Relationship Id="rId614" Type="http://schemas.openxmlformats.org/officeDocument/2006/relationships/hyperlink" Target="https://jumbocl.vteximg.com.br/arquivos/ids/625311-250-250/Salsa-Heinz-Hot-Chilli-Squeeze-245-g.jpg?v=639123194140100000" TargetMode="External"/><Relationship Id="rId211" Type="http://schemas.openxmlformats.org/officeDocument/2006/relationships/hyperlink" Target="https://jumbocl.vteximg.com.br/arquivos/ids/362383-250-250/Datiles-sin-carozo-140-g.jpg?v=638776742714500000" TargetMode="External"/><Relationship Id="rId253" Type="http://schemas.openxmlformats.org/officeDocument/2006/relationships/hyperlink" Target="https://jumbocl.vteximg.com.br/arquivos/ids/369672-250-250/Champi%C3%B1on-royal-granel.jpg?v=638776778474970000" TargetMode="External"/><Relationship Id="rId295" Type="http://schemas.openxmlformats.org/officeDocument/2006/relationships/hyperlink" Target="https://jumbocl.vteximg.com.br/arquivos/ids/348009-250-250/260626.jpg?v=638776479107370000" TargetMode="External"/><Relationship Id="rId309" Type="http://schemas.openxmlformats.org/officeDocument/2006/relationships/hyperlink" Target="https://jumbocl.vteximg.com.br/arquivos/ids/355670-250-250/Perejil-crespo-30-g.jpg?v=638776708341500000" TargetMode="External"/><Relationship Id="rId460" Type="http://schemas.openxmlformats.org/officeDocument/2006/relationships/hyperlink" Target="https://jumbocl.vteximg.com.br/arquivos/ids/353174-250-250/545243.jpg?v=638776696283230000" TargetMode="External"/><Relationship Id="rId516" Type="http://schemas.openxmlformats.org/officeDocument/2006/relationships/hyperlink" Target="https://jumbocl.vteximg.com.br/arquivos/ids/380013-250-250/Semilla-de-Calabaza-700-g.jpg?v=638776821438370000" TargetMode="External"/><Relationship Id="rId48" Type="http://schemas.openxmlformats.org/officeDocument/2006/relationships/hyperlink" Target="https://jumbocl.vteximg.com.br/arquivos/ids/348014-250-250/Espinaca-500-g.jpg?v=638776479162900000" TargetMode="External"/><Relationship Id="rId113" Type="http://schemas.openxmlformats.org/officeDocument/2006/relationships/hyperlink" Target="https://jumbocl.vteximg.com.br/arquivos/ids/368589-250-250/Ensalada-Coleslaw-300-g.jpg?v=638776773381530000" TargetMode="External"/><Relationship Id="rId320" Type="http://schemas.openxmlformats.org/officeDocument/2006/relationships/hyperlink" Target="https://jumbocl.vteximg.com.br/arquivos/ids/369566-250-250/Super-mix-frutos-secos-400-g.jpg?v=638776777917230000" TargetMode="External"/><Relationship Id="rId558" Type="http://schemas.openxmlformats.org/officeDocument/2006/relationships/hyperlink" Target="https://jumbocl.vteximg.com.br/arquivos/ids/304140-250-250/Zanahoria-Organica-6-un.jpg?v=638776379185730000" TargetMode="External"/><Relationship Id="rId155" Type="http://schemas.openxmlformats.org/officeDocument/2006/relationships/hyperlink" Target="https://jumbocl.vteximg.com.br/arquivos/ids/501300-250-250/Lechuga-Roble-Verde-Hidroponica-1-un.jpg?v=638920188532470000" TargetMode="External"/><Relationship Id="rId197" Type="http://schemas.openxmlformats.org/officeDocument/2006/relationships/hyperlink" Target="https://jumbocl.vteximg.com.br/arquivos/ids/445440-250-250/Salad-Kit-Cesar-250-g.jpg?v=638839631360970000" TargetMode="External"/><Relationship Id="rId362" Type="http://schemas.openxmlformats.org/officeDocument/2006/relationships/hyperlink" Target="https://jumbocl.vteximg.com.br/arquivos/ids/366871-250-250/Kit-de-recarga-retardador-de-descomposicion-de-vegetales-2-un.jpg?v=638776765239270000" TargetMode="External"/><Relationship Id="rId418" Type="http://schemas.openxmlformats.org/officeDocument/2006/relationships/hyperlink" Target="https://jumbocl.vteximg.com.br/arquivos/ids/563541-250-250/Mix-Frutos-Secos-Sembrasol-Banana-800-g.jpg?v=639038205512070000" TargetMode="External"/><Relationship Id="rId222" Type="http://schemas.openxmlformats.org/officeDocument/2006/relationships/hyperlink" Target="https://jumbocl.vteximg.com.br/arquivos/ids/625561-250-250/Granola-Keto-Maqui-312-g.jpg?v=639123760065270000" TargetMode="External"/><Relationship Id="rId264" Type="http://schemas.openxmlformats.org/officeDocument/2006/relationships/hyperlink" Target="https://jumbocl.vteximg.com.br/arquivos/ids/501595-250-250/Ensalada-Corazon-de-Apio-2-un.jpg?v=638920189080070000" TargetMode="External"/><Relationship Id="rId471" Type="http://schemas.openxmlformats.org/officeDocument/2006/relationships/hyperlink" Target="https://jumbocl.vteximg.com.br/arquivos/ids/356943-250-250/Ajo-negro-2-unid.jpg?v=638776715195900000" TargetMode="External"/><Relationship Id="rId17" Type="http://schemas.openxmlformats.org/officeDocument/2006/relationships/hyperlink" Target="https://jumbocl.vteximg.com.br/arquivos/ids/508710-250-250/Cilantro-Paquete-120-g.jpg?v=638935566848530000" TargetMode="External"/><Relationship Id="rId59" Type="http://schemas.openxmlformats.org/officeDocument/2006/relationships/hyperlink" Target="https://jumbocl.vteximg.com.br/arquivos/ids/304058-250-250/261302-KG-01_17674.jpg?v=638776378765130000" TargetMode="External"/><Relationship Id="rId124" Type="http://schemas.openxmlformats.org/officeDocument/2006/relationships/hyperlink" Target="https://jumbocl.vteximg.com.br/arquivos/ids/348044-250-250/261265-KG.jpg?v=638776479549630000" TargetMode="External"/><Relationship Id="rId527" Type="http://schemas.openxmlformats.org/officeDocument/2006/relationships/hyperlink" Target="https://jumbocl.vteximg.com.br/arquivos/ids/352982-250-250/506887.jpg?v=638776695490600000" TargetMode="External"/><Relationship Id="rId569" Type="http://schemas.openxmlformats.org/officeDocument/2006/relationships/hyperlink" Target="https://jumbocl.vteximg.com.br/arquivos/ids/360206-250-250/Principal-440136.jpg?v=638776731646400000" TargetMode="External"/><Relationship Id="rId70" Type="http://schemas.openxmlformats.org/officeDocument/2006/relationships/hyperlink" Target="https://jumbocl.vteximg.com.br/arquivos/ids/353017-250-250/Zapallo-1-unid-1-17495.jpg?v=638776695655700000" TargetMode="External"/><Relationship Id="rId166" Type="http://schemas.openxmlformats.org/officeDocument/2006/relationships/hyperlink" Target="https://jumbocl.vteximg.com.br/arquivos/ids/355668-250-250/Romero-30-g.jpg?v=638776708339930000" TargetMode="External"/><Relationship Id="rId331" Type="http://schemas.openxmlformats.org/officeDocument/2006/relationships/hyperlink" Target="https://jumbocl.vteximg.com.br/arquivos/ids/404887-250-250/PAPA-FREIR-2-KG.jpg?v=638779826771630000" TargetMode="External"/><Relationship Id="rId373" Type="http://schemas.openxmlformats.org/officeDocument/2006/relationships/hyperlink" Target="https://jumbocl.vteximg.com.br/arquivos/ids/347969-250-250/1261597.jpg?v=638776478547330000" TargetMode="External"/><Relationship Id="rId429" Type="http://schemas.openxmlformats.org/officeDocument/2006/relationships/hyperlink" Target="https://jumbocl.vteximg.com.br/arquivos/ids/347924-250-250/Apio-Genial-500-g.jpg?v=638776477937230000" TargetMode="External"/><Relationship Id="rId580" Type="http://schemas.openxmlformats.org/officeDocument/2006/relationships/hyperlink" Target="https://jumbocl.vteximg.com.br/arquivos/ids/369418-250-250/Coliflor-morado.jpg?v=638776777171630000" TargetMode="External"/><Relationship Id="rId1" Type="http://schemas.openxmlformats.org/officeDocument/2006/relationships/hyperlink" Target="https://jumbocl.vteximg.com.br/arquivos/ids/352981-250-250/977515.jpg?v=638776695489130000" TargetMode="External"/><Relationship Id="rId233" Type="http://schemas.openxmlformats.org/officeDocument/2006/relationships/hyperlink" Target="https://jumbocl.vteximg.com.br/arquivos/ids/525509-250-250/2036332-01_711082.jpg?v=638962400536600000" TargetMode="External"/><Relationship Id="rId440" Type="http://schemas.openxmlformats.org/officeDocument/2006/relationships/hyperlink" Target="https://jumbocl.vteximg.com.br/arquivos/ids/353040-250-250/Repollo-Blanco-Genial-Bolsa-600-g.jpg?v=638776695753600000" TargetMode="External"/><Relationship Id="rId28" Type="http://schemas.openxmlformats.org/officeDocument/2006/relationships/hyperlink" Target="https://jumbocl.vteximg.com.br/arquivos/ids/359150-250-250/Manzana-Verde-granel.jpg?v=638776727077300000" TargetMode="External"/><Relationship Id="rId275" Type="http://schemas.openxmlformats.org/officeDocument/2006/relationships/hyperlink" Target="https://jumbocl.vteximg.com.br/arquivos/ids/297649-250-250/Almendras-fileteadas-Alto-la-Cruz-140-g.jpg?v=638775741759930000" TargetMode="External"/><Relationship Id="rId300" Type="http://schemas.openxmlformats.org/officeDocument/2006/relationships/hyperlink" Target="https://jumbocl.vteximg.com.br/arquivos/ids/353029-250-250/1350589.jpg?v=638776695702870000" TargetMode="External"/><Relationship Id="rId482" Type="http://schemas.openxmlformats.org/officeDocument/2006/relationships/hyperlink" Target="https://jumbocl.vteximg.com.br/arquivos/ids/353104-250-250/Asian-salad-mix-organica-150-g.jpg?v=638776696003300000" TargetMode="External"/><Relationship Id="rId538" Type="http://schemas.openxmlformats.org/officeDocument/2006/relationships/hyperlink" Target="https://jumbocl.vteximg.com.br/arquivos/ids/353004-250-250/Zapallo-Italiano-Organico-1-unid.jpg?v=638776695602100000" TargetMode="External"/><Relationship Id="rId81" Type="http://schemas.openxmlformats.org/officeDocument/2006/relationships/hyperlink" Target="https://jumbocl.vteximg.com.br/arquivos/ids/347991-250-250/Berenjenas-unid.jpg?v=638776478840170000" TargetMode="External"/><Relationship Id="rId135" Type="http://schemas.openxmlformats.org/officeDocument/2006/relationships/hyperlink" Target="https://jumbocl.vteximg.com.br/arquivos/ids/347922-250-250/Zanahoria-corte-Juliana-300-g.jpg?v=638776477909230000" TargetMode="External"/><Relationship Id="rId177" Type="http://schemas.openxmlformats.org/officeDocument/2006/relationships/hyperlink" Target="https://jumbocl.vteximg.com.br/arquivos/ids/348026-250-250/261046-01_5625.jpg?v=638776479328730000" TargetMode="External"/><Relationship Id="rId342" Type="http://schemas.openxmlformats.org/officeDocument/2006/relationships/hyperlink" Target="https://jumbocl.vteximg.com.br/arquivos/ids/362215-250-250/Crutones-con-queso-y-ajo-80-g.jpg?v=638776741724900000" TargetMode="External"/><Relationship Id="rId384" Type="http://schemas.openxmlformats.org/officeDocument/2006/relationships/hyperlink" Target="https://jumbocl.vteximg.com.br/arquivos/ids/353101-250-250/677970.jpg?v=638776696000470000" TargetMode="External"/><Relationship Id="rId591" Type="http://schemas.openxmlformats.org/officeDocument/2006/relationships/hyperlink" Target="https://jumbocl.vteximg.com.br/arquivos/ids/315483-250-250/Ciruela-granel.jpg?v=638776405404870000" TargetMode="External"/><Relationship Id="rId605" Type="http://schemas.openxmlformats.org/officeDocument/2006/relationships/hyperlink" Target="https://jumbocl.vteximg.com.br/arquivos/ids/500100-250-250/Zanahoria-Mini-450-g.jpg?v=638917602645300000" TargetMode="External"/><Relationship Id="rId202" Type="http://schemas.openxmlformats.org/officeDocument/2006/relationships/hyperlink" Target="https://jumbocl.vteximg.com.br/arquivos/ids/381147-250-250/Dientes-de-Ajo-Negro-Chilote-frasco-125-g.jpg?v=638776826160500000" TargetMode="External"/><Relationship Id="rId244" Type="http://schemas.openxmlformats.org/officeDocument/2006/relationships/hyperlink" Target="https://jumbocl.vteximg.com.br/arquivos/ids/362355-250-250/Pimiento-naranjo-unid-1-116564.jpg?v=638776742576070000" TargetMode="External"/><Relationship Id="rId39" Type="http://schemas.openxmlformats.org/officeDocument/2006/relationships/hyperlink" Target="https://jumbocl.vteximg.com.br/arquivos/ids/348049-250-250/Principal-9264.jpg?v=638776479634970000" TargetMode="External"/><Relationship Id="rId286" Type="http://schemas.openxmlformats.org/officeDocument/2006/relationships/hyperlink" Target="https://jumbocl.vteximg.com.br/arquivos/ids/353016-250-250/Cochayuyo-1-unid-1-17505.jpg?v=638776695654770000" TargetMode="External"/><Relationship Id="rId451" Type="http://schemas.openxmlformats.org/officeDocument/2006/relationships/hyperlink" Target="https://jumbocl.vteximg.com.br/arquivos/ids/355831-250-250/545240.jpg?v=638776709206830000" TargetMode="External"/><Relationship Id="rId493" Type="http://schemas.openxmlformats.org/officeDocument/2006/relationships/hyperlink" Target="https://jumbocl.vteximg.com.br/arquivos/ids/299866-250-250/Ali%C3%B1o-Ajo-Ciboulette-Gourmet-Envase-250-g.jpg?v=639064271425000000" TargetMode="External"/><Relationship Id="rId507" Type="http://schemas.openxmlformats.org/officeDocument/2006/relationships/hyperlink" Target="https://jumbocl.vteximg.com.br/arquivos/ids/341459-250-250/Castana-de-Caju-Cuisineco-250-g.jpg?v=638776441760670000" TargetMode="External"/><Relationship Id="rId549" Type="http://schemas.openxmlformats.org/officeDocument/2006/relationships/hyperlink" Target="https://jumbocl.vteximg.com.br/arquivos/ids/353110-250-250/Cebollin-Tokyo-organico-6-un.jpg?v=638776696032500000" TargetMode="External"/><Relationship Id="rId50" Type="http://schemas.openxmlformats.org/officeDocument/2006/relationships/hyperlink" Target="https://jumbocl.vteximg.com.br/arquivos/ids/347990-250-250/260497-01_5585.jpg?v=638776478829670000" TargetMode="External"/><Relationship Id="rId104" Type="http://schemas.openxmlformats.org/officeDocument/2006/relationships/hyperlink" Target="https://jumbocl.vteximg.com.br/arquivos/ids/371988-250-250/Moras-pote-70-g.jpg?v=638776789489900000" TargetMode="External"/><Relationship Id="rId146" Type="http://schemas.openxmlformats.org/officeDocument/2006/relationships/hyperlink" Target="https://jumbocl.vteximg.com.br/arquivos/ids/347941-250-250/Principal-9092.jpg?v=638776478171670000" TargetMode="External"/><Relationship Id="rId188" Type="http://schemas.openxmlformats.org/officeDocument/2006/relationships/hyperlink" Target="https://jumbocl.vteximg.com.br/arquivos/ids/348003-250-250/260602.jpg?v=638776479030730000" TargetMode="External"/><Relationship Id="rId311" Type="http://schemas.openxmlformats.org/officeDocument/2006/relationships/hyperlink" Target="https://jumbocl.vteximg.com.br/arquivos/ids/473711-250-250/Mix-Fruta-Mango-Pi%C3%B1a-Arandano-Frambuesa-300-g.jpg?v=638872408450000000" TargetMode="External"/><Relationship Id="rId353" Type="http://schemas.openxmlformats.org/officeDocument/2006/relationships/hyperlink" Target="https://jumbocl.vteximg.com.br/arquivos/ids/353056-250-250/1433833.jpg?v=638776695814730000" TargetMode="External"/><Relationship Id="rId395" Type="http://schemas.openxmlformats.org/officeDocument/2006/relationships/hyperlink" Target="https://jumbocl.vteximg.com.br/arquivos/ids/312756-250-250/Mix-frutos-secos-y-semillas-30-g.jpg?v=638776397501930000" TargetMode="External"/><Relationship Id="rId409" Type="http://schemas.openxmlformats.org/officeDocument/2006/relationships/hyperlink" Target="https://jumbocl.vteximg.com.br/arquivos/ids/356466-250-250/1616094.jpg?v=638776712686670000" TargetMode="External"/><Relationship Id="rId560" Type="http://schemas.openxmlformats.org/officeDocument/2006/relationships/hyperlink" Target="https://jumbocl.vteximg.com.br/arquivos/ids/353175-250-250/260610-01.png?v=638776696292230000" TargetMode="External"/><Relationship Id="rId92" Type="http://schemas.openxmlformats.org/officeDocument/2006/relationships/hyperlink" Target="https://jumbocl.vteximg.com.br/arquivos/ids/351970-250-250/Pi%C3%B1a-un.jpg?v=638776687852100000" TargetMode="External"/><Relationship Id="rId213" Type="http://schemas.openxmlformats.org/officeDocument/2006/relationships/hyperlink" Target="https://jumbocl.vteximg.com.br/arquivos/ids/473849-250-250/Apio-y-Zanahoria-Basico-300-g.jpg?v=638872409055670000" TargetMode="External"/><Relationship Id="rId420" Type="http://schemas.openxmlformats.org/officeDocument/2006/relationships/hyperlink" Target="https://jumbocl.vteximg.com.br/arquivos/ids/355835-250-250/545258.jpg?v=638776709234570000" TargetMode="External"/><Relationship Id="rId255" Type="http://schemas.openxmlformats.org/officeDocument/2006/relationships/hyperlink" Target="https://jumbocl.vteximg.com.br/arquivos/ids/393552-250-250/PAPA-OX-MALLA-15-KG.jpg?v=638776875102330000" TargetMode="External"/><Relationship Id="rId297" Type="http://schemas.openxmlformats.org/officeDocument/2006/relationships/hyperlink" Target="https://jumbocl.vteximg.com.br/arquivos/ids/322290-250-250/Casta%C3%B1a-Caju-Tostada-Sin-Sal-700-g.jpg?v=638776425822700000" TargetMode="External"/><Relationship Id="rId462" Type="http://schemas.openxmlformats.org/officeDocument/2006/relationships/hyperlink" Target="https://jumbocl.vteximg.com.br/arquivos/ids/347932-250-250/Lechuga-escarola-600-g.jpg?v=638776478057770000" TargetMode="External"/><Relationship Id="rId518" Type="http://schemas.openxmlformats.org/officeDocument/2006/relationships/hyperlink" Target="https://jumbocl.vteximg.com.br/arquivos/ids/364181-250-250/Pasas-rubias-300-g.jpg?v=638776752849370000" TargetMode="External"/><Relationship Id="rId115" Type="http://schemas.openxmlformats.org/officeDocument/2006/relationships/hyperlink" Target="https://jumbocl.vteximg.com.br/arquivos/ids/606360-250-250/Albahaca-30-g.jpg?v=639104937003600000" TargetMode="External"/><Relationship Id="rId157" Type="http://schemas.openxmlformats.org/officeDocument/2006/relationships/hyperlink" Target="https://jumbocl.vteximg.com.br/arquivos/ids/587784-250-250/Rucula-Bolsa-200-g.jpg?v=639084037335230000" TargetMode="External"/><Relationship Id="rId322" Type="http://schemas.openxmlformats.org/officeDocument/2006/relationships/hyperlink" Target="https://jumbocl.vteximg.com.br/arquivos/ids/379289-250-250/Mix-Power-700-g.jpg?v=638776818639500000" TargetMode="External"/><Relationship Id="rId364" Type="http://schemas.openxmlformats.org/officeDocument/2006/relationships/hyperlink" Target="https://jumbocl.vteximg.com.br/arquivos/ids/355942-250-250/Champi%C3%B1on-royal-400-g.jpg?v=638776709796800000" TargetMode="External"/><Relationship Id="rId61" Type="http://schemas.openxmlformats.org/officeDocument/2006/relationships/hyperlink" Target="https://jumbocl.vteximg.com.br/arquivos/ids/348047-250-250/Tomate-romanita-340-g.jpg?v=638776479612530000" TargetMode="External"/><Relationship Id="rId199" Type="http://schemas.openxmlformats.org/officeDocument/2006/relationships/hyperlink" Target="https://jumbocl.vteximg.com.br/arquivos/ids/347910-250-250/Ensalada-de-Lechuga-Escarola-Dole-300-g.jpg?v=638776477753830000" TargetMode="External"/><Relationship Id="rId571" Type="http://schemas.openxmlformats.org/officeDocument/2006/relationships/hyperlink" Target="https://jumbocl.vteximg.com.br/arquivos/ids/361500-250-250/Mix-frutos-secos-nara-y-kan-180-g-1-440134.jpg?v=638776737593030000" TargetMode="External"/><Relationship Id="rId19" Type="http://schemas.openxmlformats.org/officeDocument/2006/relationships/hyperlink" Target="https://jumbocl.vteximg.com.br/arquivos/ids/501318-250-250/Lechuga-Hidroponica-Espa%C3%B1ola-1-un.jpg?v=638920188566030000" TargetMode="External"/><Relationship Id="rId224" Type="http://schemas.openxmlformats.org/officeDocument/2006/relationships/hyperlink" Target="https://jumbocl.vteximg.com.br/arquivos/ids/445462-250-250/RUCULA-BABY-PV-150.jpg?v=638839631438070000" TargetMode="External"/><Relationship Id="rId266" Type="http://schemas.openxmlformats.org/officeDocument/2006/relationships/hyperlink" Target="https://jumbocl.vteximg.com.br/arquivos/ids/306784-250-250/Brotes-de-Soya.jpg?v=638776383138100000" TargetMode="External"/><Relationship Id="rId431" Type="http://schemas.openxmlformats.org/officeDocument/2006/relationships/hyperlink" Target="https://jumbocl.vteximg.com.br/arquivos/ids/357079-250-250/Mix-frutos-secos-y-semillas-Surco-300-g.jpg?v=638776715680570000" TargetMode="External"/><Relationship Id="rId473" Type="http://schemas.openxmlformats.org/officeDocument/2006/relationships/hyperlink" Target="https://jumbocl.vteximg.com.br/arquivos/ids/563537-250-250/Mix-Semillas-Sembrasol-Breakfast-Ox-860-g.jpg?v=639038205485730000" TargetMode="External"/><Relationship Id="rId529" Type="http://schemas.openxmlformats.org/officeDocument/2006/relationships/hyperlink" Target="https://jumbocl.vteximg.com.br/arquivos/ids/357614-250-250/Arandanos-pote-125-g.jpg?v=638776719950200000" TargetMode="External"/><Relationship Id="rId30" Type="http://schemas.openxmlformats.org/officeDocument/2006/relationships/hyperlink" Target="https://jumbocl.vteximg.com.br/arquivos/ids/348032-250-250/Pimiento-verde-un.jpg?v=638776479402300000" TargetMode="External"/><Relationship Id="rId126" Type="http://schemas.openxmlformats.org/officeDocument/2006/relationships/hyperlink" Target="https://jumbocl.vteximg.com.br/arquivos/ids/347920-250-250/Spring-mix-Dole-150-g.jpg?v=638776477883670000" TargetMode="External"/><Relationship Id="rId168" Type="http://schemas.openxmlformats.org/officeDocument/2006/relationships/hyperlink" Target="https://jumbocl.vteximg.com.br/arquivos/ids/359261-250-250/1083950.jpg?v=638776727525030000" TargetMode="External"/><Relationship Id="rId333" Type="http://schemas.openxmlformats.org/officeDocument/2006/relationships/hyperlink" Target="https://jumbocl.vteximg.com.br/arquivos/ids/458156-250-250/Zanahoria-Baby-Dole-454-g.jpg?v=638858753422730000" TargetMode="External"/><Relationship Id="rId540" Type="http://schemas.openxmlformats.org/officeDocument/2006/relationships/hyperlink" Target="https://jumbocl.vteximg.com.br/arquivos/ids/353003-250-250/Pimiento-verde-organico-un.jpg?v=638776695601800000" TargetMode="External"/><Relationship Id="rId72" Type="http://schemas.openxmlformats.org/officeDocument/2006/relationships/hyperlink" Target="https://jumbocl.vteximg.com.br/arquivos/ids/348017-250-250/Limon-granel.jpg?v=638776479204030000" TargetMode="External"/><Relationship Id="rId375" Type="http://schemas.openxmlformats.org/officeDocument/2006/relationships/hyperlink" Target="https://jumbocl.vteximg.com.br/arquivos/ids/648202-250-250/Brotes-de-Arveja-150-g.jpg?v=639155313569200000" TargetMode="External"/><Relationship Id="rId582" Type="http://schemas.openxmlformats.org/officeDocument/2006/relationships/hyperlink" Target="https://jumbocl.vteximg.com.br/arquivos/ids/369576-250-250/Verde-aroma-tomate-cherry-organica.jpg?v=638776777953170000" TargetMode="External"/><Relationship Id="rId3" Type="http://schemas.openxmlformats.org/officeDocument/2006/relationships/hyperlink" Target="https://jumbocl.vteximg.com.br/arquivos/ids/348021-250-250/Palta-Hass-Extra-Chilena-granel.jpg?v=638784526059170000" TargetMode="External"/><Relationship Id="rId235" Type="http://schemas.openxmlformats.org/officeDocument/2006/relationships/hyperlink" Target="https://jumbocl.vteximg.com.br/arquivos/ids/650629-250-250/Coco-Fresco-Unidad.jpg?v=639165261813300000" TargetMode="External"/><Relationship Id="rId277" Type="http://schemas.openxmlformats.org/officeDocument/2006/relationships/hyperlink" Target="https://jumbocl.vteximg.com.br/arquivos/ids/347925-250-250/Cebolla-en-Cubo-Genial-200-g.jpg?v=638776477951830000" TargetMode="External"/><Relationship Id="rId400" Type="http://schemas.openxmlformats.org/officeDocument/2006/relationships/hyperlink" Target="https://jumbocl.vteximg.com.br/arquivos/ids/410974-250-250/Ensalada-Apio-Juliana-300-g.jpg?v=638791097298470000" TargetMode="External"/><Relationship Id="rId442" Type="http://schemas.openxmlformats.org/officeDocument/2006/relationships/hyperlink" Target="https://jumbocl.vteximg.com.br/arquivos/ids/648203-250-250/Brote-de-Soya-250-g.jpg?v=639155313573800000" TargetMode="External"/><Relationship Id="rId484" Type="http://schemas.openxmlformats.org/officeDocument/2006/relationships/hyperlink" Target="https://jumbocl.vteximg.com.br/arquivos/ids/654647-250-250/Brotes-de-Rabanito-150-g.jpg?v=639177471581500000" TargetMode="External"/><Relationship Id="rId137" Type="http://schemas.openxmlformats.org/officeDocument/2006/relationships/hyperlink" Target="https://jumbocl.vteximg.com.br/arquivos/ids/348053-250-250/Zanahorias-Jugo-1-kg.jpg?v=638776479708200000" TargetMode="External"/><Relationship Id="rId302" Type="http://schemas.openxmlformats.org/officeDocument/2006/relationships/hyperlink" Target="https://jumbocl.vteximg.com.br/arquivos/ids/353027-250-250/Diente-de-dragon-1-kg.jpg?v=638776695699900000" TargetMode="External"/><Relationship Id="rId344" Type="http://schemas.openxmlformats.org/officeDocument/2006/relationships/hyperlink" Target="https://jumbocl.vteximg.com.br/arquivos/ids/347968-250-250/1261595.jpg?v=638776478534000000" TargetMode="External"/><Relationship Id="rId41" Type="http://schemas.openxmlformats.org/officeDocument/2006/relationships/hyperlink" Target="https://jumbocl.vteximg.com.br/arquivos/ids/347986-250-250/Ajo-3-unid.jpg?v=638776478772070000" TargetMode="External"/><Relationship Id="rId83" Type="http://schemas.openxmlformats.org/officeDocument/2006/relationships/hyperlink" Target="https://jumbocl.vteximg.com.br/arquivos/ids/501332-250-250/Trio-de-Lechugas-Hidroponicas-Pura-Hoja-1-un.jpg?v=638920188592700000" TargetMode="External"/><Relationship Id="rId179" Type="http://schemas.openxmlformats.org/officeDocument/2006/relationships/hyperlink" Target="https://jumbocl.vteximg.com.br/arquivos/ids/384549-250-250/Corazon-costina-3-un.jpg?v=638776840666900000" TargetMode="External"/><Relationship Id="rId386" Type="http://schemas.openxmlformats.org/officeDocument/2006/relationships/hyperlink" Target="https://jumbocl.vteximg.com.br/arquivos/ids/353161-250-250/Pomelo-rosado-2-kg.jpg?v=638776696229930000" TargetMode="External"/><Relationship Id="rId551" Type="http://schemas.openxmlformats.org/officeDocument/2006/relationships/hyperlink" Target="https://jumbocl.vteximg.com.br/arquivos/ids/353117-250-250/Frambuesa-125-g.jpg?v=638776696051970000" TargetMode="External"/><Relationship Id="rId593" Type="http://schemas.openxmlformats.org/officeDocument/2006/relationships/hyperlink" Target="https://jumbocl.vteximg.com.br/arquivos/ids/380448-250-250/Coliflor-romanesco-un.jpg?v=638776823285830000" TargetMode="External"/><Relationship Id="rId607" Type="http://schemas.openxmlformats.org/officeDocument/2006/relationships/hyperlink" Target="https://jumbocl.vteximg.com.br/arquivos/ids/532272-250-250/Zanahoria-Organica-Malla-1-kg.jpg?v=638979413953970000" TargetMode="External"/><Relationship Id="rId190" Type="http://schemas.openxmlformats.org/officeDocument/2006/relationships/hyperlink" Target="https://jumbocl.vteximg.com.br/arquivos/ids/368446-250-250/Ensalada-asiatica-350-g.jpg?v=638776772674500000" TargetMode="External"/><Relationship Id="rId204" Type="http://schemas.openxmlformats.org/officeDocument/2006/relationships/hyperlink" Target="https://jumbocl.vteximg.com.br/arquivos/ids/347927-250-250/Ensalada-de-Zanahoria-corte-Juliana-Genial-300-g.jpg?v=638776477983130000" TargetMode="External"/><Relationship Id="rId246" Type="http://schemas.openxmlformats.org/officeDocument/2006/relationships/hyperlink" Target="https://jumbocl.vteximg.com.br/arquivos/ids/353169-250-250/260725-01_18001.jpg?v=638776696258070000" TargetMode="External"/><Relationship Id="rId288" Type="http://schemas.openxmlformats.org/officeDocument/2006/relationships/hyperlink" Target="https://jumbocl.vteximg.com.br/arquivos/ids/347952-250-250/1497667.jpg?v=638776478323600000" TargetMode="External"/><Relationship Id="rId411" Type="http://schemas.openxmlformats.org/officeDocument/2006/relationships/hyperlink" Target="https://jumbocl.vteximg.com.br/arquivos/ids/347918-250-250/Repollo-blanco-600-g.jpg?v=638776477859030000" TargetMode="External"/><Relationship Id="rId453" Type="http://schemas.openxmlformats.org/officeDocument/2006/relationships/hyperlink" Target="https://jumbocl.vteximg.com.br/arquivos/ids/353173-250-250/545259.jpg?v=638776696280900000" TargetMode="External"/><Relationship Id="rId509" Type="http://schemas.openxmlformats.org/officeDocument/2006/relationships/hyperlink" Target="https://jumbocl.vteximg.com.br/arquivos/ids/366048-250-250/Pistacho-con-c-scara-200-g-1-92801012.jpg?v=638776761769030000" TargetMode="External"/><Relationship Id="rId106" Type="http://schemas.openxmlformats.org/officeDocument/2006/relationships/hyperlink" Target="https://jumbocl.vteximg.com.br/arquivos/ids/348036-250-250/261239.jpg?v=638776479451000000" TargetMode="External"/><Relationship Id="rId313" Type="http://schemas.openxmlformats.org/officeDocument/2006/relationships/hyperlink" Target="https://jumbocl.vteximg.com.br/arquivos/ids/366862-250-250/Espinaca-baby-lista-para-servir-bandeja-120-g-1-156009287.jpg?v=638776765192670000" TargetMode="External"/><Relationship Id="rId495" Type="http://schemas.openxmlformats.org/officeDocument/2006/relationships/hyperlink" Target="https://jumbocl.vteximg.com.br/arquivos/ids/365290-250-250/Nuez-mariposa-200-g.jpg?v=638776758140500000" TargetMode="External"/><Relationship Id="rId10" Type="http://schemas.openxmlformats.org/officeDocument/2006/relationships/hyperlink" Target="https://jumbocl.vteximg.com.br/arquivos/ids/297810-250-250/Tomate-granel.jpg?v=638775743642170000" TargetMode="External"/><Relationship Id="rId52" Type="http://schemas.openxmlformats.org/officeDocument/2006/relationships/hyperlink" Target="https://jumbocl.vteximg.com.br/arquivos/ids/347945-250-250/1502633.jpg?v=638776478232630000" TargetMode="External"/><Relationship Id="rId94" Type="http://schemas.openxmlformats.org/officeDocument/2006/relationships/hyperlink" Target="https://jumbocl.vteximg.com.br/arquivos/ids/326365-250-250/ENSALADA-ESPINACA-200GR.jpg?v=638776429145000000" TargetMode="External"/><Relationship Id="rId148" Type="http://schemas.openxmlformats.org/officeDocument/2006/relationships/hyperlink" Target="https://jumbocl.vteximg.com.br/arquivos/ids/304141-250-250/Zapallo-butternut-organico-unid.jpg?v=638776379189500000" TargetMode="External"/><Relationship Id="rId355" Type="http://schemas.openxmlformats.org/officeDocument/2006/relationships/hyperlink" Target="https://jumbocl.vteximg.com.br/arquivos/ids/353109-250-250/1074046.jpg?v=638776696032330000" TargetMode="External"/><Relationship Id="rId397" Type="http://schemas.openxmlformats.org/officeDocument/2006/relationships/hyperlink" Target="https://jumbocl.vteximg.com.br/arquivos/ids/479389-250-250/Mix-Chilli-Sabor-Merken-100-g.jpg?v=638881344197700000" TargetMode="External"/><Relationship Id="rId520" Type="http://schemas.openxmlformats.org/officeDocument/2006/relationships/hyperlink" Target="https://jumbocl.vteximg.com.br/arquivos/ids/352990-250-250/Pera-Abate-Fetel-granel.jpg?v=638776695523130000" TargetMode="External"/><Relationship Id="rId562" Type="http://schemas.openxmlformats.org/officeDocument/2006/relationships/hyperlink" Target="https://jumbocl.vteximg.com.br/arquivos/ids/355799-250-250/488495-01_28681.jpg?v=638776708985400000" TargetMode="External"/><Relationship Id="rId215" Type="http://schemas.openxmlformats.org/officeDocument/2006/relationships/hyperlink" Target="https://jumbocl.vteximg.com.br/arquivos/ids/482108-250-250/Cebollin-Paquete-3-un.jpg?v=638884643795700000" TargetMode="External"/><Relationship Id="rId257" Type="http://schemas.openxmlformats.org/officeDocument/2006/relationships/hyperlink" Target="https://jumbocl.vteximg.com.br/arquivos/ids/348007-250-250/1227317.jpg?v=638776479082830000" TargetMode="External"/><Relationship Id="rId422" Type="http://schemas.openxmlformats.org/officeDocument/2006/relationships/hyperlink" Target="https://jumbocl.vteximg.com.br/arquivos/ids/353150-250-250/Cebolla-organica-900-g.jpg?v=638776696188030000" TargetMode="External"/><Relationship Id="rId464" Type="http://schemas.openxmlformats.org/officeDocument/2006/relationships/hyperlink" Target="https://jumbocl.vteximg.com.br/arquivos/ids/346478-250-250/Salsa-de-Ajo-165-cc.jpg?v=638776459771930000" TargetMode="External"/><Relationship Id="rId299" Type="http://schemas.openxmlformats.org/officeDocument/2006/relationships/hyperlink" Target="https://jumbocl.vteximg.com.br/arquivos/ids/364928-250-250/Casta%C3%B1a-de-caju-100-g.jpg?v=638776756509730000" TargetMode="External"/><Relationship Id="rId63" Type="http://schemas.openxmlformats.org/officeDocument/2006/relationships/hyperlink" Target="https://jumbocl.vteximg.com.br/arquivos/ids/604283-250-250/Albahaca-1-un.jpg?v=639104849523370000" TargetMode="External"/><Relationship Id="rId159" Type="http://schemas.openxmlformats.org/officeDocument/2006/relationships/hyperlink" Target="https://jumbocl.vteximg.com.br/arquivos/ids/362438-250-250/Mix-italiano-Jumbo-pote-150-g-1-57509692.jpg?v=638776743054000000" TargetMode="External"/><Relationship Id="rId366" Type="http://schemas.openxmlformats.org/officeDocument/2006/relationships/hyperlink" Target="https://jumbocl.vteximg.com.br/arquivos/ids/611597-250-250/Hierba-Salvia-Deshidratada-16-g.jpg?v=639111764772600000" TargetMode="External"/><Relationship Id="rId573" Type="http://schemas.openxmlformats.org/officeDocument/2006/relationships/hyperlink" Target="https://jumbocl.vteximg.com.br/arquivos/ids/362353-250-250/Lechuga-escarola-org-nica-bandeja-2-unid-1-194703.jpg?v=638776742570430000" TargetMode="External"/><Relationship Id="rId226" Type="http://schemas.openxmlformats.org/officeDocument/2006/relationships/hyperlink" Target="https://jumbocl.vteximg.com.br/arquivos/ids/648204-250-250/Chapsui-Col-Mas-Vida-300-g.jpg?v=639155313581830000" TargetMode="External"/><Relationship Id="rId433" Type="http://schemas.openxmlformats.org/officeDocument/2006/relationships/hyperlink" Target="https://jumbocl.vteximg.com.br/arquivos/ids/388503-250-250/SEMILLA-LINAZA.jpg?v=638776856091000000" TargetMode="External"/><Relationship Id="rId74" Type="http://schemas.openxmlformats.org/officeDocument/2006/relationships/hyperlink" Target="https://jumbocl.vteximg.com.br/arquivos/ids/348020-250-250/260822.jpg?v=638776479240730000" TargetMode="External"/><Relationship Id="rId377" Type="http://schemas.openxmlformats.org/officeDocument/2006/relationships/hyperlink" Target="https://jumbocl.vteximg.com.br/arquivos/ids/394334-250-250/Huesillo-Grande-600-g.jpg?v=638776878404200000" TargetMode="External"/><Relationship Id="rId500" Type="http://schemas.openxmlformats.org/officeDocument/2006/relationships/hyperlink" Target="https://jumbocl.vteximg.com.br/arquivos/ids/365286-250-250/Pasas-morenas-100-g.jpg?v=638776758122700000" TargetMode="External"/><Relationship Id="rId584" Type="http://schemas.openxmlformats.org/officeDocument/2006/relationships/hyperlink" Target="https://jumbocl.vteximg.com.br/arquivos/ids/371807-250-250/Pera-summer-barlet-kg.jpg?v=638776788689170000" TargetMode="External"/><Relationship Id="rId5" Type="http://schemas.openxmlformats.org/officeDocument/2006/relationships/hyperlink" Target="https://jumbocl.vteximg.com.br/arquivos/ids/348018-250-250/Limon-malla-1-kg.jpg?v=638776479219900000" TargetMode="External"/><Relationship Id="rId237" Type="http://schemas.openxmlformats.org/officeDocument/2006/relationships/hyperlink" Target="https://jumbocl.vteximg.com.br/arquivos/ids/324199-250-250/Mix-Frutilla-Platano-Liofilizado-Tribu-20-g.jpg?v=638776427410200000" TargetMode="External"/><Relationship Id="rId444" Type="http://schemas.openxmlformats.org/officeDocument/2006/relationships/hyperlink" Target="https://jumbocl.vteximg.com.br/arquivos/ids/488613-250-250/TOMATE-DESHID-70GR.jpg?v=638894865028400000" TargetMode="External"/><Relationship Id="rId290" Type="http://schemas.openxmlformats.org/officeDocument/2006/relationships/hyperlink" Target="https://jumbocl.vteximg.com.br/arquivos/ids/365276-250-250/Semillas-de-zapallo-100-g.jpg?v=638776758066900000" TargetMode="External"/><Relationship Id="rId304" Type="http://schemas.openxmlformats.org/officeDocument/2006/relationships/hyperlink" Target="https://jumbocl.vteximg.com.br/arquivos/ids/362378-250-250/Mango-en-lonja-150-g.jpg?v=638776742692000000" TargetMode="External"/><Relationship Id="rId388" Type="http://schemas.openxmlformats.org/officeDocument/2006/relationships/hyperlink" Target="https://jumbocl.vteximg.com.br/arquivos/ids/554618-250-250/Proteina-de-Soya-Granel.jpg?v=639016862188300000" TargetMode="External"/><Relationship Id="rId511" Type="http://schemas.openxmlformats.org/officeDocument/2006/relationships/hyperlink" Target="https://jumbocl.vteximg.com.br/arquivos/ids/315689-250-250/Mix-Pasas-y-Berries-Cuisine---Co-700-g.jpg?v=638776406032000000" TargetMode="External"/><Relationship Id="rId609" Type="http://schemas.openxmlformats.org/officeDocument/2006/relationships/hyperlink" Target="https://jumbocl.vteximg.com.br/arquivos/ids/625138-250-250/Mandarina-Sumo-Granel.jpg?v=639123193598670000" TargetMode="External"/><Relationship Id="rId85" Type="http://schemas.openxmlformats.org/officeDocument/2006/relationships/hyperlink" Target="https://jumbocl.vteximg.com.br/arquivos/ids/352995-250-250/Pera-Forelle-granel-1-17461.jpg?v=638776695561770000" TargetMode="External"/><Relationship Id="rId150" Type="http://schemas.openxmlformats.org/officeDocument/2006/relationships/hyperlink" Target="https://jumbocl.vteximg.com.br/arquivos/ids/357081-250-250/Ensalada-mix-baby-roble-kale.jpg?v=638776715682300000" TargetMode="External"/><Relationship Id="rId595" Type="http://schemas.openxmlformats.org/officeDocument/2006/relationships/hyperlink" Target="https://jumbocl.vteximg.com.br/arquivos/ids/321061-250-250/Albahaca-Morada-Organica-Verde-Aroma.jpg?v=638776422379870000" TargetMode="External"/><Relationship Id="rId248" Type="http://schemas.openxmlformats.org/officeDocument/2006/relationships/hyperlink" Target="https://jumbocl.vteximg.com.br/arquivos/ids/642332-250-250/Frutilla-Liofilizada-Atama-Rodaja-10-g.jpg?v=639147966778670000" TargetMode="External"/><Relationship Id="rId455" Type="http://schemas.openxmlformats.org/officeDocument/2006/relationships/hyperlink" Target="https://jumbocl.vteximg.com.br/arquivos/ids/379276-250-250/Almendra-Natural-700-g.jpg?v=638776818592030000" TargetMode="External"/><Relationship Id="rId12" Type="http://schemas.openxmlformats.org/officeDocument/2006/relationships/hyperlink" Target="https://jumbocl.vteximg.com.br/arquivos/ids/347994-250-250/Brocoli-films-un.jpg?v=638776478878200000" TargetMode="External"/><Relationship Id="rId108" Type="http://schemas.openxmlformats.org/officeDocument/2006/relationships/hyperlink" Target="https://jumbocl.vteximg.com.br/arquivos/ids/348035-250-250/261238.jpg?v=638776479438570000" TargetMode="External"/><Relationship Id="rId315" Type="http://schemas.openxmlformats.org/officeDocument/2006/relationships/hyperlink" Target="https://jumbocl.vteximg.com.br/arquivos/ids/388493-250-250/ALMENDRAS-NATURALES.jpg?v=638776856048170000" TargetMode="External"/><Relationship Id="rId522" Type="http://schemas.openxmlformats.org/officeDocument/2006/relationships/hyperlink" Target="https://jumbocl.vteximg.com.br/arquivos/ids/363919-250-250/1811521-01_76292.jpg?v=638776751201830000" TargetMode="External"/><Relationship Id="rId96" Type="http://schemas.openxmlformats.org/officeDocument/2006/relationships/hyperlink" Target="https://jumbocl.vteximg.com.br/arquivos/ids/372058-250-250/Mix-mango-arandano-frutilla-400-g.jpg?v=638776789766770000" TargetMode="External"/><Relationship Id="rId161" Type="http://schemas.openxmlformats.org/officeDocument/2006/relationships/hyperlink" Target="https://jumbocl.vteximg.com.br/arquivos/ids/473717-250-250/Mix-Fruta-Mango-Frutilla-Kiwi-400-g.jpg?v=638872408467170000" TargetMode="External"/><Relationship Id="rId399" Type="http://schemas.openxmlformats.org/officeDocument/2006/relationships/hyperlink" Target="https://jumbocl.vteximg.com.br/arquivos/ids/388499-250-250/AVELLANA-EUROPEA.jpg?v=638776856067470000" TargetMode="External"/><Relationship Id="rId259" Type="http://schemas.openxmlformats.org/officeDocument/2006/relationships/hyperlink" Target="https://jumbocl.vteximg.com.br/arquivos/ids/348004-250-250/Champi%C3%B1ones-ostra-200-g.jpg?v=638776479042900000" TargetMode="External"/><Relationship Id="rId466" Type="http://schemas.openxmlformats.org/officeDocument/2006/relationships/hyperlink" Target="https://jumbocl.vteximg.com.br/arquivos/ids/353052-250-250/574125.jpg?v=638776695794830000" TargetMode="External"/><Relationship Id="rId23" Type="http://schemas.openxmlformats.org/officeDocument/2006/relationships/hyperlink" Target="https://jumbocl.vteximg.com.br/arquivos/ids/348043-250-250/261296-01_5641.jpg?v=638776479537200000" TargetMode="External"/><Relationship Id="rId119" Type="http://schemas.openxmlformats.org/officeDocument/2006/relationships/hyperlink" Target="https://jumbocl.vteximg.com.br/arquivos/ids/489471-250-250/Ensalada-Lechuga-Escarola-300-g.jpg?v=638900483976300000" TargetMode="External"/><Relationship Id="rId326" Type="http://schemas.openxmlformats.org/officeDocument/2006/relationships/hyperlink" Target="https://jumbocl.vteximg.com.br/arquivos/ids/648198-250-250/Ciboulette-Oriental-50-g.jpg?v=639155313544830000" TargetMode="External"/><Relationship Id="rId533" Type="http://schemas.openxmlformats.org/officeDocument/2006/relationships/hyperlink" Target="https://jumbocl.vteximg.com.br/arquivos/ids/304076-250-250/Durazno-Conservero-granel.jpg?v=638776378852200000" TargetMode="External"/><Relationship Id="rId172" Type="http://schemas.openxmlformats.org/officeDocument/2006/relationships/hyperlink" Target="https://jumbocl.vteximg.com.br/arquivos/ids/655008-250-250/Choclo-Cocido-2-un.jpg?v=639180051977200000" TargetMode="External"/><Relationship Id="rId477" Type="http://schemas.openxmlformats.org/officeDocument/2006/relationships/hyperlink" Target="https://jumbocl.vteximg.com.br/arquivos/ids/372307-250-250/Kale-mix-salad-150-g.jpg?v=638776790747170000" TargetMode="External"/><Relationship Id="rId600" Type="http://schemas.openxmlformats.org/officeDocument/2006/relationships/hyperlink" Target="https://jumbocl.vteximg.com.br/arquivos/ids/458046-250-250/Brocolini-Purpura-1-un.jpg?v=638857855984100000" TargetMode="External"/><Relationship Id="rId337" Type="http://schemas.openxmlformats.org/officeDocument/2006/relationships/hyperlink" Target="https://jumbocl.vteximg.com.br/arquivos/ids/347977-250-250/Rucula-Fresh-Cut-150-g.jpg?v=638776478652900000" TargetMode="External"/><Relationship Id="rId34" Type="http://schemas.openxmlformats.org/officeDocument/2006/relationships/hyperlink" Target="https://jumbocl.vteximg.com.br/arquivos/ids/353061-250-250/Lechuga-espa%C3%B1ola-un.jpg?v=638776695844600000" TargetMode="External"/><Relationship Id="rId544" Type="http://schemas.openxmlformats.org/officeDocument/2006/relationships/hyperlink" Target="https://jumbocl.vteximg.com.br/arquivos/ids/353080-250-250/Tomate-cherry-organico-pote-250-g.jpg?v=638776695917900000" TargetMode="External"/><Relationship Id="rId183" Type="http://schemas.openxmlformats.org/officeDocument/2006/relationships/hyperlink" Target="https://jumbocl.vteximg.com.br/arquivos/ids/488421-250-250/Mix-Fruta-Pi%C3%B1a-Frutilla-Arandano-250-g.jpg?v=638894807146830000" TargetMode="External"/><Relationship Id="rId390" Type="http://schemas.openxmlformats.org/officeDocument/2006/relationships/hyperlink" Target="https://jumbocl.vteximg.com.br/arquivos/ids/388497-250-250/COCO-EN-LONJA---SLICE--.jpg?v=638776856064200000" TargetMode="External"/><Relationship Id="rId404" Type="http://schemas.openxmlformats.org/officeDocument/2006/relationships/hyperlink" Target="https://jumbocl.vteximg.com.br/arquivos/ids/364931-250-250/Avellana-europea-100-g.jpg?v=638776756513500000" TargetMode="External"/><Relationship Id="rId611" Type="http://schemas.openxmlformats.org/officeDocument/2006/relationships/hyperlink" Target="https://jumbocl.vteximg.com.br/arquivos/ids/625320-250-250/Salsa-Heinz-Bacon-Burger-Squeeze-225-g.jpg?v=639123194170900000" TargetMode="External"/><Relationship Id="rId250" Type="http://schemas.openxmlformats.org/officeDocument/2006/relationships/hyperlink" Target="https://jumbocl.vteximg.com.br/arquivos/ids/523759-250-250/Chia-Organica-Manare-200-g.jpg?v=638959916597570000" TargetMode="External"/><Relationship Id="rId488" Type="http://schemas.openxmlformats.org/officeDocument/2006/relationships/hyperlink" Target="https://jumbocl.vteximg.com.br/arquivos/ids/341490-250-250/Mix-Semillas-Cuisine---Co-400-g.jpg?v=638776441786730000" TargetMode="External"/><Relationship Id="rId45" Type="http://schemas.openxmlformats.org/officeDocument/2006/relationships/hyperlink" Target="https://jumbocl.vteximg.com.br/arquivos/ids/359147-250-250/Pera-Packam-s-granel.jpg?v=638776727058800000" TargetMode="External"/><Relationship Id="rId110" Type="http://schemas.openxmlformats.org/officeDocument/2006/relationships/hyperlink" Target="https://jumbocl.vteximg.com.br/arquivos/ids/347913-250-250/Ensalada-Toscana-Dole-300-g.jpg?v=638776477793530000" TargetMode="External"/><Relationship Id="rId348" Type="http://schemas.openxmlformats.org/officeDocument/2006/relationships/hyperlink" Target="https://jumbocl.vteximg.com.br/arquivos/ids/362376-250-250/Cramberries-deshidratado-150-g.jpg?v=638776742680730000" TargetMode="External"/><Relationship Id="rId555" Type="http://schemas.openxmlformats.org/officeDocument/2006/relationships/hyperlink" Target="https://jumbocl.vteximg.com.br/arquivos/ids/353170-250-250/545250.jpg?v=638776696264300000" TargetMode="External"/><Relationship Id="rId194" Type="http://schemas.openxmlformats.org/officeDocument/2006/relationships/hyperlink" Target="https://jumbocl.vteximg.com.br/arquivos/ids/375477-250-250/Ensalada-toscana-roble-genial-200-g.jpg?v=638776803821300000" TargetMode="External"/><Relationship Id="rId208" Type="http://schemas.openxmlformats.org/officeDocument/2006/relationships/hyperlink" Target="https://jumbocl.vteximg.com.br/arquivos/ids/388500-250-250/CRANBERRIES-MITAD.jpg?v=638776856067800000" TargetMode="External"/><Relationship Id="rId415" Type="http://schemas.openxmlformats.org/officeDocument/2006/relationships/hyperlink" Target="https://jumbocl.vteximg.com.br/arquivos/ids/563543-250-250/Frutos-Secos-Dulce-Crunch-Avellana-650-g.jpg?v=639038205525900000" TargetMode="External"/><Relationship Id="rId261" Type="http://schemas.openxmlformats.org/officeDocument/2006/relationships/hyperlink" Target="https://jumbocl.vteximg.com.br/arquivos/ids/366995-250-250/Mix-power-mix-700-g-1-183513419.jpg?v=638776765794870000" TargetMode="External"/><Relationship Id="rId499" Type="http://schemas.openxmlformats.org/officeDocument/2006/relationships/hyperlink" Target="https://jumbocl.vteximg.com.br/arquivos/ids/380016-250-250/Semilla-de-Chia-700-g.jpg?v=638776821442670000" TargetMode="External"/><Relationship Id="rId56" Type="http://schemas.openxmlformats.org/officeDocument/2006/relationships/hyperlink" Target="https://jumbocl.vteximg.com.br/arquivos/ids/347943-250-250/Naranja-malla-2-kg.jpg?v=638776478204370000" TargetMode="External"/><Relationship Id="rId359" Type="http://schemas.openxmlformats.org/officeDocument/2006/relationships/hyperlink" Target="https://jumbocl.vteximg.com.br/arquivos/ids/347971-250-250/1261602.jpg?v=638776478572130000" TargetMode="External"/><Relationship Id="rId566" Type="http://schemas.openxmlformats.org/officeDocument/2006/relationships/hyperlink" Target="https://jumbocl.vteximg.com.br/arquivos/ids/356180-250-250/1511661-01_31054.jpg?v=638776711125070000" TargetMode="External"/><Relationship Id="rId121" Type="http://schemas.openxmlformats.org/officeDocument/2006/relationships/hyperlink" Target="https://jumbocl.vteximg.com.br/arquivos/ids/347947-250-250/Ciruelas-Dagen-sin-carozo-300-g.jpg?v=638776478260500000" TargetMode="External"/><Relationship Id="rId219" Type="http://schemas.openxmlformats.org/officeDocument/2006/relationships/hyperlink" Target="https://jumbocl.vteximg.com.br/arquivos/ids/388491-250-250/CASTA%C3%91AS-DE-CAJU-TOSTADAS-SIN-SAL.jpg?v=638776856045570000" TargetMode="External"/><Relationship Id="rId426" Type="http://schemas.openxmlformats.org/officeDocument/2006/relationships/hyperlink" Target="https://jumbocl.vteximg.com.br/arquivos/ids/347930-250-250/Ensalada-Mixta-Repollo-y-Zanahoria-Genial-300-g.jpg?v=638776478028200000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cdn.shopify.com/s/files/1/0358/9780/2890/files/FotosWeb_parte1_Mesadetrabajo1copia4_697bb070-812f-417b-b38c-085882796d2b.jpg?v=1715966904" TargetMode="External"/><Relationship Id="rId21" Type="http://schemas.openxmlformats.org/officeDocument/2006/relationships/hyperlink" Target="https://cdn.shopify.com/s/files/1/0358/9780/2890/files/Fotos_Web_parte5_Mesa_de_trabajo_1_copia_55.jpg?v=1733265099" TargetMode="External"/><Relationship Id="rId42" Type="http://schemas.openxmlformats.org/officeDocument/2006/relationships/hyperlink" Target="https://cdn.shopify.com/s/files/1/0358/9780/2890/files/2_4bbd85bb-ff86-418f-bba7-9521000503f5.jpg?v=1780940429" TargetMode="External"/><Relationship Id="rId47" Type="http://schemas.openxmlformats.org/officeDocument/2006/relationships/hyperlink" Target="https://cdn.shopify.com/s/files/1/0358/9780/2890/products/AjiVerde.png?v=1584814473" TargetMode="External"/><Relationship Id="rId63" Type="http://schemas.openxmlformats.org/officeDocument/2006/relationships/hyperlink" Target="https://cdn.shopify.com/s/files/1/0358/9780/2890/products/Ciboullette.png?v=1584815994" TargetMode="External"/><Relationship Id="rId68" Type="http://schemas.openxmlformats.org/officeDocument/2006/relationships/hyperlink" Target="https://cdn.shopify.com/s/files/1/0358/9780/2890/files/hinojoweb.jpg?v=1759256027" TargetMode="External"/><Relationship Id="rId84" Type="http://schemas.openxmlformats.org/officeDocument/2006/relationships/hyperlink" Target="https://cdn.shopify.com/s/files/1/0358/9780/2890/products/papa-asterix-kilo.jpg?v=1604277871" TargetMode="External"/><Relationship Id="rId89" Type="http://schemas.openxmlformats.org/officeDocument/2006/relationships/hyperlink" Target="https://cdn.shopify.com/s/files/1/0358/9780/2890/products/Pepino.jpg?v=1584816961" TargetMode="External"/><Relationship Id="rId112" Type="http://schemas.openxmlformats.org/officeDocument/2006/relationships/hyperlink" Target="https://cdn.shopify.com/s/files/1/0358/9780/2890/files/FotosWeb_parte3_Mesadetrabajo1copia7.jpg?v=1711036726" TargetMode="External"/><Relationship Id="rId16" Type="http://schemas.openxmlformats.org/officeDocument/2006/relationships/hyperlink" Target="https://cdn.shopify.com/s/files/1/0358/9780/2890/files/FotosWeb_parte1_Mesadetrabajo1copia9.jpg?v=1709743349" TargetMode="External"/><Relationship Id="rId107" Type="http://schemas.openxmlformats.org/officeDocument/2006/relationships/hyperlink" Target="https://cdn.shopify.com/s/files/1/0358/9780/2890/files/FotosWeb_parte3_Mesadetrabajo1copia9.jpg?v=1711036656" TargetMode="External"/><Relationship Id="rId11" Type="http://schemas.openxmlformats.org/officeDocument/2006/relationships/hyperlink" Target="https://cdn.shopify.com/s/files/1/0358/9780/2890/files/2_4bbd85bb-ff86-418f-bba7-9521000503f5.jpg?v=1780940429" TargetMode="External"/><Relationship Id="rId32" Type="http://schemas.openxmlformats.org/officeDocument/2006/relationships/hyperlink" Target="https://cdn.shopify.com/s/files/1/0358/9780/2890/files/Parte_4_Mesa_de_trabajo_1_copia_59.jpg?v=1728048711" TargetMode="External"/><Relationship Id="rId37" Type="http://schemas.openxmlformats.org/officeDocument/2006/relationships/hyperlink" Target="https://cdn.shopify.com/s/files/1/0358/9780/2890/files/Canasta_base_de_frutas_y_verduras_Juan_Esparraguito.jpg?v=1774443286" TargetMode="External"/><Relationship Id="rId53" Type="http://schemas.openxmlformats.org/officeDocument/2006/relationships/hyperlink" Target="https://cdn.shopify.com/s/files/1/0358/9780/2890/files/FotosWeb_parte2_Mesadetrabajo1copia14.jpg?v=1711034016" TargetMode="External"/><Relationship Id="rId58" Type="http://schemas.openxmlformats.org/officeDocument/2006/relationships/hyperlink" Target="https://cdn.shopify.com/s/files/1/0358/9780/2890/files/FotosWeb_parte2_Mesadetrabajo1copia25.jpg?v=1711034251" TargetMode="External"/><Relationship Id="rId74" Type="http://schemas.openxmlformats.org/officeDocument/2006/relationships/hyperlink" Target="https://cdn.shopify.com/s/files/1/0358/9780/2890/files/FotosWeb_parte3_Mesadetrabajo1copia15.jpg?v=1713808620" TargetMode="External"/><Relationship Id="rId79" Type="http://schemas.openxmlformats.org/officeDocument/2006/relationships/hyperlink" Target="https://cdn.shopify.com/s/files/1/0358/9780/2890/files/FotosWeb_parte2_Mesadetrabajo1copia63.jpg?v=1711034748" TargetMode="External"/><Relationship Id="rId102" Type="http://schemas.openxmlformats.org/officeDocument/2006/relationships/hyperlink" Target="https://cdn.shopify.com/s/files/1/0358/9780/2890/products/tomatecherrymix.jpg?v=1777477720" TargetMode="External"/><Relationship Id="rId5" Type="http://schemas.openxmlformats.org/officeDocument/2006/relationships/hyperlink" Target="https://cdn.shopify.com/s/files/1/0358/9780/2890/files/sinarandano.jpg?v=1780939580" TargetMode="External"/><Relationship Id="rId90" Type="http://schemas.openxmlformats.org/officeDocument/2006/relationships/hyperlink" Target="https://cdn.shopify.com/s/files/1/0358/9780/2890/files/PHOTO-2025-05-05-17-12-52.jpg?v=1746539212" TargetMode="External"/><Relationship Id="rId95" Type="http://schemas.openxmlformats.org/officeDocument/2006/relationships/hyperlink" Target="https://cdn.shopify.com/s/files/1/0358/9780/2890/products/Rabanitos.jpg?v=1584817643" TargetMode="External"/><Relationship Id="rId22" Type="http://schemas.openxmlformats.org/officeDocument/2006/relationships/hyperlink" Target="https://cdn.shopify.com/s/files/1/0358/9780/2890/files/Fotos_Web_parte3_Mesa_de_trabajo_1_copia_44_f2bcbfbe-1e61-4bb7-b888-56e45d231fec.jpg?v=1733265483" TargetMode="External"/><Relationship Id="rId27" Type="http://schemas.openxmlformats.org/officeDocument/2006/relationships/hyperlink" Target="https://cdn.shopify.com/s/files/1/0358/9780/2890/products/pepino-dulce.jpg?v=1779203060" TargetMode="External"/><Relationship Id="rId43" Type="http://schemas.openxmlformats.org/officeDocument/2006/relationships/hyperlink" Target="https://cdn.shopify.com/s/files/1/0358/9780/2890/files/2_4bbd85bb-ff86-418f-bba7-9521000503f5.jpg?v=1780940429" TargetMode="External"/><Relationship Id="rId48" Type="http://schemas.openxmlformats.org/officeDocument/2006/relationships/hyperlink" Target="https://cdn.shopify.com/s/files/1/0358/9780/2890/files/FotosWeb_parte2_Mesadetrabajo1copia7.jpg?v=1711033572" TargetMode="External"/><Relationship Id="rId64" Type="http://schemas.openxmlformats.org/officeDocument/2006/relationships/hyperlink" Target="https://cdn.shopify.com/s/files/1/0358/9780/2890/files/FotosWeb_parte2_Mesadetrabajo1copia35.jpg?v=1711034352" TargetMode="External"/><Relationship Id="rId69" Type="http://schemas.openxmlformats.org/officeDocument/2006/relationships/hyperlink" Target="https://cdn.shopify.com/s/files/1/0358/9780/2890/files/FotosWeb_parte2_Mesadetrabajo1copia57.jpg?v=1711034645" TargetMode="External"/><Relationship Id="rId80" Type="http://schemas.openxmlformats.org/officeDocument/2006/relationships/hyperlink" Target="https://cdn.shopify.com/s/files/1/0358/9780/2890/files/FotosWeb_parte2_Mesadetrabajo1copia67.jpg?v=1711034821" TargetMode="External"/><Relationship Id="rId85" Type="http://schemas.openxmlformats.org/officeDocument/2006/relationships/hyperlink" Target="https://cdn.shopify.com/s/files/1/0358/9780/2890/files/papa-asterix-kilo_6e2aa658-7320-49af-86e7-bc0beb10d0c7.jpg?v=1686150628" TargetMode="External"/><Relationship Id="rId12" Type="http://schemas.openxmlformats.org/officeDocument/2006/relationships/hyperlink" Target="https://cdn.shopify.com/s/files/1/0358/9780/2890/files/2_4bbd85bb-ff86-418f-bba7-9521000503f5.jpg?v=1780940429" TargetMode="External"/><Relationship Id="rId17" Type="http://schemas.openxmlformats.org/officeDocument/2006/relationships/hyperlink" Target="https://cdn.shopify.com/s/files/1/0358/9780/2890/files/FotosWeb_parte1_Mesadetrabajo1copia9_d56f4725-c9f0-4a14-8d11-4b3f6128f844.jpg?v=1709743377" TargetMode="External"/><Relationship Id="rId33" Type="http://schemas.openxmlformats.org/officeDocument/2006/relationships/hyperlink" Target="https://cdn.shopify.com/s/files/1/0358/9780/2890/files/FotosWeb_parte2_Mesadetrabajo1copia77.jpg?v=1711035027" TargetMode="External"/><Relationship Id="rId38" Type="http://schemas.openxmlformats.org/officeDocument/2006/relationships/hyperlink" Target="https://cdn.shopify.com/s/files/1/0358/9780/2890/files/sinarandano.jpg?v=1780939580" TargetMode="External"/><Relationship Id="rId59" Type="http://schemas.openxmlformats.org/officeDocument/2006/relationships/hyperlink" Target="https://cdn.shopify.com/s/files/1/0358/9780/2890/files/FotosWeb_parte2_Mesadetrabajo1copia28.jpg?v=1711034269" TargetMode="External"/><Relationship Id="rId103" Type="http://schemas.openxmlformats.org/officeDocument/2006/relationships/hyperlink" Target="https://cdn.shopify.com/s/files/1/0358/9780/2890/files/FotosWeb_parte3_Mesadetrabajo1copia5.jpg?v=1711036575" TargetMode="External"/><Relationship Id="rId108" Type="http://schemas.openxmlformats.org/officeDocument/2006/relationships/hyperlink" Target="https://cdn.shopify.com/s/files/1/0358/9780/2890/products/zanahoria-colores.jpg?v=1642621202" TargetMode="External"/><Relationship Id="rId54" Type="http://schemas.openxmlformats.org/officeDocument/2006/relationships/hyperlink" Target="https://cdn.shopify.com/s/files/1/0358/9780/2890/files/FotosWeb_parte1_Mesadetrabajo1copia71.jpg?v=1710784994" TargetMode="External"/><Relationship Id="rId70" Type="http://schemas.openxmlformats.org/officeDocument/2006/relationships/hyperlink" Target="https://cdn.shopify.com/s/files/1/0358/9780/2890/files/FotosWeb_parte2_Mesadetrabajo1copia58.jpg?v=1711034673" TargetMode="External"/><Relationship Id="rId75" Type="http://schemas.openxmlformats.org/officeDocument/2006/relationships/hyperlink" Target="https://cdn.shopify.com/s/files/1/0358/9780/2890/files/FotosWeb_parte2_Mesadetrabajo1copia61.jpg?v=1711034722" TargetMode="External"/><Relationship Id="rId91" Type="http://schemas.openxmlformats.org/officeDocument/2006/relationships/hyperlink" Target="https://cdn.shopify.com/s/files/1/0358/9780/2890/files/FotosWeb_parte2_Mesadetrabajo1copia73.jpg?v=1711034952" TargetMode="External"/><Relationship Id="rId96" Type="http://schemas.openxmlformats.org/officeDocument/2006/relationships/hyperlink" Target="https://cdn.shopify.com/s/files/1/0358/9780/2890/files/FotosWeb_parte3_Mesadetrabajo1copia2_0ea71bfa-5af2-4a92-b8b4-49818cc41af8.jpg?v=1729283049" TargetMode="External"/><Relationship Id="rId1" Type="http://schemas.openxmlformats.org/officeDocument/2006/relationships/hyperlink" Target="https://cdn.shopify.com/s/files/1/0358/9780/2890/files/Canasta_base_de_frutas_y_verduras_Juan_Esparraguito.jpg?v=1774443286" TargetMode="External"/><Relationship Id="rId6" Type="http://schemas.openxmlformats.org/officeDocument/2006/relationships/hyperlink" Target="https://cdn.shopify.com/s/files/1/0358/9780/2890/files/sinarandano.jpg?v=1780939580" TargetMode="External"/><Relationship Id="rId15" Type="http://schemas.openxmlformats.org/officeDocument/2006/relationships/hyperlink" Target="https://cdn.shopify.com/s/files/1/0358/9780/2890/products/Castanas.jpg?v=1651077547" TargetMode="External"/><Relationship Id="rId23" Type="http://schemas.openxmlformats.org/officeDocument/2006/relationships/hyperlink" Target="https://cdn.shopify.com/s/files/1/0358/9780/2890/files/Fotos_Web_parte6_Mesa_de_trabajo_1_copia_130.jpg?v=1751301537" TargetMode="External"/><Relationship Id="rId28" Type="http://schemas.openxmlformats.org/officeDocument/2006/relationships/hyperlink" Target="https://cdn.shopify.com/s/files/1/0358/9780/2890/files/FotosWeb_parte1_Mesadetrabajo1copia77.jpg?v=1710855795" TargetMode="External"/><Relationship Id="rId36" Type="http://schemas.openxmlformats.org/officeDocument/2006/relationships/hyperlink" Target="https://cdn.shopify.com/s/files/1/0358/9780/2890/files/Canasta_base_de_frutas_y_verduras_Juan_Esparraguito.jpg?v=1774443286" TargetMode="External"/><Relationship Id="rId49" Type="http://schemas.openxmlformats.org/officeDocument/2006/relationships/hyperlink" Target="https://cdn.shopify.com/s/files/1/0358/9780/2890/files/FotosWeb_parte1_Mesadetrabajo1copia66.jpg?v=1710525968" TargetMode="External"/><Relationship Id="rId57" Type="http://schemas.openxmlformats.org/officeDocument/2006/relationships/hyperlink" Target="https://cdn.shopify.com/s/files/1/0358/9780/2890/files/FotosWeb_parte2_Mesadetrabajo1copia26.jpg?v=1711034232" TargetMode="External"/><Relationship Id="rId106" Type="http://schemas.openxmlformats.org/officeDocument/2006/relationships/hyperlink" Target="https://cdn.shopify.com/s/files/1/0358/9780/2890/files/FotosWeb_parte3_Mesadetrabajo1copia8.jpg?v=1711036674" TargetMode="External"/><Relationship Id="rId10" Type="http://schemas.openxmlformats.org/officeDocument/2006/relationships/hyperlink" Target="https://cdn.shopify.com/s/files/1/0358/9780/2890/files/2_4bbd85bb-ff86-418f-bba7-9521000503f5.jpg?v=1780940429" TargetMode="External"/><Relationship Id="rId31" Type="http://schemas.openxmlformats.org/officeDocument/2006/relationships/hyperlink" Target="https://cdn.shopify.com/s/files/1/0358/9780/2890/files/FotosWeb_parte1_Mesadetrabajo1copia5.jpg?v=1709737786" TargetMode="External"/><Relationship Id="rId44" Type="http://schemas.openxmlformats.org/officeDocument/2006/relationships/hyperlink" Target="https://cdn.shopify.com/s/files/1/0358/9780/2890/files/2_4bbd85bb-ff86-418f-bba7-9521000503f5.jpg?v=1780940429" TargetMode="External"/><Relationship Id="rId52" Type="http://schemas.openxmlformats.org/officeDocument/2006/relationships/hyperlink" Target="https://cdn.shopify.com/s/files/1/0358/9780/2890/files/FotosWeb_parte2_Mesadetrabajo1copia13.jpg?v=1711033992" TargetMode="External"/><Relationship Id="rId60" Type="http://schemas.openxmlformats.org/officeDocument/2006/relationships/hyperlink" Target="https://cdn.shopify.com/s/files/1/0358/9780/2890/files/FotosWeb_parte1_Mesadetrabajo1copia67.jpg?v=1710525989" TargetMode="External"/><Relationship Id="rId65" Type="http://schemas.openxmlformats.org/officeDocument/2006/relationships/hyperlink" Target="https://cdn.shopify.com/s/files/1/0358/9780/2890/files/FotosWeb_parte1_Mesadetrabajo1copia70.jpg?v=1710785046" TargetMode="External"/><Relationship Id="rId73" Type="http://schemas.openxmlformats.org/officeDocument/2006/relationships/hyperlink" Target="https://cdn.shopify.com/s/files/1/0358/9780/2890/files/FotosWeb_parte3_Mesadetrabajo1copia22.png?v=1715698931" TargetMode="External"/><Relationship Id="rId78" Type="http://schemas.openxmlformats.org/officeDocument/2006/relationships/hyperlink" Target="https://cdn.shopify.com/s/files/1/0358/9780/2890/files/FotosWeb_parte3_Mesadetrabajo1copia21_e2f9f650-d04d-499f-9648-2bf59bec1611.png?v=1715698888" TargetMode="External"/><Relationship Id="rId81" Type="http://schemas.openxmlformats.org/officeDocument/2006/relationships/hyperlink" Target="https://cdn.shopify.com/s/files/1/0358/9780/2890/files/FotosWeb_parte2_Mesadetrabajo1copia68.jpg?v=1711034845" TargetMode="External"/><Relationship Id="rId86" Type="http://schemas.openxmlformats.org/officeDocument/2006/relationships/hyperlink" Target="https://cdn.shopify.com/s/files/1/0358/9780/2890/products/PapaCamote.jpg?v=1584816779" TargetMode="External"/><Relationship Id="rId94" Type="http://schemas.openxmlformats.org/officeDocument/2006/relationships/hyperlink" Target="https://cdn.shopify.com/s/files/1/0358/9780/2890/files/puerro_web.jpg?v=1778171977" TargetMode="External"/><Relationship Id="rId99" Type="http://schemas.openxmlformats.org/officeDocument/2006/relationships/hyperlink" Target="https://cdn.shopify.com/s/files/1/0358/9780/2890/files/FotosWeb_parte3_Mesadetrabajo1copia4.jpg?v=1711036553" TargetMode="External"/><Relationship Id="rId101" Type="http://schemas.openxmlformats.org/officeDocument/2006/relationships/hyperlink" Target="https://cdn.shopify.com/s/files/1/0358/9780/2890/files/Captura_de_Pantalla_2024-08-07_a_la_s_10.43.13.png?v=1723041835" TargetMode="External"/><Relationship Id="rId4" Type="http://schemas.openxmlformats.org/officeDocument/2006/relationships/hyperlink" Target="https://cdn.shopify.com/s/files/1/0358/9780/2890/files/Canasta_base_de_frutas_y_verduras_Juan_Esparraguito.jpg?v=1774443286" TargetMode="External"/><Relationship Id="rId9" Type="http://schemas.openxmlformats.org/officeDocument/2006/relationships/hyperlink" Target="https://cdn.shopify.com/s/files/1/0358/9780/2890/files/2_4bbd85bb-ff86-418f-bba7-9521000503f5.jpg?v=1780940429" TargetMode="External"/><Relationship Id="rId13" Type="http://schemas.openxmlformats.org/officeDocument/2006/relationships/hyperlink" Target="https://cdn.shopify.com/s/files/1/0358/9780/2890/files/FotosWeb_parte1_Mesadetrabajo1copia7.jpg?v=1709743311" TargetMode="External"/><Relationship Id="rId18" Type="http://schemas.openxmlformats.org/officeDocument/2006/relationships/hyperlink" Target="https://cdn.shopify.com/s/files/1/0358/9780/2890/files/FotosWeb_parte3_Mesadetrabajo1copia16.jpg?v=1713808642" TargetMode="External"/><Relationship Id="rId39" Type="http://schemas.openxmlformats.org/officeDocument/2006/relationships/hyperlink" Target="https://cdn.shopify.com/s/files/1/0358/9780/2890/files/sinarandano.jpg?v=1780939580" TargetMode="External"/><Relationship Id="rId109" Type="http://schemas.openxmlformats.org/officeDocument/2006/relationships/hyperlink" Target="https://cdn.shopify.com/s/files/1/0358/9780/2890/files/2_ace5f843-5ed3-44ca-928f-8026ab722333.jpg?v=1737555371" TargetMode="External"/><Relationship Id="rId34" Type="http://schemas.openxmlformats.org/officeDocument/2006/relationships/hyperlink" Target="https://cdn.shopify.com/s/files/1/0358/9780/2890/files/Canasta_base_de_frutas_y_verduras_Juan_Esparraguito.jpg?v=1774443286" TargetMode="External"/><Relationship Id="rId50" Type="http://schemas.openxmlformats.org/officeDocument/2006/relationships/hyperlink" Target="https://cdn.shopify.com/s/files/1/0358/9780/2890/products/alcachofaespanola.png?v=1655306549" TargetMode="External"/><Relationship Id="rId55" Type="http://schemas.openxmlformats.org/officeDocument/2006/relationships/hyperlink" Target="https://cdn.shopify.com/s/files/1/0358/9780/2890/files/Fotos_Web_parte5_Mesa_de_trabajo_1_copia_71.jpg?v=1739390602" TargetMode="External"/><Relationship Id="rId76" Type="http://schemas.openxmlformats.org/officeDocument/2006/relationships/hyperlink" Target="https://cdn.shopify.com/s/files/1/0358/9780/2890/files/64.png?v=1682609871" TargetMode="External"/><Relationship Id="rId97" Type="http://schemas.openxmlformats.org/officeDocument/2006/relationships/hyperlink" Target="https://cdn.shopify.com/s/files/1/0358/9780/2890/files/FotosWeb_parte3_Mesadetrabajo1copia.jpg?v=1711036512" TargetMode="External"/><Relationship Id="rId104" Type="http://schemas.openxmlformats.org/officeDocument/2006/relationships/hyperlink" Target="https://cdn.shopify.com/s/files/1/0358/9780/2890/files/FotosWeb_parte3_Mesadetrabajo1copia5_dafcca99-37c7-429c-9a43-fcd487e4d662.jpg?v=1711036598" TargetMode="External"/><Relationship Id="rId7" Type="http://schemas.openxmlformats.org/officeDocument/2006/relationships/hyperlink" Target="https://cdn.shopify.com/s/files/1/0358/9780/2890/files/sinarandano.jpg?v=1780939580" TargetMode="External"/><Relationship Id="rId71" Type="http://schemas.openxmlformats.org/officeDocument/2006/relationships/hyperlink" Target="https://cdn.shopify.com/s/files/1/0358/9780/2890/files/FotosWeb_parte2_Mesadetrabajo1copia60.jpg?v=1711034695" TargetMode="External"/><Relationship Id="rId92" Type="http://schemas.openxmlformats.org/officeDocument/2006/relationships/hyperlink" Target="https://cdn.shopify.com/s/files/1/0358/9780/2890/files/FotosWeb_parte2_Mesadetrabajo1copia74.jpg?v=1711034968" TargetMode="External"/><Relationship Id="rId2" Type="http://schemas.openxmlformats.org/officeDocument/2006/relationships/hyperlink" Target="https://cdn.shopify.com/s/files/1/0358/9780/2890/files/Canasta_base_de_frutas_y_verduras_Juan_Esparraguito.jpg?v=1774443286" TargetMode="External"/><Relationship Id="rId29" Type="http://schemas.openxmlformats.org/officeDocument/2006/relationships/hyperlink" Target="https://cdn.shopify.com/s/files/1/0358/9780/2890/files/FotosWeb_parte2_Mesadetrabajo1copia75.jpg?v=1711034987" TargetMode="External"/><Relationship Id="rId24" Type="http://schemas.openxmlformats.org/officeDocument/2006/relationships/hyperlink" Target="https://cdn.shopify.com/s/files/1/0358/9780/2890/files/FotosWeb_parte1_Mesadetrabajo1copia78.jpg?v=1710855825" TargetMode="External"/><Relationship Id="rId40" Type="http://schemas.openxmlformats.org/officeDocument/2006/relationships/hyperlink" Target="https://cdn.shopify.com/s/files/1/0358/9780/2890/files/sinarandano.jpg?v=1780939580" TargetMode="External"/><Relationship Id="rId45" Type="http://schemas.openxmlformats.org/officeDocument/2006/relationships/hyperlink" Target="https://cdn.shopify.com/s/files/1/0358/9780/2890/files/2_4bbd85bb-ff86-418f-bba7-9521000503f5.jpg?v=1780940429" TargetMode="External"/><Relationship Id="rId66" Type="http://schemas.openxmlformats.org/officeDocument/2006/relationships/hyperlink" Target="https://cdn.shopify.com/s/files/1/0358/9780/2890/files/FotosWeb_parte2_Mesadetrabajo1copia49.jpg?v=1711034470" TargetMode="External"/><Relationship Id="rId87" Type="http://schemas.openxmlformats.org/officeDocument/2006/relationships/hyperlink" Target="https://cdn.shopify.com/s/files/1/0358/9780/2890/files/FotosWeb_parte2_Mesadetrabajo1copia69.jpg?v=1711034903" TargetMode="External"/><Relationship Id="rId110" Type="http://schemas.openxmlformats.org/officeDocument/2006/relationships/hyperlink" Target="https://cdn.shopify.com/s/files/1/0358/9780/2890/files/FotosWeb_parte3_Mesadetrabajo1copia18.jpg?v=1715033066" TargetMode="External"/><Relationship Id="rId61" Type="http://schemas.openxmlformats.org/officeDocument/2006/relationships/hyperlink" Target="https://cdn.shopify.com/s/files/1/0358/9780/2890/files/FotosWeb_parte2_Mesadetrabajo1copia32.jpg?v=1711034329" TargetMode="External"/><Relationship Id="rId82" Type="http://schemas.openxmlformats.org/officeDocument/2006/relationships/hyperlink" Target="https://cdn.shopify.com/s/files/1/0358/9780/2890/files/Disenosintitulo_42.png?v=1685729301" TargetMode="External"/><Relationship Id="rId19" Type="http://schemas.openxmlformats.org/officeDocument/2006/relationships/hyperlink" Target="https://cdn.shopify.com/s/files/1/0358/9780/2890/files/FotosWeb_parte3_Mesadetrabajo1copia14.jpg?v=1713203314" TargetMode="External"/><Relationship Id="rId14" Type="http://schemas.openxmlformats.org/officeDocument/2006/relationships/hyperlink" Target="https://cdn.shopify.com/s/files/1/0358/9780/2890/files/FotosWeb_parte1_Mesadetrabajo1copia7_916cec8a-fc21-4b58-a274-99116073f57e.jpg?v=1709743324" TargetMode="External"/><Relationship Id="rId30" Type="http://schemas.openxmlformats.org/officeDocument/2006/relationships/hyperlink" Target="https://cdn.shopify.com/s/files/1/0358/9780/2890/files/FotosWeb_parte1_Mesadetrabajo1copia5.jpg?v=1709737786" TargetMode="External"/><Relationship Id="rId35" Type="http://schemas.openxmlformats.org/officeDocument/2006/relationships/hyperlink" Target="https://cdn.shopify.com/s/files/1/0358/9780/2890/files/Canasta_base_de_frutas_y_verduras_Juan_Esparraguito.jpg?v=1774443286" TargetMode="External"/><Relationship Id="rId56" Type="http://schemas.openxmlformats.org/officeDocument/2006/relationships/hyperlink" Target="https://cdn.shopify.com/s/files/1/0358/9780/2890/products/repollitosdebrusas.jpg?v=1651601751" TargetMode="External"/><Relationship Id="rId77" Type="http://schemas.openxmlformats.org/officeDocument/2006/relationships/hyperlink" Target="https://cdn.shopify.com/s/files/1/0358/9780/2890/files/FotosWeb_parte3_Mesadetrabajo1copia21.png?v=1715698870" TargetMode="External"/><Relationship Id="rId100" Type="http://schemas.openxmlformats.org/officeDocument/2006/relationships/hyperlink" Target="https://cdn.shopify.com/s/files/1/0358/9780/2890/products/Tomate.jpg?v=1584817913" TargetMode="External"/><Relationship Id="rId105" Type="http://schemas.openxmlformats.org/officeDocument/2006/relationships/hyperlink" Target="https://cdn.shopify.com/s/files/1/0358/9780/2890/files/FotosWeb_parte3_Mesadetrabajo1copia6.jpg?v=1711036623" TargetMode="External"/><Relationship Id="rId8" Type="http://schemas.openxmlformats.org/officeDocument/2006/relationships/hyperlink" Target="https://cdn.shopify.com/s/files/1/0358/9780/2890/files/sinarandano.jpg?v=1780939580" TargetMode="External"/><Relationship Id="rId51" Type="http://schemas.openxmlformats.org/officeDocument/2006/relationships/hyperlink" Target="https://cdn.shopify.com/s/files/1/0358/9780/2890/files/FotosWeb_parte2_Mesadetrabajo1copia10.jpg?v=1711033628" TargetMode="External"/><Relationship Id="rId72" Type="http://schemas.openxmlformats.org/officeDocument/2006/relationships/hyperlink" Target="https://cdn.shopify.com/s/files/1/0358/9780/2890/files/65_a3874916-93c0-468d-9287-5a1162cee71a.png?v=1682613271" TargetMode="External"/><Relationship Id="rId93" Type="http://schemas.openxmlformats.org/officeDocument/2006/relationships/hyperlink" Target="https://cdn.shopify.com/s/files/1/0358/9780/2890/files/2_f4045a08-16ef-4f63-b445-d01903e5fd1c.jpg?v=1771968929" TargetMode="External"/><Relationship Id="rId98" Type="http://schemas.openxmlformats.org/officeDocument/2006/relationships/hyperlink" Target="https://cdn.shopify.com/s/files/1/0358/9780/2890/files/FotosWeb_parte3_Mesadetrabajo1copia3.jpg?v=1711036531" TargetMode="External"/><Relationship Id="rId3" Type="http://schemas.openxmlformats.org/officeDocument/2006/relationships/hyperlink" Target="https://cdn.shopify.com/s/files/1/0358/9780/2890/files/Canasta_base_de_frutas_y_verduras_Juan_Esparraguito.jpg?v=1774443286" TargetMode="External"/><Relationship Id="rId25" Type="http://schemas.openxmlformats.org/officeDocument/2006/relationships/hyperlink" Target="https://cdn.shopify.com/s/files/1/0358/9780/2890/files/FotosWeb_parte1_Mesadetrabajo1copia4.jpg?v=1709737739" TargetMode="External"/><Relationship Id="rId46" Type="http://schemas.openxmlformats.org/officeDocument/2006/relationships/hyperlink" Target="https://cdn.shopify.com/s/files/1/0358/9780/2890/products/AjiPeruano.jpg?v=1584814977" TargetMode="External"/><Relationship Id="rId67" Type="http://schemas.openxmlformats.org/officeDocument/2006/relationships/hyperlink" Target="https://cdn.shopify.com/s/files/1/0358/9780/2890/files/FotosWeb_parte2_Mesadetrabajo1copia50.jpg?v=1711034505" TargetMode="External"/><Relationship Id="rId20" Type="http://schemas.openxmlformats.org/officeDocument/2006/relationships/hyperlink" Target="https://cdn.shopify.com/s/files/1/0358/9780/2890/files/Fotos_Web_parte5_Mesa_de_trabajo_1_copia_55.jpg?v=1733265099" TargetMode="External"/><Relationship Id="rId41" Type="http://schemas.openxmlformats.org/officeDocument/2006/relationships/hyperlink" Target="https://cdn.shopify.com/s/files/1/0358/9780/2890/files/sinarandano.jpg?v=1780939580" TargetMode="External"/><Relationship Id="rId62" Type="http://schemas.openxmlformats.org/officeDocument/2006/relationships/hyperlink" Target="https://cdn.shopify.com/s/files/1/0358/9780/2890/products/ChocloAmericano.jpg?v=1639664012" TargetMode="External"/><Relationship Id="rId83" Type="http://schemas.openxmlformats.org/officeDocument/2006/relationships/hyperlink" Target="https://cdn.shopify.com/s/files/1/0358/9780/2890/files/Disenosintitulo_42.png?v=1685729301" TargetMode="External"/><Relationship Id="rId88" Type="http://schemas.openxmlformats.org/officeDocument/2006/relationships/hyperlink" Target="https://cdn.shopify.com/s/files/1/0358/9780/2890/files/Fotos_Web_parte5_Mesa_de_trabajo_1_copia_51_ba4c3031-9956-4e7e-935f-a65dc9438429.jpg?v=1732028672" TargetMode="External"/><Relationship Id="rId111" Type="http://schemas.openxmlformats.org/officeDocument/2006/relationships/hyperlink" Target="https://cdn.shopify.com/s/files/1/0358/9780/2890/files/FotosWeb_parte3_Mesadetrabajo1copia10.jpg?v=1711036708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cdn.shopify.com/s/files/1/0733/7318/8148/files/lechugaescarola.jpg?v=1762370847" TargetMode="External"/><Relationship Id="rId21" Type="http://schemas.openxmlformats.org/officeDocument/2006/relationships/hyperlink" Target="https://cdn.shopify.com/s/files/1/0733/7318/8148/files/coliflor.jpg?v=1762371015" TargetMode="External"/><Relationship Id="rId42" Type="http://schemas.openxmlformats.org/officeDocument/2006/relationships/hyperlink" Target="https://cdn.shopify.com/s/files/1/0733/7318/8148/files/rucula.png?v=1762370236" TargetMode="External"/><Relationship Id="rId47" Type="http://schemas.openxmlformats.org/officeDocument/2006/relationships/hyperlink" Target="https://cdn.shopify.com/s/files/1/0733/7318/8148/files/zapallocamote.jpg?v=1762370096" TargetMode="External"/><Relationship Id="rId63" Type="http://schemas.openxmlformats.org/officeDocument/2006/relationships/hyperlink" Target="https://cdn.shopify.com/s/files/1/0733/7318/8148/files/Disenosintitulo_4.png?v=1780880764" TargetMode="External"/><Relationship Id="rId68" Type="http://schemas.openxmlformats.org/officeDocument/2006/relationships/hyperlink" Target="https://cdn.shopify.com/s/files/1/0733/7318/8148/files/Pomelo.jpg?v=1762371883" TargetMode="External"/><Relationship Id="rId84" Type="http://schemas.openxmlformats.org/officeDocument/2006/relationships/hyperlink" Target="https://cdn.shopify.com/s/files/1/0733/7318/8148/files/florhibiscos_jpg.jpg?v=1762365517" TargetMode="External"/><Relationship Id="rId89" Type="http://schemas.openxmlformats.org/officeDocument/2006/relationships/hyperlink" Target="https://cdn.shopify.com/s/files/1/0733/7318/8148/files/maizcuragua_jpg.jpg?v=1762365004" TargetMode="External"/><Relationship Id="rId16" Type="http://schemas.openxmlformats.org/officeDocument/2006/relationships/hyperlink" Target="https://cdn.shopify.com/s/files/1/0733/7318/8148/files/cebollin.jpg?v=1762371254" TargetMode="External"/><Relationship Id="rId107" Type="http://schemas.openxmlformats.org/officeDocument/2006/relationships/hyperlink" Target="https://cdn.shopify.com/s/files/1/0733/7318/8148/files/tomatedeshidratado_jpg.jpg?v=1770819609" TargetMode="External"/><Relationship Id="rId11" Type="http://schemas.openxmlformats.org/officeDocument/2006/relationships/hyperlink" Target="https://cdn.shopify.com/s/files/1/0733/7318/8148/files/brocoli.jpg?v=1762371426" TargetMode="External"/><Relationship Id="rId32" Type="http://schemas.openxmlformats.org/officeDocument/2006/relationships/hyperlink" Target="https://cdn.shopify.com/s/files/1/0733/7318/8148/files/papasemillon_744a31b4-760a-4b2c-ba89-e2fd58430be6.jpg?v=1762273302" TargetMode="External"/><Relationship Id="rId37" Type="http://schemas.openxmlformats.org/officeDocument/2006/relationships/hyperlink" Target="https://cdn.shopify.com/s/files/1/0733/7318/8148/files/pimentonverde.jpg?v=1762370310" TargetMode="External"/><Relationship Id="rId53" Type="http://schemas.openxmlformats.org/officeDocument/2006/relationships/hyperlink" Target="https://cdn.shopify.com/s/files/1/0733/7318/8148/files/limonsutil.jpg?v=1762372937" TargetMode="External"/><Relationship Id="rId58" Type="http://schemas.openxmlformats.org/officeDocument/2006/relationships/hyperlink" Target="https://cdn.shopify.com/s/files/1/0733/7318/8148/files/manzanaverde.jpg?v=1762372779" TargetMode="External"/><Relationship Id="rId74" Type="http://schemas.openxmlformats.org/officeDocument/2006/relationships/hyperlink" Target="https://ibb.co/ycgY92GC" TargetMode="External"/><Relationship Id="rId79" Type="http://schemas.openxmlformats.org/officeDocument/2006/relationships/hyperlink" Target="https://ibb.co/Tx0NwCNN" TargetMode="External"/><Relationship Id="rId102" Type="http://schemas.openxmlformats.org/officeDocument/2006/relationships/hyperlink" Target="https://cdn.shopify.com/s/files/1/0733/7318/8148/files/pasasrubiar-1.jpg-1.jpg?v=1762354879" TargetMode="External"/><Relationship Id="rId5" Type="http://schemas.openxmlformats.org/officeDocument/2006/relationships/hyperlink" Target="https://cdn.shopify.com/s/files/1/0733/7318/8148/files/zoomfotonoticia-129.jpg?v=1762371661" TargetMode="External"/><Relationship Id="rId90" Type="http://schemas.openxmlformats.org/officeDocument/2006/relationships/hyperlink" Target="https://cdn.shopify.com/s/files/1/0733/7318/8148/files/mangodeshidratado_jpg.png?v=1762365419" TargetMode="External"/><Relationship Id="rId95" Type="http://schemas.openxmlformats.org/officeDocument/2006/relationships/hyperlink" Target="https://cdn.shopify.com/s/files/1/0733/7318/8148/files/manipicante_jpg.jpg?v=1762355268" TargetMode="External"/><Relationship Id="rId22" Type="http://schemas.openxmlformats.org/officeDocument/2006/relationships/hyperlink" Target="https://cdn.shopify.com/s/files/1/0733/7318/8148/files/diente-de-dragon.jpg?v=1762286722" TargetMode="External"/><Relationship Id="rId27" Type="http://schemas.openxmlformats.org/officeDocument/2006/relationships/hyperlink" Target="https://cdn.shopify.com/s/files/1/0733/7318/8148/files/lechugaespanola.jpg?v=1762370805" TargetMode="External"/><Relationship Id="rId43" Type="http://schemas.openxmlformats.org/officeDocument/2006/relationships/hyperlink" Target="https://cdn.shopify.com/s/files/1/0733/7318/8148/files/tomate.jpg?v=1762370196" TargetMode="External"/><Relationship Id="rId48" Type="http://schemas.openxmlformats.org/officeDocument/2006/relationships/hyperlink" Target="https://cdn.shopify.com/s/files/1/0733/7318/8148/files/images_1_98edaab3-dc56-49cd-b2bc-d0b9fd52c71c.jpg?v=1774713847" TargetMode="External"/><Relationship Id="rId64" Type="http://schemas.openxmlformats.org/officeDocument/2006/relationships/hyperlink" Target="https://cdn.shopify.com/s/files/1/0733/7318/8148/files/pera.jpg?v=1762372159" TargetMode="External"/><Relationship Id="rId69" Type="http://schemas.openxmlformats.org/officeDocument/2006/relationships/hyperlink" Target="https://cdn.shopify.com/s/files/1/0733/7318/8148/files/tuna.jpg?v=1762371838" TargetMode="External"/><Relationship Id="rId80" Type="http://schemas.openxmlformats.org/officeDocument/2006/relationships/hyperlink" Target="https://cdn.shopify.com/s/files/1/0733/7318/8148/files/cocolaminado_jpg.jpg?v=1770819410" TargetMode="External"/><Relationship Id="rId85" Type="http://schemas.openxmlformats.org/officeDocument/2006/relationships/hyperlink" Target="https://cdn.shopify.com/s/files/1/0733/7318/8148/files/goji.jpg-600x399.jpg?v=1762365073" TargetMode="External"/><Relationship Id="rId12" Type="http://schemas.openxmlformats.org/officeDocument/2006/relationships/hyperlink" Target="https://cdn.shopify.com/s/files/1/0733/7318/8148/files/brusela_7ad88d5e-8c5a-44de-b1b8-f5077d48c88a.jpg?v=1770824864" TargetMode="External"/><Relationship Id="rId17" Type="http://schemas.openxmlformats.org/officeDocument/2006/relationships/hyperlink" Target="https://cdn.shopify.com/s/files/1/0733/7318/8148/files/champinon.png?v=1762371200" TargetMode="External"/><Relationship Id="rId33" Type="http://schemas.openxmlformats.org/officeDocument/2006/relationships/hyperlink" Target="https://cdn.shopify.com/s/files/1/0733/7318/8148/files/pepino.jpg?v=1762370475" TargetMode="External"/><Relationship Id="rId38" Type="http://schemas.openxmlformats.org/officeDocument/2006/relationships/hyperlink" Target="https://cdn.shopify.com/s/files/1/0733/7318/8148/files/poroto-verde.jpg?v=1762286507" TargetMode="External"/><Relationship Id="rId59" Type="http://schemas.openxmlformats.org/officeDocument/2006/relationships/hyperlink" Target="https://cdn.shopify.com/s/files/1/0733/7318/8148/files/manzanapink.jpg?v=1762273338" TargetMode="External"/><Relationship Id="rId103" Type="http://schemas.openxmlformats.org/officeDocument/2006/relationships/hyperlink" Target="https://cdn.shopify.com/s/files/1/0733/7318/8148/files/pepaszapallo.jpg-600x450.jpg?v=1762354846" TargetMode="External"/><Relationship Id="rId20" Type="http://schemas.openxmlformats.org/officeDocument/2006/relationships/hyperlink" Target="https://cdn.shopify.com/s/files/1/0733/7318/8148/files/cilantro.jpg?v=1762371069" TargetMode="External"/><Relationship Id="rId41" Type="http://schemas.openxmlformats.org/officeDocument/2006/relationships/hyperlink" Target="https://cdn.shopify.com/s/files/1/0733/7318/8148/files/medio-repollo.jpg?v=1762271335" TargetMode="External"/><Relationship Id="rId54" Type="http://schemas.openxmlformats.org/officeDocument/2006/relationships/hyperlink" Target="https://cdn.shopify.com/s/files/1/0733/7318/8148/files/limonsutil.jpg?v=1762372937" TargetMode="External"/><Relationship Id="rId62" Type="http://schemas.openxmlformats.org/officeDocument/2006/relationships/hyperlink" Target="https://cdn.shopify.com/s/files/1/0733/7318/8148/files/paltahass.png?v=1762372204" TargetMode="External"/><Relationship Id="rId70" Type="http://schemas.openxmlformats.org/officeDocument/2006/relationships/hyperlink" Target="https://cdn.shopify.com/s/files/1/0733/7318/8148/files/grape-fruit-table-grapes-2612718.jpg?v=1770901113" TargetMode="External"/><Relationship Id="rId75" Type="http://schemas.openxmlformats.org/officeDocument/2006/relationships/hyperlink" Target="https://cdn.shopify.com/s/files/1/0733/7318/8148/files/5-avellana-europea3011.jpg?v=1762365142" TargetMode="External"/><Relationship Id="rId83" Type="http://schemas.openxmlformats.org/officeDocument/2006/relationships/hyperlink" Target="https://cdn.shopify.com/s/files/1/0733/7318/8148/files/datiles_jpg.jpg?v=1762365547" TargetMode="External"/><Relationship Id="rId88" Type="http://schemas.openxmlformats.org/officeDocument/2006/relationships/hyperlink" Target="https://cdn.shopify.com/s/files/1/0733/7318/8148/files/linaza_jpg.jpg?v=1762365040" TargetMode="External"/><Relationship Id="rId91" Type="http://schemas.openxmlformats.org/officeDocument/2006/relationships/hyperlink" Target="https://cdn.shopify.com/s/files/1/0733/7318/8148/files/manichocolate.jpg-600x400.jpg?v=1762355468" TargetMode="External"/><Relationship Id="rId96" Type="http://schemas.openxmlformats.org/officeDocument/2006/relationships/hyperlink" Target="https://cdn.shopify.com/s/files/1/0733/7318/8148/files/manisal_jpg.jpg?v=1762355236" TargetMode="External"/><Relationship Id="rId1" Type="http://schemas.openxmlformats.org/officeDocument/2006/relationships/hyperlink" Target="https://cdn.shopify.com/s/files/1/0733/7318/8148/files/acelga.jpg?v=1762371793" TargetMode="External"/><Relationship Id="rId6" Type="http://schemas.openxmlformats.org/officeDocument/2006/relationships/hyperlink" Target="https://cdn.shopify.com/s/files/1/0733/7318/8148/files/apio.jpg?v=1762371609" TargetMode="External"/><Relationship Id="rId15" Type="http://schemas.openxmlformats.org/officeDocument/2006/relationships/hyperlink" Target="https://cdn.shopify.com/s/files/1/0733/7318/8148/files/cebollamorada.jpg?v=1762371301" TargetMode="External"/><Relationship Id="rId23" Type="http://schemas.openxmlformats.org/officeDocument/2006/relationships/hyperlink" Target="https://cdn.shopify.com/s/files/1/0733/7318/8148/files/esparragos-verdes.jpg?v=1774095995" TargetMode="External"/><Relationship Id="rId28" Type="http://schemas.openxmlformats.org/officeDocument/2006/relationships/hyperlink" Target="https://cdn.shopify.com/s/files/1/0733/7318/8148/files/lechugafrancesa.jpg?v=1762370766" TargetMode="External"/><Relationship Id="rId36" Type="http://schemas.openxmlformats.org/officeDocument/2006/relationships/hyperlink" Target="https://cdn.shopify.com/s/files/1/0733/7318/8148/files/pimentonrojo.jpg?v=1762370356" TargetMode="External"/><Relationship Id="rId49" Type="http://schemas.openxmlformats.org/officeDocument/2006/relationships/hyperlink" Target="https://cdn.shopify.com/s/files/1/0733/7318/8148/files/membrillo.jpg?v=1770900939" TargetMode="External"/><Relationship Id="rId57" Type="http://schemas.openxmlformats.org/officeDocument/2006/relationships/hyperlink" Target="https://cdn.shopify.com/s/files/1/0733/7318/8148/files/manzanafuji-600x600.jpg?v=1762372835" TargetMode="External"/><Relationship Id="rId106" Type="http://schemas.openxmlformats.org/officeDocument/2006/relationships/hyperlink" Target="https://cdn.shopify.com/s/files/1/0733/7318/8148/files/semillamaravilla.jpg-600x338.jpg?v=1762354780" TargetMode="External"/><Relationship Id="rId10" Type="http://schemas.openxmlformats.org/officeDocument/2006/relationships/hyperlink" Target="https://cdn.shopify.com/s/files/1/0733/7318/8148/files/betarraga.jpg?v=1762371470" TargetMode="External"/><Relationship Id="rId31" Type="http://schemas.openxmlformats.org/officeDocument/2006/relationships/hyperlink" Target="https://cdn.shopify.com/s/files/1/0733/7318/8148/files/menta.jpg?v=1762370549" TargetMode="External"/><Relationship Id="rId44" Type="http://schemas.openxmlformats.org/officeDocument/2006/relationships/hyperlink" Target="https://cdn.shopify.com/s/files/1/0733/7318/8148/files/tomatecherry.jpg?v=1762370168" TargetMode="External"/><Relationship Id="rId52" Type="http://schemas.openxmlformats.org/officeDocument/2006/relationships/hyperlink" Target="https://cdn.shopify.com/s/files/1/0733/7318/8148/files/limon.jpg?v=1762372971" TargetMode="External"/><Relationship Id="rId60" Type="http://schemas.openxmlformats.org/officeDocument/2006/relationships/hyperlink" Target="https://cdn.shopify.com/s/files/1/0733/7318/8148/files/caqui-fruta-1-xl-668x400x80xX_1.jpg?v=1770900746" TargetMode="External"/><Relationship Id="rId65" Type="http://schemas.openxmlformats.org/officeDocument/2006/relationships/hyperlink" Target="https://cdn.shopify.com/s/files/1/0733/7318/8148/files/pepinodulce.jpg?v=1762372072" TargetMode="External"/><Relationship Id="rId73" Type="http://schemas.openxmlformats.org/officeDocument/2006/relationships/hyperlink" Target="https://cdn.shopify.com/s/files/1/0733/7318/8148/files/almendraschocolate_jpg.jpg?v=1762365179" TargetMode="External"/><Relationship Id="rId78" Type="http://schemas.openxmlformats.org/officeDocument/2006/relationships/hyperlink" Target="https://cdn.shopify.com/s/files/1/0733/7318/8148/files/cirueladeshidratada.jpg-600x503.jpg?v=1762365715" TargetMode="External"/><Relationship Id="rId81" Type="http://schemas.openxmlformats.org/officeDocument/2006/relationships/hyperlink" Target="https://cdn.shopify.com/s/files/1/0733/7318/8148/files/cocorallado.jpg?v=1770819461" TargetMode="External"/><Relationship Id="rId86" Type="http://schemas.openxmlformats.org/officeDocument/2006/relationships/hyperlink" Target="https://cdn.shopify.com/s/files/1/0733/7318/8148/files/huesillomediano_jpg.jpg?v=1762365483" TargetMode="External"/><Relationship Id="rId94" Type="http://schemas.openxmlformats.org/officeDocument/2006/relationships/hyperlink" Target="https://cdn.shopify.com/s/files/1/0733/7318/8148/files/maninatural_jpg.jpg?v=1762355303" TargetMode="External"/><Relationship Id="rId99" Type="http://schemas.openxmlformats.org/officeDocument/2006/relationships/hyperlink" Target="https://cdn.shopify.com/s/files/1/0733/7318/8148/files/papayadeshidratada_jpg.jpg?v=1762365310" TargetMode="External"/><Relationship Id="rId101" Type="http://schemas.openxmlformats.org/officeDocument/2006/relationships/hyperlink" Target="https://cdn.shopify.com/s/files/1/0733/7318/8148/files/pasasnegras.jpg-600x450.jpg?v=1762354947" TargetMode="External"/><Relationship Id="rId4" Type="http://schemas.openxmlformats.org/officeDocument/2006/relationships/hyperlink" Target="https://cdn.shopify.com/s/files/1/0733/7318/8148/files/ajo.jpg?v=1762371704" TargetMode="External"/><Relationship Id="rId9" Type="http://schemas.openxmlformats.org/officeDocument/2006/relationships/hyperlink" Target="https://cdn.shopify.com/s/files/1/0733/7318/8148/files/berro.png?v=1762371522" TargetMode="External"/><Relationship Id="rId13" Type="http://schemas.openxmlformats.org/officeDocument/2006/relationships/hyperlink" Target="https://cdn.shopify.com/s/files/1/0733/7318/8148/files/camotemorado.jpg?v=1762371378" TargetMode="External"/><Relationship Id="rId18" Type="http://schemas.openxmlformats.org/officeDocument/2006/relationships/hyperlink" Target="https://cdn.shopify.com/s/files/1/0733/7318/8148/files/chocloamericano.jpg?v=1762371104" TargetMode="External"/><Relationship Id="rId39" Type="http://schemas.openxmlformats.org/officeDocument/2006/relationships/hyperlink" Target="https://cdn.shopify.com/s/files/1/0733/7318/8148/files/Rabanito.jpg?v=1762370275" TargetMode="External"/><Relationship Id="rId34" Type="http://schemas.openxmlformats.org/officeDocument/2006/relationships/hyperlink" Target="https://cdn.shopify.com/s/files/1/0733/7318/8148/files/perejil.jpg?v=1762370436" TargetMode="External"/><Relationship Id="rId50" Type="http://schemas.openxmlformats.org/officeDocument/2006/relationships/hyperlink" Target="https://cdn.shopify.com/s/files/1/0733/7318/8148/files/frutilla_9ca7ca2a-6dcc-402a-97bc-24eea4405672.jpg?v=1762272265" TargetMode="External"/><Relationship Id="rId55" Type="http://schemas.openxmlformats.org/officeDocument/2006/relationships/hyperlink" Target="https://cdn.shopify.com/s/files/1/0733/7318/8148/files/mandarinesInt.webp?v=1780761611" TargetMode="External"/><Relationship Id="rId76" Type="http://schemas.openxmlformats.org/officeDocument/2006/relationships/hyperlink" Target="https://cdn.shopify.com/s/files/1/0733/7318/8148/files/castanascaju_jpg.jpg?v=1762271831" TargetMode="External"/><Relationship Id="rId97" Type="http://schemas.openxmlformats.org/officeDocument/2006/relationships/hyperlink" Target="https://cdn.shopify.com/s/files/1/0733/7318/8148/files/manzanadeshidratada_jpg.jpg?v=1762365347" TargetMode="External"/><Relationship Id="rId104" Type="http://schemas.openxmlformats.org/officeDocument/2006/relationships/hyperlink" Target="https://cdn.shopify.com/s/files/1/0733/7318/8148/files/pistacho_jpg.jpg?v=1762354809" TargetMode="External"/><Relationship Id="rId7" Type="http://schemas.openxmlformats.org/officeDocument/2006/relationships/hyperlink" Target="https://cdn.shopify.com/s/files/1/0733/7318/8148/files/alcachofa_espaola_1ce9f8da-7a49-4ca2-9f3c-dad8035d9680.jpg?v=1762273270" TargetMode="External"/><Relationship Id="rId71" Type="http://schemas.openxmlformats.org/officeDocument/2006/relationships/hyperlink" Target="https://cdn.shopify.com/s/files/1/0733/7318/8148/files/uva_verde-2_3e8a8775-5689-43f3-8bc9-6602340551c4.png?v=1770901178" TargetMode="External"/><Relationship Id="rId92" Type="http://schemas.openxmlformats.org/officeDocument/2006/relationships/hyperlink" Target="https://cdn.shopify.com/s/files/1/0733/7318/8148/files/manisal_jpg_41282ef1-8b71-4224-b828-4b944d2fcd6b.jpg?v=1762355433" TargetMode="External"/><Relationship Id="rId2" Type="http://schemas.openxmlformats.org/officeDocument/2006/relationships/hyperlink" Target="https://cdn.shopify.com/s/files/1/0733/7318/8148/files/ajiamarillo.jpg?v=1762286889" TargetMode="External"/><Relationship Id="rId29" Type="http://schemas.openxmlformats.org/officeDocument/2006/relationships/hyperlink" Target="https://cdn.shopify.com/s/files/1/0733/7318/8148/files/lechugamarina.png?v=1762370725" TargetMode="External"/><Relationship Id="rId24" Type="http://schemas.openxmlformats.org/officeDocument/2006/relationships/hyperlink" Target="https://cdn.shopify.com/s/files/1/0733/7318/8148/files/jengibre.jpg?v=1762370932" TargetMode="External"/><Relationship Id="rId40" Type="http://schemas.openxmlformats.org/officeDocument/2006/relationships/hyperlink" Target="https://cdn.shopify.com/s/files/1/0733/7318/8148/files/fresh-whole-purple-cabbage-and-cut-in-half-isolate-on-white-background-free-photo.jpg?v=1779204441" TargetMode="External"/><Relationship Id="rId45" Type="http://schemas.openxmlformats.org/officeDocument/2006/relationships/hyperlink" Target="https://cdn.shopify.com/s/files/1/0733/7318/8148/files/tomate-pera.jpg?v=1762272039" TargetMode="External"/><Relationship Id="rId66" Type="http://schemas.openxmlformats.org/officeDocument/2006/relationships/hyperlink" Target="https://cdn.shopify.com/s/files/1/0733/7318/8148/files/Pina-un.png?v=1780761811" TargetMode="External"/><Relationship Id="rId87" Type="http://schemas.openxmlformats.org/officeDocument/2006/relationships/hyperlink" Target="https://cdn.shopify.com/s/files/1/0733/7318/8148/files/kiwideshidratado_jpg.jpg?v=1762365454" TargetMode="External"/><Relationship Id="rId61" Type="http://schemas.openxmlformats.org/officeDocument/2006/relationships/hyperlink" Target="https://cdn.shopify.com/s/files/1/0733/7318/8148/files/naranja_6e3b5b89-6076-4161-8be6-af8ef573eb08.jpg?v=1762372259" TargetMode="External"/><Relationship Id="rId82" Type="http://schemas.openxmlformats.org/officeDocument/2006/relationships/hyperlink" Target="https://cdn.shopify.com/s/files/1/0733/7318/8148/files/cramberries_jpg.jpg?v=1762365110" TargetMode="External"/><Relationship Id="rId19" Type="http://schemas.openxmlformats.org/officeDocument/2006/relationships/hyperlink" Target="https://cdn.shopify.com/s/files/1/0733/7318/8148/files/ciboulette.jpg?v=1762371149" TargetMode="External"/><Relationship Id="rId14" Type="http://schemas.openxmlformats.org/officeDocument/2006/relationships/hyperlink" Target="https://cdn.shopify.com/s/files/1/0733/7318/8148/files/cebolla.jpg?v=1762371345" TargetMode="External"/><Relationship Id="rId30" Type="http://schemas.openxmlformats.org/officeDocument/2006/relationships/hyperlink" Target="https://cdn.shopify.com/s/files/1/0733/7318/8148/files/2076542.jpg?v=1762286622" TargetMode="External"/><Relationship Id="rId35" Type="http://schemas.openxmlformats.org/officeDocument/2006/relationships/hyperlink" Target="https://cdn.shopify.com/s/files/1/0733/7318/8148/files/pimentonamarillo.jpg?v=1762370398" TargetMode="External"/><Relationship Id="rId56" Type="http://schemas.openxmlformats.org/officeDocument/2006/relationships/hyperlink" Target="https://cdn.shopify.com/s/files/1/0733/7318/8148/files/mango.jpg?v=1762372871" TargetMode="External"/><Relationship Id="rId77" Type="http://schemas.openxmlformats.org/officeDocument/2006/relationships/hyperlink" Target="https://cdn.shopify.com/s/files/1/0733/7318/8148/files/chipsbanana_jpg.jpg?v=1762365247" TargetMode="External"/><Relationship Id="rId100" Type="http://schemas.openxmlformats.org/officeDocument/2006/relationships/hyperlink" Target="https://cdn.shopify.com/s/files/1/0733/7318/8148/files/pasaschocolate_jpg.jpg?v=1762354985" TargetMode="External"/><Relationship Id="rId105" Type="http://schemas.openxmlformats.org/officeDocument/2006/relationships/hyperlink" Target="https://cdn.shopify.com/s/files/1/0733/7318/8148/files/pomelodeshidratado_jpg.jpg?v=1762365278" TargetMode="External"/><Relationship Id="rId8" Type="http://schemas.openxmlformats.org/officeDocument/2006/relationships/hyperlink" Target="https://cdn.shopify.com/s/files/1/0733/7318/8148/files/berenjena.jpg?v=1762371565" TargetMode="External"/><Relationship Id="rId51" Type="http://schemas.openxmlformats.org/officeDocument/2006/relationships/hyperlink" Target="https://cdn.shopify.com/s/files/1/0733/7318/8148/files/kiwi.jpg?v=1762372030" TargetMode="External"/><Relationship Id="rId72" Type="http://schemas.openxmlformats.org/officeDocument/2006/relationships/hyperlink" Target="https://cdn.shopify.com/s/files/1/0733/7318/8148/files/almendras_jpg.jpg?v=1762365216" TargetMode="External"/><Relationship Id="rId93" Type="http://schemas.openxmlformats.org/officeDocument/2006/relationships/hyperlink" Target="https://cdn.shopify.com/s/files/1/0733/7318/8148/files/maniconfitado.jpg-600x600.jpg?v=1762355380" TargetMode="External"/><Relationship Id="rId98" Type="http://schemas.openxmlformats.org/officeDocument/2006/relationships/hyperlink" Target="https://cdn.shopify.com/s/files/1/0733/7318/8148/files/nuez_jpg_94116685-22eb-4355-bdab-95e8df89c813.jpg?v=1762355019" TargetMode="External"/><Relationship Id="rId3" Type="http://schemas.openxmlformats.org/officeDocument/2006/relationships/hyperlink" Target="https://cdn.shopify.com/s/files/1/0733/7318/8148/files/ajiverde.png?v=1762371744" TargetMode="External"/><Relationship Id="rId25" Type="http://schemas.openxmlformats.org/officeDocument/2006/relationships/hyperlink" Target="https://cdn.shopify.com/s/files/1/0733/7318/8148/files/lechugacostina.png?v=1762370884" TargetMode="External"/><Relationship Id="rId46" Type="http://schemas.openxmlformats.org/officeDocument/2006/relationships/hyperlink" Target="https://cdn.shopify.com/s/files/1/0733/7318/8148/files/zanahoria-600x359.jpg?v=1762370132" TargetMode="External"/><Relationship Id="rId67" Type="http://schemas.openxmlformats.org/officeDocument/2006/relationships/hyperlink" Target="https://cdn.shopify.com/s/files/1/0733/7318/8148/files/platano.jpg?v=17623719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A1:AC1017"/>
  <sheetViews>
    <sheetView showGridLines="0" workbookViewId="0"/>
  </sheetViews>
  <sheetFormatPr baseColWidth="10" defaultColWidth="12.6640625" defaultRowHeight="15.75" customHeight="1" x14ac:dyDescent="0.15"/>
  <cols>
    <col min="1" max="1" width="18" customWidth="1"/>
    <col min="2" max="2" width="14.6640625" customWidth="1"/>
    <col min="3" max="3" width="4.5" customWidth="1"/>
    <col min="4" max="4" width="10.5" customWidth="1"/>
    <col min="5" max="5" width="23.6640625" customWidth="1"/>
    <col min="6" max="6" width="3.33203125" customWidth="1"/>
    <col min="7" max="7" width="25" hidden="1" customWidth="1"/>
    <col min="8" max="8" width="28.33203125" hidden="1" customWidth="1"/>
    <col min="9" max="9" width="26.1640625" hidden="1" customWidth="1"/>
    <col min="10" max="10" width="4.1640625" customWidth="1"/>
    <col min="12" max="16" width="14" customWidth="1"/>
    <col min="17" max="17" width="16.83203125" customWidth="1"/>
    <col min="18" max="18" width="6.33203125" customWidth="1"/>
    <col min="19" max="19" width="6" customWidth="1"/>
    <col min="20" max="20" width="14.1640625" customWidth="1"/>
    <col min="21" max="21" width="13.5" customWidth="1"/>
    <col min="22" max="22" width="22.33203125" customWidth="1"/>
    <col min="23" max="23" width="21.1640625" customWidth="1"/>
    <col min="24" max="24" width="9.83203125" customWidth="1"/>
    <col min="25" max="25" width="19.6640625" customWidth="1"/>
    <col min="26" max="28" width="17.1640625" customWidth="1"/>
    <col min="29" max="29" width="15" customWidth="1"/>
  </cols>
  <sheetData>
    <row r="1" spans="1:29" ht="15.75" customHeight="1" x14ac:dyDescent="0.15">
      <c r="A1" s="1"/>
      <c r="B1" s="2"/>
      <c r="C1" s="3"/>
      <c r="D1" s="4"/>
      <c r="E1" s="1"/>
      <c r="F1" s="1"/>
      <c r="G1" s="5"/>
      <c r="H1" s="6"/>
      <c r="I1" s="6"/>
      <c r="K1" s="193" t="s">
        <v>0</v>
      </c>
      <c r="L1" s="194"/>
      <c r="M1" s="194"/>
      <c r="N1" s="194"/>
      <c r="O1" s="194"/>
      <c r="P1" s="194"/>
      <c r="Q1" s="194"/>
      <c r="R1" s="7"/>
      <c r="S1" s="7"/>
      <c r="T1" s="8"/>
      <c r="U1" s="1"/>
      <c r="V1" s="7"/>
      <c r="W1" s="1"/>
      <c r="X1" s="9"/>
      <c r="Y1" s="9"/>
      <c r="Z1" s="5"/>
    </row>
    <row r="2" spans="1:29" ht="15.75" customHeight="1" x14ac:dyDescent="0.15">
      <c r="A2" s="1" t="s">
        <v>1</v>
      </c>
      <c r="B2" s="2"/>
      <c r="C2" s="3"/>
      <c r="D2" s="4" t="s">
        <v>2</v>
      </c>
      <c r="E2" s="1"/>
      <c r="F2" s="1"/>
      <c r="G2" s="10" t="s">
        <v>3</v>
      </c>
      <c r="H2" s="11" t="s">
        <v>4</v>
      </c>
      <c r="I2" s="11" t="s">
        <v>5</v>
      </c>
      <c r="K2" s="11" t="s">
        <v>6</v>
      </c>
      <c r="L2" s="12" t="s">
        <v>7</v>
      </c>
      <c r="M2" s="12" t="s">
        <v>8</v>
      </c>
      <c r="N2" s="13" t="s">
        <v>9</v>
      </c>
      <c r="O2" s="12" t="s">
        <v>10</v>
      </c>
      <c r="P2" s="14" t="s">
        <v>11</v>
      </c>
      <c r="Q2" s="15" t="s">
        <v>12</v>
      </c>
      <c r="R2" s="7"/>
      <c r="S2" s="7"/>
      <c r="U2" s="16">
        <v>0.12</v>
      </c>
      <c r="V2" s="17" t="s">
        <v>13</v>
      </c>
      <c r="X2" s="9"/>
      <c r="Y2" s="9" t="s">
        <v>14</v>
      </c>
      <c r="Z2" s="5"/>
    </row>
    <row r="3" spans="1:29" ht="15.75" customHeight="1" x14ac:dyDescent="0.15">
      <c r="A3" s="15" t="s">
        <v>15</v>
      </c>
      <c r="B3" s="18">
        <v>2400</v>
      </c>
      <c r="C3" s="3"/>
      <c r="D3" s="19" t="s">
        <v>16</v>
      </c>
      <c r="E3" s="20" t="s">
        <v>13</v>
      </c>
      <c r="F3" s="1"/>
      <c r="G3" s="10" t="s">
        <v>17</v>
      </c>
      <c r="H3" s="21">
        <v>4990</v>
      </c>
      <c r="I3" s="21">
        <v>3990</v>
      </c>
      <c r="K3" s="22">
        <v>0.05</v>
      </c>
      <c r="L3" s="23">
        <v>0.28000000000000003</v>
      </c>
      <c r="M3" s="23">
        <v>0.32</v>
      </c>
      <c r="N3" s="24">
        <v>29000</v>
      </c>
      <c r="O3" s="24">
        <f t="shared" ref="O3:O8" si="0">N3-N3/(1+K3)-0.02*N3-800</f>
        <v>0.95238095238164533</v>
      </c>
      <c r="P3" s="18"/>
      <c r="Q3" s="18"/>
      <c r="R3" s="8"/>
      <c r="S3" s="8"/>
      <c r="U3" s="25">
        <v>15000</v>
      </c>
      <c r="V3" s="26" t="s">
        <v>18</v>
      </c>
      <c r="X3" s="27"/>
      <c r="Y3" s="27" t="s">
        <v>19</v>
      </c>
    </row>
    <row r="4" spans="1:29" ht="15.75" customHeight="1" x14ac:dyDescent="0.15">
      <c r="A4" s="15" t="s">
        <v>20</v>
      </c>
      <c r="B4" s="18">
        <v>800</v>
      </c>
      <c r="C4" s="1"/>
      <c r="D4" s="28" t="s">
        <v>21</v>
      </c>
      <c r="E4" s="29" t="s">
        <v>18</v>
      </c>
      <c r="F4" s="1"/>
      <c r="G4" s="10" t="s">
        <v>22</v>
      </c>
      <c r="H4" s="12" t="s">
        <v>23</v>
      </c>
      <c r="I4" s="12" t="s">
        <v>24</v>
      </c>
      <c r="K4" s="22">
        <v>0.06</v>
      </c>
      <c r="L4" s="23">
        <v>0.27</v>
      </c>
      <c r="M4" s="23">
        <v>0.32</v>
      </c>
      <c r="N4" s="24">
        <v>21900</v>
      </c>
      <c r="O4" s="24">
        <f t="shared" si="0"/>
        <v>1.6226415094351978</v>
      </c>
      <c r="P4" s="18"/>
      <c r="Q4" s="18"/>
      <c r="R4" s="8"/>
      <c r="S4" s="8"/>
      <c r="U4" s="25">
        <v>38000</v>
      </c>
      <c r="V4" s="26" t="s">
        <v>25</v>
      </c>
      <c r="W4" s="5" t="s">
        <v>26</v>
      </c>
      <c r="X4" s="27"/>
      <c r="Y4" s="27" t="s">
        <v>27</v>
      </c>
    </row>
    <row r="5" spans="1:29" ht="15.75" customHeight="1" x14ac:dyDescent="0.15">
      <c r="A5" s="15" t="s">
        <v>28</v>
      </c>
      <c r="B5" s="23">
        <v>0.02</v>
      </c>
      <c r="C5" s="1"/>
      <c r="D5" s="28" t="s">
        <v>29</v>
      </c>
      <c r="E5" s="29" t="s">
        <v>30</v>
      </c>
      <c r="F5" s="1"/>
      <c r="G5" s="10" t="s">
        <v>31</v>
      </c>
      <c r="H5" s="12" t="s">
        <v>32</v>
      </c>
      <c r="I5" s="12" t="s">
        <v>33</v>
      </c>
      <c r="K5" s="22">
        <v>7.0000000000000007E-2</v>
      </c>
      <c r="L5" s="23">
        <v>0.26</v>
      </c>
      <c r="M5" s="23">
        <v>0.31</v>
      </c>
      <c r="N5" s="24">
        <v>17600</v>
      </c>
      <c r="O5" s="24">
        <f t="shared" si="0"/>
        <v>-0.59813084112101933</v>
      </c>
      <c r="P5" s="18">
        <v>72000</v>
      </c>
      <c r="Q5" s="18">
        <f t="shared" ref="Q5:Q8" si="1">P5-P5/(1+K5)-0.02*P5-3200</f>
        <v>70.280373831774341</v>
      </c>
      <c r="R5" s="8"/>
      <c r="S5" s="8"/>
      <c r="U5" s="25">
        <v>2990</v>
      </c>
      <c r="V5" s="26" t="s">
        <v>34</v>
      </c>
      <c r="X5" s="30"/>
      <c r="Y5" s="30" t="s">
        <v>35</v>
      </c>
      <c r="Z5" s="31"/>
    </row>
    <row r="6" spans="1:29" ht="15.75" customHeight="1" x14ac:dyDescent="0.15">
      <c r="A6" s="1"/>
      <c r="B6" s="1"/>
      <c r="C6" s="1"/>
      <c r="D6" s="28" t="s">
        <v>36</v>
      </c>
      <c r="E6" s="29" t="s">
        <v>37</v>
      </c>
      <c r="F6" s="1"/>
      <c r="G6" s="10" t="s">
        <v>38</v>
      </c>
      <c r="H6" s="12" t="s">
        <v>39</v>
      </c>
      <c r="I6" s="12" t="s">
        <v>40</v>
      </c>
      <c r="K6" s="23">
        <v>0.08</v>
      </c>
      <c r="L6" s="23">
        <v>0.25</v>
      </c>
      <c r="M6" s="23">
        <v>0.3</v>
      </c>
      <c r="N6" s="18">
        <v>14800</v>
      </c>
      <c r="O6" s="24">
        <f t="shared" si="0"/>
        <v>0.29629629629744159</v>
      </c>
      <c r="P6" s="18">
        <v>60000</v>
      </c>
      <c r="Q6" s="18">
        <f t="shared" si="1"/>
        <v>44.444444444445253</v>
      </c>
      <c r="R6" s="4"/>
      <c r="S6" s="4"/>
      <c r="U6" s="32">
        <v>5500</v>
      </c>
      <c r="V6" s="33" t="s">
        <v>41</v>
      </c>
    </row>
    <row r="7" spans="1:29" ht="15.75" customHeight="1" x14ac:dyDescent="0.15">
      <c r="A7" s="1"/>
      <c r="B7" s="3"/>
      <c r="C7" s="3"/>
      <c r="D7" s="32" t="s">
        <v>42</v>
      </c>
      <c r="E7" s="34" t="s">
        <v>43</v>
      </c>
      <c r="F7" s="1"/>
      <c r="G7" s="10" t="s">
        <v>44</v>
      </c>
      <c r="H7" s="12" t="s">
        <v>45</v>
      </c>
      <c r="I7" s="12" t="s">
        <v>46</v>
      </c>
      <c r="K7" s="35">
        <v>0.1</v>
      </c>
      <c r="L7" s="35">
        <v>0.24</v>
      </c>
      <c r="M7" s="35">
        <v>0.28999999999999998</v>
      </c>
      <c r="N7" s="36">
        <v>11300</v>
      </c>
      <c r="O7" s="18">
        <f t="shared" si="0"/>
        <v>1.2727272727279342</v>
      </c>
      <c r="P7" s="36">
        <v>46000</v>
      </c>
      <c r="Q7" s="18">
        <f t="shared" si="1"/>
        <v>61.818181818183803</v>
      </c>
      <c r="R7" s="3"/>
      <c r="S7" s="3"/>
      <c r="T7" s="3"/>
      <c r="U7" s="1"/>
      <c r="Y7" s="10" t="s">
        <v>47</v>
      </c>
      <c r="Z7" s="11" t="s">
        <v>4</v>
      </c>
      <c r="AA7" s="37" t="s">
        <v>48</v>
      </c>
      <c r="AB7" s="11" t="s">
        <v>5</v>
      </c>
      <c r="AC7" s="37" t="s">
        <v>49</v>
      </c>
    </row>
    <row r="8" spans="1:29" ht="15.75" customHeight="1" x14ac:dyDescent="0.15">
      <c r="A8" s="1"/>
      <c r="B8" s="1"/>
      <c r="C8" s="1"/>
      <c r="D8" s="8"/>
      <c r="E8" s="1"/>
      <c r="F8" s="1"/>
      <c r="G8" s="10" t="s">
        <v>50</v>
      </c>
      <c r="H8" s="12" t="s">
        <v>51</v>
      </c>
      <c r="I8" s="38" t="s">
        <v>52</v>
      </c>
      <c r="K8" s="35">
        <v>0.12</v>
      </c>
      <c r="L8" s="35">
        <v>0.23</v>
      </c>
      <c r="M8" s="35">
        <v>0.28000000000000003</v>
      </c>
      <c r="N8" s="36">
        <v>9200</v>
      </c>
      <c r="O8" s="18">
        <f t="shared" si="0"/>
        <v>1.714285714286234</v>
      </c>
      <c r="P8" s="36">
        <v>37000</v>
      </c>
      <c r="Q8" s="18">
        <f t="shared" si="1"/>
        <v>24.285714285717404</v>
      </c>
      <c r="R8" s="3"/>
      <c r="S8" s="3"/>
      <c r="Y8" s="10" t="s">
        <v>53</v>
      </c>
      <c r="Z8" s="39" t="s">
        <v>54</v>
      </c>
      <c r="AA8" s="39" t="s">
        <v>54</v>
      </c>
      <c r="AB8" s="39" t="s">
        <v>55</v>
      </c>
      <c r="AC8" s="39" t="s">
        <v>56</v>
      </c>
    </row>
    <row r="9" spans="1:29" ht="15.75" customHeight="1" x14ac:dyDescent="0.15">
      <c r="A9" s="3"/>
      <c r="B9" s="3"/>
      <c r="C9" s="4"/>
      <c r="D9" s="4"/>
      <c r="E9" s="4"/>
      <c r="F9" s="1"/>
      <c r="G9" s="10" t="s">
        <v>57</v>
      </c>
      <c r="H9" s="12" t="s">
        <v>58</v>
      </c>
      <c r="I9" s="12" t="s">
        <v>58</v>
      </c>
      <c r="K9" s="1"/>
      <c r="L9" s="1"/>
      <c r="M9" s="1"/>
      <c r="N9" s="1"/>
      <c r="P9" s="1"/>
      <c r="Q9" s="1"/>
      <c r="R9" s="3"/>
      <c r="S9" s="3"/>
      <c r="Y9" s="10" t="s">
        <v>59</v>
      </c>
      <c r="Z9" s="40" t="s">
        <v>60</v>
      </c>
      <c r="AA9" s="41" t="s">
        <v>61</v>
      </c>
      <c r="AB9" s="40" t="s">
        <v>62</v>
      </c>
      <c r="AC9" s="39" t="s">
        <v>63</v>
      </c>
    </row>
    <row r="10" spans="1:29" ht="15.75" customHeight="1" x14ac:dyDescent="0.15">
      <c r="A10" s="3"/>
      <c r="B10" s="3"/>
      <c r="C10" s="4"/>
      <c r="D10" s="4"/>
      <c r="E10" s="4"/>
      <c r="F10" s="1"/>
      <c r="G10" s="10" t="s">
        <v>59</v>
      </c>
      <c r="H10" s="12" t="s">
        <v>60</v>
      </c>
      <c r="I10" s="12" t="s">
        <v>62</v>
      </c>
      <c r="K10" s="195" t="s">
        <v>64</v>
      </c>
      <c r="L10" s="194"/>
      <c r="M10" s="194"/>
      <c r="N10" s="194"/>
      <c r="O10" s="194"/>
      <c r="P10" s="194"/>
      <c r="Q10" s="194"/>
      <c r="R10" s="3"/>
      <c r="S10" s="3"/>
      <c r="Y10" s="10" t="s">
        <v>17</v>
      </c>
      <c r="Z10" s="42">
        <v>4990</v>
      </c>
      <c r="AA10" s="40" t="s">
        <v>65</v>
      </c>
      <c r="AB10" s="42">
        <v>3990</v>
      </c>
      <c r="AC10" s="43">
        <v>2990</v>
      </c>
    </row>
    <row r="11" spans="1:29" ht="15.75" customHeight="1" x14ac:dyDescent="0.15">
      <c r="A11" s="3"/>
      <c r="B11" s="3"/>
      <c r="C11" s="4"/>
      <c r="D11" s="4"/>
      <c r="E11" s="4"/>
      <c r="F11" s="1"/>
      <c r="G11" s="10" t="s">
        <v>66</v>
      </c>
      <c r="H11" s="12" t="s">
        <v>67</v>
      </c>
      <c r="I11" s="12" t="s">
        <v>68</v>
      </c>
      <c r="K11" s="7">
        <v>0.08</v>
      </c>
      <c r="L11" s="7">
        <f>L6</f>
        <v>0.25</v>
      </c>
      <c r="M11" s="8"/>
      <c r="N11" s="8"/>
      <c r="O11" s="7">
        <f>M6</f>
        <v>0.3</v>
      </c>
      <c r="P11" s="8"/>
      <c r="Q11" s="8"/>
      <c r="R11" s="44"/>
      <c r="S11" s="44"/>
      <c r="Y11" s="10" t="s">
        <v>31</v>
      </c>
      <c r="Z11" s="40" t="s">
        <v>32</v>
      </c>
      <c r="AA11" s="40" t="s">
        <v>32</v>
      </c>
      <c r="AB11" s="40" t="s">
        <v>33</v>
      </c>
      <c r="AC11" s="39" t="s">
        <v>69</v>
      </c>
    </row>
    <row r="12" spans="1:29" ht="15.75" customHeight="1" x14ac:dyDescent="0.15">
      <c r="A12" s="3"/>
      <c r="B12" s="3"/>
      <c r="C12" s="4"/>
      <c r="D12" s="4"/>
      <c r="E12" s="4"/>
      <c r="F12" s="1"/>
      <c r="G12" s="12" t="s">
        <v>70</v>
      </c>
      <c r="H12" s="12" t="s">
        <v>71</v>
      </c>
      <c r="I12" s="12"/>
      <c r="K12" s="6" t="s">
        <v>72</v>
      </c>
      <c r="L12" s="6" t="s">
        <v>73</v>
      </c>
      <c r="M12" s="6" t="s">
        <v>74</v>
      </c>
      <c r="N12" s="6" t="s">
        <v>75</v>
      </c>
      <c r="O12" s="6" t="s">
        <v>76</v>
      </c>
      <c r="P12" s="6" t="s">
        <v>74</v>
      </c>
      <c r="Q12" s="6" t="s">
        <v>75</v>
      </c>
      <c r="R12" s="44"/>
      <c r="S12" s="44"/>
      <c r="T12" s="3" t="s">
        <v>77</v>
      </c>
      <c r="U12" s="8" t="s">
        <v>78</v>
      </c>
      <c r="V12" s="45" t="s">
        <v>79</v>
      </c>
      <c r="W12" s="45" t="s">
        <v>80</v>
      </c>
      <c r="Y12" s="10" t="s">
        <v>38</v>
      </c>
      <c r="Z12" s="40" t="s">
        <v>39</v>
      </c>
      <c r="AA12" s="40" t="s">
        <v>39</v>
      </c>
      <c r="AB12" s="40" t="s">
        <v>40</v>
      </c>
      <c r="AC12" s="39" t="s">
        <v>69</v>
      </c>
    </row>
    <row r="13" spans="1:29" ht="15.75" customHeight="1" x14ac:dyDescent="0.15">
      <c r="A13" s="3"/>
      <c r="B13" s="3"/>
      <c r="C13" s="4"/>
      <c r="D13" s="4"/>
      <c r="E13" s="4"/>
      <c r="F13" s="1"/>
      <c r="G13" s="12" t="s">
        <v>81</v>
      </c>
      <c r="H13" s="12"/>
      <c r="I13" s="12" t="s">
        <v>82</v>
      </c>
      <c r="K13" s="46">
        <v>15000</v>
      </c>
      <c r="L13" s="47">
        <f t="shared" ref="L13:L15" si="2">K13*$L$11</f>
        <v>3750</v>
      </c>
      <c r="M13" s="47">
        <f t="shared" ref="M13:M15" si="3">L13*2</f>
        <v>7500</v>
      </c>
      <c r="N13" s="47">
        <f t="shared" ref="N13:N15" si="4">L13*4</f>
        <v>15000</v>
      </c>
      <c r="O13" s="47">
        <f t="shared" ref="O13:O15" si="5">K13*$O$11</f>
        <v>4500</v>
      </c>
      <c r="P13" s="47">
        <f t="shared" ref="P13:P15" si="6">O13*2</f>
        <v>9000</v>
      </c>
      <c r="Q13" s="48">
        <f t="shared" ref="Q13:Q15" si="7">O13*4</f>
        <v>18000</v>
      </c>
      <c r="R13" s="44"/>
      <c r="S13" s="44"/>
      <c r="T13" s="3">
        <v>4990</v>
      </c>
      <c r="U13" s="49">
        <v>2000</v>
      </c>
      <c r="V13" s="44">
        <f t="shared" ref="V13:V18" si="8">U13*$T$13</f>
        <v>9980000</v>
      </c>
      <c r="W13" s="44">
        <f t="shared" ref="W13:W18" si="9">V13*10</f>
        <v>99800000</v>
      </c>
      <c r="Y13" s="10" t="s">
        <v>44</v>
      </c>
      <c r="Z13" s="40" t="s">
        <v>45</v>
      </c>
      <c r="AA13" s="40" t="s">
        <v>45</v>
      </c>
      <c r="AB13" s="40" t="s">
        <v>46</v>
      </c>
      <c r="AC13" s="40" t="s">
        <v>45</v>
      </c>
    </row>
    <row r="14" spans="1:29" ht="15.75" customHeight="1" x14ac:dyDescent="0.15">
      <c r="A14" s="3"/>
      <c r="B14" s="3"/>
      <c r="C14" s="4"/>
      <c r="D14" s="4"/>
      <c r="E14" s="4"/>
      <c r="F14" s="1"/>
      <c r="K14" s="50">
        <v>20000</v>
      </c>
      <c r="L14" s="44">
        <f t="shared" si="2"/>
        <v>5000</v>
      </c>
      <c r="M14" s="44">
        <f t="shared" si="3"/>
        <v>10000</v>
      </c>
      <c r="N14" s="44">
        <f t="shared" si="4"/>
        <v>20000</v>
      </c>
      <c r="O14" s="44">
        <f t="shared" si="5"/>
        <v>6000</v>
      </c>
      <c r="P14" s="44">
        <f t="shared" si="6"/>
        <v>12000</v>
      </c>
      <c r="Q14" s="51">
        <f t="shared" si="7"/>
        <v>24000</v>
      </c>
      <c r="R14" s="44"/>
      <c r="S14" s="44"/>
      <c r="T14" s="44"/>
      <c r="U14" s="52">
        <v>3000</v>
      </c>
      <c r="V14" s="44">
        <f t="shared" si="8"/>
        <v>14970000</v>
      </c>
      <c r="W14" s="44">
        <f t="shared" si="9"/>
        <v>149700000</v>
      </c>
      <c r="Y14" s="10" t="s">
        <v>83</v>
      </c>
      <c r="Z14" s="53" t="s">
        <v>84</v>
      </c>
      <c r="AA14" s="53" t="s">
        <v>84</v>
      </c>
      <c r="AB14" s="53" t="s">
        <v>85</v>
      </c>
      <c r="AC14" s="53" t="s">
        <v>86</v>
      </c>
    </row>
    <row r="15" spans="1:29" ht="15.75" customHeight="1" x14ac:dyDescent="0.15">
      <c r="A15" s="3"/>
      <c r="B15" s="3"/>
      <c r="C15" s="4"/>
      <c r="D15" s="4"/>
      <c r="E15" s="4"/>
      <c r="F15" s="1"/>
      <c r="K15" s="54">
        <v>30000</v>
      </c>
      <c r="L15" s="55">
        <f t="shared" si="2"/>
        <v>7500</v>
      </c>
      <c r="M15" s="55">
        <f t="shared" si="3"/>
        <v>15000</v>
      </c>
      <c r="N15" s="55">
        <f t="shared" si="4"/>
        <v>30000</v>
      </c>
      <c r="O15" s="55">
        <f t="shared" si="5"/>
        <v>9000</v>
      </c>
      <c r="P15" s="55">
        <f t="shared" si="6"/>
        <v>18000</v>
      </c>
      <c r="Q15" s="56">
        <f t="shared" si="7"/>
        <v>36000</v>
      </c>
      <c r="R15" s="44"/>
      <c r="S15" s="44"/>
      <c r="T15" s="44"/>
      <c r="U15" s="57">
        <v>5000</v>
      </c>
      <c r="V15" s="58">
        <f t="shared" si="8"/>
        <v>24950000</v>
      </c>
      <c r="W15" s="58">
        <f t="shared" si="9"/>
        <v>249500000</v>
      </c>
      <c r="Y15" s="10" t="s">
        <v>57</v>
      </c>
      <c r="Z15" s="40" t="s">
        <v>58</v>
      </c>
      <c r="AA15" s="40" t="s">
        <v>58</v>
      </c>
      <c r="AB15" s="40" t="s">
        <v>58</v>
      </c>
      <c r="AC15" s="40" t="s">
        <v>87</v>
      </c>
    </row>
    <row r="16" spans="1:29" ht="15.75" customHeight="1" x14ac:dyDescent="0.15">
      <c r="A16" s="3"/>
      <c r="B16" s="3"/>
      <c r="C16" s="4"/>
      <c r="D16" s="4"/>
      <c r="E16" s="4"/>
      <c r="F16" s="1"/>
      <c r="G16" s="59" t="s">
        <v>88</v>
      </c>
      <c r="H16" s="60"/>
      <c r="K16" s="195" t="s">
        <v>89</v>
      </c>
      <c r="L16" s="194"/>
      <c r="M16" s="194"/>
      <c r="N16" s="194"/>
      <c r="O16" s="194"/>
      <c r="P16" s="194"/>
      <c r="Q16" s="194"/>
      <c r="R16" s="44"/>
      <c r="S16" s="44"/>
      <c r="T16" s="44"/>
      <c r="U16" s="57">
        <v>6000</v>
      </c>
      <c r="V16" s="58">
        <f t="shared" si="8"/>
        <v>29940000</v>
      </c>
      <c r="W16" s="58">
        <f t="shared" si="9"/>
        <v>299400000</v>
      </c>
      <c r="Y16" s="10" t="s">
        <v>59</v>
      </c>
      <c r="Z16" s="40" t="s">
        <v>60</v>
      </c>
      <c r="AA16" s="53" t="s">
        <v>61</v>
      </c>
      <c r="AB16" s="40" t="s">
        <v>62</v>
      </c>
      <c r="AC16" s="39" t="s">
        <v>63</v>
      </c>
    </row>
    <row r="17" spans="1:29" ht="15.75" customHeight="1" x14ac:dyDescent="0.15">
      <c r="A17" s="3"/>
      <c r="B17" s="3"/>
      <c r="C17" s="4"/>
      <c r="D17" s="4"/>
      <c r="E17" s="4"/>
      <c r="F17" s="1"/>
      <c r="G17" s="61" t="s">
        <v>90</v>
      </c>
      <c r="H17" s="62"/>
      <c r="K17" s="2">
        <v>0.12</v>
      </c>
      <c r="L17" s="2">
        <f>L8</f>
        <v>0.23</v>
      </c>
      <c r="M17" s="1"/>
      <c r="N17" s="1"/>
      <c r="O17" s="2">
        <f>M8</f>
        <v>0.28000000000000003</v>
      </c>
      <c r="P17" s="1"/>
      <c r="Q17" s="1"/>
      <c r="R17" s="44"/>
      <c r="S17" s="44"/>
      <c r="T17" s="44"/>
      <c r="U17" s="52">
        <v>8000</v>
      </c>
      <c r="V17" s="44">
        <f t="shared" si="8"/>
        <v>39920000</v>
      </c>
      <c r="W17" s="44">
        <f t="shared" si="9"/>
        <v>399200000</v>
      </c>
      <c r="Y17" s="45" t="s">
        <v>91</v>
      </c>
      <c r="Z17" s="45"/>
      <c r="AA17" s="63">
        <v>5000</v>
      </c>
      <c r="AB17" s="63"/>
      <c r="AC17" s="63">
        <v>4990</v>
      </c>
    </row>
    <row r="18" spans="1:29" ht="15.75" customHeight="1" x14ac:dyDescent="0.15">
      <c r="A18" s="3"/>
      <c r="B18" s="3"/>
      <c r="C18" s="4"/>
      <c r="D18" s="4"/>
      <c r="E18" s="4"/>
      <c r="F18" s="1"/>
      <c r="G18" s="61" t="s">
        <v>92</v>
      </c>
      <c r="H18" s="62"/>
      <c r="K18" s="6" t="s">
        <v>72</v>
      </c>
      <c r="L18" s="6" t="s">
        <v>73</v>
      </c>
      <c r="M18" s="6" t="s">
        <v>74</v>
      </c>
      <c r="N18" s="6" t="s">
        <v>75</v>
      </c>
      <c r="O18" s="6" t="s">
        <v>76</v>
      </c>
      <c r="P18" s="6" t="s">
        <v>74</v>
      </c>
      <c r="Q18" s="6" t="s">
        <v>75</v>
      </c>
      <c r="R18" s="44"/>
      <c r="S18" s="44"/>
      <c r="T18" s="44"/>
      <c r="U18" s="52">
        <v>10000</v>
      </c>
      <c r="V18" s="44">
        <f t="shared" si="8"/>
        <v>49900000</v>
      </c>
      <c r="W18" s="44">
        <f t="shared" si="9"/>
        <v>499000000</v>
      </c>
      <c r="Y18" s="5"/>
      <c r="Z18" s="45"/>
      <c r="AB18" s="45"/>
    </row>
    <row r="19" spans="1:29" ht="15.75" customHeight="1" x14ac:dyDescent="0.15">
      <c r="A19" s="3"/>
      <c r="B19" s="3"/>
      <c r="C19" s="4"/>
      <c r="D19" s="4"/>
      <c r="E19" s="4"/>
      <c r="F19" s="1"/>
      <c r="G19" s="64" t="s">
        <v>93</v>
      </c>
      <c r="H19" s="65"/>
      <c r="K19" s="46">
        <v>15000</v>
      </c>
      <c r="L19" s="47">
        <f t="shared" ref="L19:L21" si="10">K19*$L$17</f>
        <v>3450</v>
      </c>
      <c r="M19" s="47">
        <f t="shared" ref="M19:M21" si="11">L19*2</f>
        <v>6900</v>
      </c>
      <c r="N19" s="47">
        <f t="shared" ref="N19:N21" si="12">L19*4</f>
        <v>13800</v>
      </c>
      <c r="O19" s="47">
        <f t="shared" ref="O19:O21" si="13">K19*$O$17</f>
        <v>4200</v>
      </c>
      <c r="P19" s="47">
        <f t="shared" ref="P19:P21" si="14">O19*2</f>
        <v>8400</v>
      </c>
      <c r="Q19" s="48">
        <f t="shared" ref="Q19:Q21" si="15">O19*4</f>
        <v>16800</v>
      </c>
      <c r="R19" s="44"/>
      <c r="S19" s="44"/>
      <c r="T19" s="44"/>
      <c r="U19" s="49"/>
      <c r="Y19" s="45"/>
      <c r="Z19" s="45"/>
      <c r="AB19" s="45"/>
    </row>
    <row r="20" spans="1:29" ht="15.75" customHeight="1" x14ac:dyDescent="0.15">
      <c r="A20" s="3"/>
      <c r="B20" s="3"/>
      <c r="C20" s="4"/>
      <c r="D20" s="4"/>
      <c r="E20" s="4"/>
      <c r="F20" s="1"/>
      <c r="K20" s="50">
        <v>20000</v>
      </c>
      <c r="L20" s="44">
        <f t="shared" si="10"/>
        <v>4600</v>
      </c>
      <c r="M20" s="44">
        <f t="shared" si="11"/>
        <v>9200</v>
      </c>
      <c r="N20" s="44">
        <f t="shared" si="12"/>
        <v>18400</v>
      </c>
      <c r="O20" s="44">
        <f t="shared" si="13"/>
        <v>5600.0000000000009</v>
      </c>
      <c r="P20" s="44">
        <f t="shared" si="14"/>
        <v>11200.000000000002</v>
      </c>
      <c r="Q20" s="51">
        <f t="shared" si="15"/>
        <v>22400.000000000004</v>
      </c>
      <c r="R20" s="44"/>
      <c r="S20" s="44"/>
      <c r="T20" s="44">
        <v>50000</v>
      </c>
      <c r="U20" s="52"/>
      <c r="Y20" s="45"/>
      <c r="Z20" s="45"/>
      <c r="AA20" s="45"/>
    </row>
    <row r="21" spans="1:29" ht="15.75" customHeight="1" x14ac:dyDescent="0.15">
      <c r="A21" s="3"/>
      <c r="B21" s="3"/>
      <c r="C21" s="4"/>
      <c r="D21" s="4"/>
      <c r="E21" s="4"/>
      <c r="F21" s="1"/>
      <c r="K21" s="54">
        <v>30000</v>
      </c>
      <c r="L21" s="55">
        <f t="shared" si="10"/>
        <v>6900</v>
      </c>
      <c r="M21" s="55">
        <f t="shared" si="11"/>
        <v>13800</v>
      </c>
      <c r="N21" s="55">
        <f t="shared" si="12"/>
        <v>27600</v>
      </c>
      <c r="O21" s="55">
        <f t="shared" si="13"/>
        <v>8400</v>
      </c>
      <c r="P21" s="55">
        <f t="shared" si="14"/>
        <v>16800</v>
      </c>
      <c r="Q21" s="56">
        <f t="shared" si="15"/>
        <v>33600</v>
      </c>
      <c r="R21" s="44"/>
      <c r="S21" s="44"/>
      <c r="T21" s="44"/>
    </row>
    <row r="22" spans="1:29" ht="15.75" customHeight="1" x14ac:dyDescent="0.15">
      <c r="A22" s="3"/>
      <c r="B22" s="3"/>
      <c r="C22" s="4"/>
      <c r="D22" s="4"/>
      <c r="E22" s="4"/>
      <c r="F22" s="1"/>
      <c r="K22" s="66"/>
      <c r="L22" s="44"/>
      <c r="M22" s="44"/>
      <c r="R22" s="44"/>
      <c r="S22" s="44"/>
      <c r="T22" s="44"/>
      <c r="U22" s="49"/>
    </row>
    <row r="23" spans="1:29" ht="15.75" customHeight="1" x14ac:dyDescent="0.15">
      <c r="A23" s="3"/>
      <c r="B23" s="3"/>
      <c r="C23" s="3"/>
      <c r="D23" s="4"/>
      <c r="E23" s="3"/>
      <c r="F23" s="1"/>
      <c r="K23" s="67" t="s">
        <v>37</v>
      </c>
      <c r="L23" s="68" t="s">
        <v>94</v>
      </c>
      <c r="M23" s="69" t="s">
        <v>74</v>
      </c>
      <c r="N23" s="70" t="s">
        <v>75</v>
      </c>
      <c r="R23" s="44"/>
      <c r="S23" s="44"/>
      <c r="T23" s="44"/>
      <c r="U23" s="52"/>
    </row>
    <row r="24" spans="1:29" ht="15.75" customHeight="1" x14ac:dyDescent="0.15">
      <c r="A24" s="3"/>
      <c r="B24" s="71"/>
      <c r="C24" s="1"/>
      <c r="D24" s="8"/>
      <c r="E24" s="1"/>
      <c r="F24" s="1"/>
      <c r="K24" s="72"/>
      <c r="L24" s="73">
        <v>2990</v>
      </c>
      <c r="M24" s="73">
        <f>L24*2</f>
        <v>5980</v>
      </c>
      <c r="N24" s="74">
        <f>M24*4</f>
        <v>23920</v>
      </c>
      <c r="R24" s="44"/>
      <c r="S24" s="44"/>
      <c r="T24" s="44"/>
      <c r="U24" s="52"/>
    </row>
    <row r="25" spans="1:29" ht="15.75" customHeight="1" x14ac:dyDescent="0.15">
      <c r="A25" s="1"/>
      <c r="B25" s="71"/>
      <c r="C25" s="1"/>
      <c r="D25" s="8"/>
      <c r="E25" s="1"/>
      <c r="F25" s="1"/>
      <c r="K25" s="75"/>
      <c r="L25" s="76"/>
      <c r="M25" s="44"/>
      <c r="R25" s="44"/>
      <c r="S25" s="44"/>
      <c r="T25" s="44"/>
    </row>
    <row r="26" spans="1:29" ht="15.75" customHeight="1" x14ac:dyDescent="0.15">
      <c r="F26" s="1"/>
      <c r="K26" s="75"/>
      <c r="L26" s="76"/>
      <c r="M26" s="44"/>
      <c r="R26" s="44"/>
      <c r="S26" s="44"/>
      <c r="T26" s="44"/>
    </row>
    <row r="27" spans="1:29" ht="15.75" customHeight="1" x14ac:dyDescent="0.15">
      <c r="F27" s="1"/>
      <c r="L27" s="76"/>
      <c r="M27" s="44"/>
      <c r="R27" s="44"/>
      <c r="S27" s="44"/>
      <c r="T27" s="44"/>
    </row>
    <row r="28" spans="1:29" ht="15.75" customHeight="1" x14ac:dyDescent="0.15">
      <c r="K28" s="44"/>
      <c r="L28" s="45"/>
      <c r="R28" s="44"/>
      <c r="S28" s="44"/>
      <c r="T28" s="44"/>
    </row>
    <row r="29" spans="1:29" ht="15.75" customHeight="1" x14ac:dyDescent="0.15">
      <c r="K29" s="44"/>
      <c r="R29" s="44"/>
      <c r="S29" s="44"/>
      <c r="T29" s="44"/>
    </row>
    <row r="30" spans="1:29" ht="15.75" customHeight="1" x14ac:dyDescent="0.15">
      <c r="R30" s="44"/>
      <c r="S30" s="44"/>
      <c r="T30" s="44"/>
    </row>
    <row r="31" spans="1:29" ht="15.75" customHeight="1" x14ac:dyDescent="0.15">
      <c r="R31" s="44"/>
      <c r="S31" s="44"/>
      <c r="T31" s="44"/>
    </row>
    <row r="32" spans="1:29" ht="15.75" customHeight="1" x14ac:dyDescent="0.15">
      <c r="R32" s="44"/>
      <c r="S32" s="44"/>
      <c r="T32" s="44"/>
    </row>
    <row r="33" spans="4:20" ht="15.75" customHeight="1" x14ac:dyDescent="0.15">
      <c r="D33" s="45"/>
      <c r="R33" s="44"/>
      <c r="S33" s="44"/>
      <c r="T33" s="44"/>
    </row>
    <row r="34" spans="4:20" ht="15.75" customHeight="1" x14ac:dyDescent="0.15">
      <c r="D34" s="45"/>
      <c r="R34" s="44"/>
      <c r="S34" s="44"/>
      <c r="T34" s="44"/>
    </row>
    <row r="35" spans="4:20" ht="15.75" customHeight="1" x14ac:dyDescent="0.15">
      <c r="D35" s="45"/>
      <c r="R35" s="44"/>
      <c r="S35" s="44"/>
      <c r="T35" s="44"/>
    </row>
    <row r="36" spans="4:20" ht="15.75" customHeight="1" x14ac:dyDescent="0.15">
      <c r="D36" s="45"/>
      <c r="R36" s="44"/>
      <c r="S36" s="44"/>
      <c r="T36" s="44"/>
    </row>
    <row r="37" spans="4:20" ht="15.75" customHeight="1" x14ac:dyDescent="0.15">
      <c r="D37" s="45"/>
      <c r="R37" s="44"/>
      <c r="S37" s="44"/>
      <c r="T37" s="44"/>
    </row>
    <row r="38" spans="4:20" ht="15.75" customHeight="1" x14ac:dyDescent="0.15">
      <c r="D38" s="45"/>
      <c r="R38" s="44"/>
      <c r="S38" s="44"/>
      <c r="T38" s="44"/>
    </row>
    <row r="39" spans="4:20" ht="15.75" customHeight="1" x14ac:dyDescent="0.15">
      <c r="D39" s="45"/>
      <c r="R39" s="44"/>
      <c r="S39" s="44"/>
      <c r="T39" s="44"/>
    </row>
    <row r="40" spans="4:20" ht="15.75" customHeight="1" x14ac:dyDescent="0.15">
      <c r="D40" s="45"/>
      <c r="R40" s="44"/>
      <c r="S40" s="44"/>
      <c r="T40" s="44"/>
    </row>
    <row r="41" spans="4:20" ht="15.75" customHeight="1" x14ac:dyDescent="0.15">
      <c r="D41" s="45"/>
      <c r="R41" s="44"/>
      <c r="S41" s="44"/>
      <c r="T41" s="44"/>
    </row>
    <row r="42" spans="4:20" ht="15.75" customHeight="1" x14ac:dyDescent="0.15">
      <c r="D42" s="45"/>
      <c r="R42" s="44"/>
      <c r="S42" s="44"/>
      <c r="T42" s="44"/>
    </row>
    <row r="43" spans="4:20" ht="15.75" customHeight="1" x14ac:dyDescent="0.15">
      <c r="D43" s="45"/>
      <c r="R43" s="44"/>
      <c r="S43" s="44"/>
      <c r="T43" s="44"/>
    </row>
    <row r="44" spans="4:20" ht="15.75" customHeight="1" x14ac:dyDescent="0.15">
      <c r="D44" s="45"/>
      <c r="R44" s="44"/>
      <c r="S44" s="44"/>
      <c r="T44" s="44"/>
    </row>
    <row r="45" spans="4:20" ht="15.75" customHeight="1" x14ac:dyDescent="0.15">
      <c r="D45" s="45"/>
      <c r="R45" s="44"/>
      <c r="S45" s="44"/>
      <c r="T45" s="44"/>
    </row>
    <row r="46" spans="4:20" ht="15.75" customHeight="1" x14ac:dyDescent="0.15">
      <c r="D46" s="45"/>
      <c r="R46" s="44"/>
      <c r="S46" s="44"/>
      <c r="T46" s="44"/>
    </row>
    <row r="47" spans="4:20" ht="15.75" customHeight="1" x14ac:dyDescent="0.15">
      <c r="D47" s="45"/>
      <c r="R47" s="44"/>
      <c r="S47" s="44"/>
      <c r="T47" s="44"/>
    </row>
    <row r="48" spans="4:20" ht="15.75" customHeight="1" x14ac:dyDescent="0.15">
      <c r="D48" s="45"/>
      <c r="R48" s="44"/>
      <c r="S48" s="44"/>
      <c r="T48" s="44"/>
    </row>
    <row r="49" spans="4:20" ht="15.75" customHeight="1" x14ac:dyDescent="0.15">
      <c r="D49" s="45"/>
      <c r="R49" s="44"/>
      <c r="S49" s="44"/>
      <c r="T49" s="44"/>
    </row>
    <row r="50" spans="4:20" ht="15.75" customHeight="1" x14ac:dyDescent="0.15">
      <c r="D50" s="45"/>
      <c r="R50" s="44"/>
      <c r="S50" s="44"/>
      <c r="T50" s="44"/>
    </row>
    <row r="51" spans="4:20" ht="15.75" customHeight="1" x14ac:dyDescent="0.15">
      <c r="D51" s="45"/>
      <c r="R51" s="44"/>
      <c r="S51" s="44"/>
      <c r="T51" s="44"/>
    </row>
    <row r="52" spans="4:20" ht="15.75" customHeight="1" x14ac:dyDescent="0.15">
      <c r="D52" s="45"/>
      <c r="R52" s="44"/>
      <c r="S52" s="44"/>
      <c r="T52" s="44"/>
    </row>
    <row r="53" spans="4:20" ht="15.75" customHeight="1" x14ac:dyDescent="0.15">
      <c r="D53" s="45"/>
      <c r="R53" s="44"/>
      <c r="S53" s="44"/>
      <c r="T53" s="44"/>
    </row>
    <row r="54" spans="4:20" ht="15.75" customHeight="1" x14ac:dyDescent="0.15">
      <c r="D54" s="45"/>
      <c r="R54" s="44"/>
      <c r="S54" s="44"/>
      <c r="T54" s="44"/>
    </row>
    <row r="55" spans="4:20" ht="15.75" customHeight="1" x14ac:dyDescent="0.15">
      <c r="D55" s="45"/>
      <c r="R55" s="44"/>
      <c r="S55" s="44"/>
      <c r="T55" s="44"/>
    </row>
    <row r="56" spans="4:20" ht="15.75" customHeight="1" x14ac:dyDescent="0.15">
      <c r="D56" s="45"/>
      <c r="R56" s="44"/>
      <c r="S56" s="44"/>
      <c r="T56" s="44"/>
    </row>
    <row r="57" spans="4:20" ht="15.75" customHeight="1" x14ac:dyDescent="0.15">
      <c r="D57" s="45"/>
      <c r="R57" s="44"/>
      <c r="S57" s="44"/>
      <c r="T57" s="44"/>
    </row>
    <row r="58" spans="4:20" ht="15.75" customHeight="1" x14ac:dyDescent="0.15">
      <c r="D58" s="45"/>
      <c r="R58" s="44"/>
      <c r="S58" s="44"/>
      <c r="T58" s="44"/>
    </row>
    <row r="59" spans="4:20" ht="13" x14ac:dyDescent="0.15">
      <c r="D59" s="45"/>
      <c r="R59" s="44"/>
      <c r="S59" s="44"/>
      <c r="T59" s="44"/>
    </row>
    <row r="60" spans="4:20" ht="13" x14ac:dyDescent="0.15">
      <c r="D60" s="45"/>
      <c r="R60" s="44"/>
      <c r="S60" s="44"/>
      <c r="T60" s="44"/>
    </row>
    <row r="61" spans="4:20" ht="13" x14ac:dyDescent="0.15">
      <c r="D61" s="45"/>
      <c r="R61" s="44"/>
      <c r="S61" s="44"/>
      <c r="T61" s="44"/>
    </row>
    <row r="62" spans="4:20" ht="13" x14ac:dyDescent="0.15">
      <c r="D62" s="45"/>
      <c r="R62" s="44"/>
      <c r="S62" s="44"/>
      <c r="T62" s="44"/>
    </row>
    <row r="63" spans="4:20" ht="13" x14ac:dyDescent="0.15">
      <c r="D63" s="45"/>
      <c r="R63" s="44"/>
      <c r="S63" s="44"/>
      <c r="T63" s="44"/>
    </row>
    <row r="64" spans="4:20" ht="13" x14ac:dyDescent="0.15">
      <c r="D64" s="45"/>
      <c r="R64" s="44"/>
      <c r="S64" s="44"/>
      <c r="T64" s="44"/>
    </row>
    <row r="65" spans="4:20" ht="13" x14ac:dyDescent="0.15">
      <c r="D65" s="45"/>
      <c r="R65" s="44"/>
      <c r="S65" s="44"/>
      <c r="T65" s="44"/>
    </row>
    <row r="66" spans="4:20" ht="13" x14ac:dyDescent="0.15">
      <c r="D66" s="45"/>
      <c r="R66" s="44"/>
      <c r="S66" s="44"/>
      <c r="T66" s="44"/>
    </row>
    <row r="67" spans="4:20" ht="13" x14ac:dyDescent="0.15">
      <c r="D67" s="45"/>
      <c r="R67" s="44"/>
      <c r="S67" s="44"/>
      <c r="T67" s="44"/>
    </row>
    <row r="68" spans="4:20" ht="13" x14ac:dyDescent="0.15">
      <c r="D68" s="45"/>
      <c r="R68" s="44"/>
      <c r="S68" s="44"/>
      <c r="T68" s="44"/>
    </row>
    <row r="69" spans="4:20" ht="13" x14ac:dyDescent="0.15">
      <c r="D69" s="45"/>
      <c r="R69" s="44"/>
      <c r="S69" s="44"/>
      <c r="T69" s="44"/>
    </row>
    <row r="70" spans="4:20" ht="13" x14ac:dyDescent="0.15">
      <c r="D70" s="45"/>
      <c r="R70" s="44"/>
      <c r="S70" s="44"/>
      <c r="T70" s="44"/>
    </row>
    <row r="71" spans="4:20" ht="13" x14ac:dyDescent="0.15">
      <c r="D71" s="45"/>
      <c r="R71" s="44"/>
      <c r="S71" s="44"/>
      <c r="T71" s="44"/>
    </row>
    <row r="72" spans="4:20" ht="13" x14ac:dyDescent="0.15">
      <c r="D72" s="45"/>
      <c r="R72" s="44"/>
      <c r="S72" s="44"/>
      <c r="T72" s="44"/>
    </row>
    <row r="73" spans="4:20" ht="13" x14ac:dyDescent="0.15">
      <c r="D73" s="45"/>
      <c r="R73" s="44"/>
      <c r="S73" s="44"/>
      <c r="T73" s="44"/>
    </row>
    <row r="74" spans="4:20" ht="13" x14ac:dyDescent="0.15">
      <c r="D74" s="45"/>
      <c r="R74" s="44"/>
      <c r="S74" s="44"/>
      <c r="T74" s="44"/>
    </row>
    <row r="75" spans="4:20" ht="13" x14ac:dyDescent="0.15">
      <c r="D75" s="45"/>
      <c r="R75" s="44"/>
      <c r="S75" s="44"/>
      <c r="T75" s="44"/>
    </row>
    <row r="76" spans="4:20" ht="13" x14ac:dyDescent="0.15">
      <c r="D76" s="45"/>
      <c r="R76" s="44"/>
      <c r="S76" s="44"/>
      <c r="T76" s="44"/>
    </row>
    <row r="77" spans="4:20" ht="13" x14ac:dyDescent="0.15">
      <c r="D77" s="45"/>
      <c r="R77" s="44"/>
      <c r="S77" s="44"/>
      <c r="T77" s="44"/>
    </row>
    <row r="78" spans="4:20" ht="13" x14ac:dyDescent="0.15">
      <c r="D78" s="45"/>
      <c r="R78" s="44"/>
      <c r="S78" s="44"/>
      <c r="T78" s="44"/>
    </row>
    <row r="79" spans="4:20" ht="13" x14ac:dyDescent="0.15">
      <c r="D79" s="45"/>
      <c r="R79" s="44"/>
      <c r="S79" s="44"/>
      <c r="T79" s="44"/>
    </row>
    <row r="80" spans="4:20" ht="13" x14ac:dyDescent="0.15">
      <c r="D80" s="45"/>
      <c r="R80" s="44"/>
      <c r="S80" s="44"/>
      <c r="T80" s="44"/>
    </row>
    <row r="81" spans="4:20" ht="13" x14ac:dyDescent="0.15">
      <c r="D81" s="45"/>
      <c r="R81" s="44"/>
      <c r="S81" s="44"/>
      <c r="T81" s="44"/>
    </row>
    <row r="82" spans="4:20" ht="13" x14ac:dyDescent="0.15">
      <c r="D82" s="45"/>
      <c r="R82" s="44"/>
      <c r="S82" s="44"/>
      <c r="T82" s="44"/>
    </row>
    <row r="83" spans="4:20" ht="13" x14ac:dyDescent="0.15">
      <c r="D83" s="45"/>
      <c r="R83" s="44"/>
      <c r="S83" s="44"/>
      <c r="T83" s="44"/>
    </row>
    <row r="84" spans="4:20" ht="13" x14ac:dyDescent="0.15">
      <c r="D84" s="45"/>
      <c r="R84" s="44"/>
      <c r="S84" s="44"/>
      <c r="T84" s="44"/>
    </row>
    <row r="85" spans="4:20" ht="13" x14ac:dyDescent="0.15">
      <c r="D85" s="45"/>
      <c r="R85" s="44"/>
      <c r="S85" s="44"/>
      <c r="T85" s="44"/>
    </row>
    <row r="86" spans="4:20" ht="13" x14ac:dyDescent="0.15">
      <c r="D86" s="45"/>
      <c r="R86" s="44"/>
      <c r="S86" s="44"/>
      <c r="T86" s="44"/>
    </row>
    <row r="87" spans="4:20" ht="13" x14ac:dyDescent="0.15">
      <c r="D87" s="45"/>
      <c r="R87" s="44"/>
      <c r="S87" s="44"/>
      <c r="T87" s="44"/>
    </row>
    <row r="88" spans="4:20" ht="13" x14ac:dyDescent="0.15">
      <c r="D88" s="45"/>
      <c r="R88" s="44"/>
      <c r="S88" s="44"/>
      <c r="T88" s="44"/>
    </row>
    <row r="89" spans="4:20" ht="13" x14ac:dyDescent="0.15">
      <c r="D89" s="45"/>
      <c r="R89" s="44"/>
      <c r="S89" s="44"/>
      <c r="T89" s="44"/>
    </row>
    <row r="90" spans="4:20" ht="13" x14ac:dyDescent="0.15">
      <c r="D90" s="45"/>
      <c r="R90" s="44"/>
      <c r="S90" s="44"/>
      <c r="T90" s="44"/>
    </row>
    <row r="91" spans="4:20" ht="13" x14ac:dyDescent="0.15">
      <c r="D91" s="45"/>
      <c r="R91" s="44"/>
      <c r="S91" s="44"/>
      <c r="T91" s="44"/>
    </row>
    <row r="92" spans="4:20" ht="13" x14ac:dyDescent="0.15">
      <c r="D92" s="45"/>
      <c r="R92" s="44"/>
      <c r="S92" s="44"/>
      <c r="T92" s="44"/>
    </row>
    <row r="93" spans="4:20" ht="13" x14ac:dyDescent="0.15">
      <c r="D93" s="45"/>
      <c r="R93" s="44"/>
      <c r="S93" s="44"/>
      <c r="T93" s="44"/>
    </row>
    <row r="94" spans="4:20" ht="13" x14ac:dyDescent="0.15">
      <c r="D94" s="45"/>
      <c r="R94" s="44"/>
      <c r="S94" s="44"/>
      <c r="T94" s="44"/>
    </row>
    <row r="95" spans="4:20" ht="13" x14ac:dyDescent="0.15">
      <c r="D95" s="45"/>
      <c r="R95" s="44"/>
      <c r="S95" s="44"/>
      <c r="T95" s="44"/>
    </row>
    <row r="96" spans="4:20" ht="13" x14ac:dyDescent="0.15">
      <c r="D96" s="45"/>
      <c r="R96" s="44"/>
      <c r="S96" s="44"/>
      <c r="T96" s="44"/>
    </row>
    <row r="97" spans="4:20" ht="13" x14ac:dyDescent="0.15">
      <c r="D97" s="45"/>
      <c r="R97" s="44"/>
      <c r="S97" s="44"/>
      <c r="T97" s="44"/>
    </row>
    <row r="98" spans="4:20" ht="13" x14ac:dyDescent="0.15">
      <c r="D98" s="45"/>
      <c r="R98" s="44"/>
      <c r="S98" s="44"/>
      <c r="T98" s="44"/>
    </row>
    <row r="99" spans="4:20" ht="13" x14ac:dyDescent="0.15">
      <c r="D99" s="45"/>
      <c r="R99" s="44"/>
      <c r="S99" s="44"/>
      <c r="T99" s="44"/>
    </row>
    <row r="100" spans="4:20" ht="13" x14ac:dyDescent="0.15">
      <c r="D100" s="45"/>
      <c r="R100" s="44"/>
      <c r="S100" s="44"/>
      <c r="T100" s="44"/>
    </row>
    <row r="101" spans="4:20" ht="13" x14ac:dyDescent="0.15">
      <c r="D101" s="45"/>
      <c r="R101" s="44"/>
      <c r="S101" s="44"/>
      <c r="T101" s="44"/>
    </row>
    <row r="102" spans="4:20" ht="13" x14ac:dyDescent="0.15">
      <c r="D102" s="45"/>
      <c r="R102" s="44"/>
      <c r="S102" s="44"/>
      <c r="T102" s="44"/>
    </row>
    <row r="103" spans="4:20" ht="13" x14ac:dyDescent="0.15">
      <c r="D103" s="45"/>
      <c r="R103" s="44"/>
      <c r="S103" s="44"/>
      <c r="T103" s="44"/>
    </row>
    <row r="104" spans="4:20" ht="13" x14ac:dyDescent="0.15">
      <c r="D104" s="45"/>
      <c r="R104" s="44"/>
      <c r="S104" s="44"/>
      <c r="T104" s="44"/>
    </row>
    <row r="105" spans="4:20" ht="13" x14ac:dyDescent="0.15">
      <c r="D105" s="45"/>
      <c r="R105" s="44"/>
      <c r="S105" s="44"/>
      <c r="T105" s="44"/>
    </row>
    <row r="106" spans="4:20" ht="13" x14ac:dyDescent="0.15">
      <c r="D106" s="45"/>
      <c r="R106" s="44"/>
      <c r="S106" s="44"/>
      <c r="T106" s="44"/>
    </row>
    <row r="107" spans="4:20" ht="13" x14ac:dyDescent="0.15">
      <c r="D107" s="45"/>
      <c r="R107" s="44"/>
      <c r="S107" s="44"/>
      <c r="T107" s="44"/>
    </row>
    <row r="108" spans="4:20" ht="13" x14ac:dyDescent="0.15">
      <c r="D108" s="45"/>
      <c r="R108" s="44"/>
      <c r="S108" s="44"/>
      <c r="T108" s="44"/>
    </row>
    <row r="109" spans="4:20" ht="13" x14ac:dyDescent="0.15">
      <c r="D109" s="45"/>
      <c r="R109" s="44"/>
      <c r="S109" s="44"/>
      <c r="T109" s="44"/>
    </row>
    <row r="110" spans="4:20" ht="13" x14ac:dyDescent="0.15">
      <c r="D110" s="45"/>
      <c r="R110" s="44"/>
      <c r="S110" s="44"/>
      <c r="T110" s="44"/>
    </row>
    <row r="111" spans="4:20" ht="13" x14ac:dyDescent="0.15">
      <c r="D111" s="45"/>
      <c r="R111" s="44"/>
      <c r="S111" s="44"/>
      <c r="T111" s="44"/>
    </row>
    <row r="112" spans="4:20" ht="13" x14ac:dyDescent="0.15">
      <c r="D112" s="45"/>
      <c r="R112" s="44"/>
      <c r="S112" s="44"/>
      <c r="T112" s="44"/>
    </row>
    <row r="113" spans="4:20" ht="13" x14ac:dyDescent="0.15">
      <c r="D113" s="45"/>
      <c r="R113" s="44"/>
      <c r="S113" s="44"/>
      <c r="T113" s="44"/>
    </row>
    <row r="114" spans="4:20" ht="13" x14ac:dyDescent="0.15">
      <c r="D114" s="45"/>
      <c r="R114" s="44"/>
      <c r="S114" s="44"/>
      <c r="T114" s="44"/>
    </row>
    <row r="115" spans="4:20" ht="13" x14ac:dyDescent="0.15">
      <c r="D115" s="45"/>
      <c r="R115" s="44"/>
      <c r="S115" s="44"/>
      <c r="T115" s="44"/>
    </row>
    <row r="116" spans="4:20" ht="13" x14ac:dyDescent="0.15">
      <c r="D116" s="45"/>
      <c r="R116" s="44"/>
      <c r="S116" s="44"/>
      <c r="T116" s="44"/>
    </row>
    <row r="117" spans="4:20" ht="13" x14ac:dyDescent="0.15">
      <c r="D117" s="45"/>
      <c r="R117" s="44"/>
      <c r="S117" s="44"/>
      <c r="T117" s="44"/>
    </row>
    <row r="118" spans="4:20" ht="13" x14ac:dyDescent="0.15">
      <c r="D118" s="45"/>
      <c r="R118" s="44"/>
      <c r="S118" s="44"/>
      <c r="T118" s="44"/>
    </row>
    <row r="119" spans="4:20" ht="13" x14ac:dyDescent="0.15">
      <c r="D119" s="45"/>
      <c r="R119" s="44"/>
      <c r="S119" s="44"/>
      <c r="T119" s="44"/>
    </row>
    <row r="120" spans="4:20" ht="13" x14ac:dyDescent="0.15">
      <c r="D120" s="45"/>
      <c r="R120" s="44"/>
      <c r="S120" s="44"/>
      <c r="T120" s="44"/>
    </row>
    <row r="121" spans="4:20" ht="13" x14ac:dyDescent="0.15">
      <c r="D121" s="45"/>
      <c r="R121" s="44"/>
      <c r="S121" s="44"/>
      <c r="T121" s="44"/>
    </row>
    <row r="122" spans="4:20" ht="13" x14ac:dyDescent="0.15">
      <c r="D122" s="45"/>
      <c r="R122" s="44"/>
      <c r="S122" s="44"/>
      <c r="T122" s="44"/>
    </row>
    <row r="123" spans="4:20" ht="13" x14ac:dyDescent="0.15">
      <c r="D123" s="45"/>
      <c r="R123" s="44"/>
      <c r="S123" s="44"/>
      <c r="T123" s="44"/>
    </row>
    <row r="124" spans="4:20" ht="13" x14ac:dyDescent="0.15">
      <c r="D124" s="45"/>
      <c r="R124" s="44"/>
      <c r="S124" s="44"/>
      <c r="T124" s="44"/>
    </row>
    <row r="125" spans="4:20" ht="13" x14ac:dyDescent="0.15">
      <c r="D125" s="45"/>
      <c r="R125" s="44"/>
      <c r="S125" s="44"/>
      <c r="T125" s="44"/>
    </row>
    <row r="126" spans="4:20" ht="13" x14ac:dyDescent="0.15">
      <c r="D126" s="45"/>
      <c r="R126" s="44"/>
      <c r="S126" s="44"/>
      <c r="T126" s="44"/>
    </row>
    <row r="127" spans="4:20" ht="13" x14ac:dyDescent="0.15">
      <c r="D127" s="45"/>
      <c r="R127" s="44"/>
      <c r="S127" s="44"/>
      <c r="T127" s="44"/>
    </row>
    <row r="128" spans="4:20" ht="13" x14ac:dyDescent="0.15">
      <c r="D128" s="45"/>
      <c r="R128" s="44"/>
      <c r="S128" s="44"/>
      <c r="T128" s="44"/>
    </row>
    <row r="129" spans="4:20" ht="13" x14ac:dyDescent="0.15">
      <c r="D129" s="45"/>
      <c r="R129" s="44"/>
      <c r="S129" s="44"/>
      <c r="T129" s="44"/>
    </row>
    <row r="130" spans="4:20" ht="13" x14ac:dyDescent="0.15">
      <c r="D130" s="45"/>
      <c r="R130" s="44"/>
      <c r="S130" s="44"/>
      <c r="T130" s="44"/>
    </row>
    <row r="131" spans="4:20" ht="13" x14ac:dyDescent="0.15">
      <c r="D131" s="45"/>
      <c r="R131" s="44"/>
      <c r="S131" s="44"/>
      <c r="T131" s="44"/>
    </row>
    <row r="132" spans="4:20" ht="13" x14ac:dyDescent="0.15">
      <c r="D132" s="45"/>
      <c r="R132" s="44"/>
      <c r="S132" s="44"/>
      <c r="T132" s="44"/>
    </row>
    <row r="133" spans="4:20" ht="13" x14ac:dyDescent="0.15">
      <c r="D133" s="45"/>
      <c r="R133" s="44"/>
      <c r="S133" s="44"/>
      <c r="T133" s="44"/>
    </row>
    <row r="134" spans="4:20" ht="13" x14ac:dyDescent="0.15">
      <c r="D134" s="45"/>
      <c r="R134" s="44"/>
      <c r="S134" s="44"/>
      <c r="T134" s="44"/>
    </row>
    <row r="135" spans="4:20" ht="13" x14ac:dyDescent="0.15">
      <c r="D135" s="45"/>
      <c r="R135" s="44"/>
      <c r="S135" s="44"/>
      <c r="T135" s="44"/>
    </row>
    <row r="136" spans="4:20" ht="13" x14ac:dyDescent="0.15">
      <c r="D136" s="45"/>
      <c r="R136" s="44"/>
      <c r="S136" s="44"/>
      <c r="T136" s="44"/>
    </row>
    <row r="137" spans="4:20" ht="13" x14ac:dyDescent="0.15">
      <c r="D137" s="45"/>
      <c r="R137" s="44"/>
      <c r="S137" s="44"/>
      <c r="T137" s="44"/>
    </row>
    <row r="138" spans="4:20" ht="13" x14ac:dyDescent="0.15">
      <c r="D138" s="45"/>
      <c r="R138" s="44"/>
      <c r="S138" s="44"/>
      <c r="T138" s="44"/>
    </row>
    <row r="139" spans="4:20" ht="13" x14ac:dyDescent="0.15">
      <c r="D139" s="45"/>
      <c r="R139" s="44"/>
      <c r="S139" s="44"/>
      <c r="T139" s="44"/>
    </row>
    <row r="140" spans="4:20" ht="13" x14ac:dyDescent="0.15">
      <c r="D140" s="45"/>
      <c r="R140" s="44"/>
      <c r="S140" s="44"/>
      <c r="T140" s="44"/>
    </row>
    <row r="141" spans="4:20" ht="13" x14ac:dyDescent="0.15">
      <c r="D141" s="45"/>
      <c r="R141" s="44"/>
      <c r="S141" s="44"/>
      <c r="T141" s="44"/>
    </row>
    <row r="142" spans="4:20" ht="13" x14ac:dyDescent="0.15">
      <c r="D142" s="45"/>
      <c r="R142" s="44"/>
      <c r="S142" s="44"/>
      <c r="T142" s="44"/>
    </row>
    <row r="143" spans="4:20" ht="13" x14ac:dyDescent="0.15">
      <c r="D143" s="45"/>
      <c r="R143" s="44"/>
      <c r="S143" s="44"/>
      <c r="T143" s="44"/>
    </row>
    <row r="144" spans="4:20" ht="13" x14ac:dyDescent="0.15">
      <c r="D144" s="45"/>
      <c r="R144" s="44"/>
      <c r="S144" s="44"/>
      <c r="T144" s="44"/>
    </row>
    <row r="145" spans="4:20" ht="13" x14ac:dyDescent="0.15">
      <c r="D145" s="45"/>
      <c r="R145" s="44"/>
      <c r="S145" s="44"/>
      <c r="T145" s="44"/>
    </row>
    <row r="146" spans="4:20" ht="13" x14ac:dyDescent="0.15">
      <c r="D146" s="45"/>
      <c r="R146" s="44"/>
      <c r="S146" s="44"/>
      <c r="T146" s="44"/>
    </row>
    <row r="147" spans="4:20" ht="13" x14ac:dyDescent="0.15">
      <c r="D147" s="45"/>
      <c r="R147" s="44"/>
      <c r="S147" s="44"/>
      <c r="T147" s="44"/>
    </row>
    <row r="148" spans="4:20" ht="13" x14ac:dyDescent="0.15">
      <c r="D148" s="45"/>
      <c r="R148" s="44"/>
      <c r="S148" s="44"/>
      <c r="T148" s="44"/>
    </row>
    <row r="149" spans="4:20" ht="13" x14ac:dyDescent="0.15">
      <c r="D149" s="45"/>
      <c r="R149" s="44"/>
      <c r="S149" s="44"/>
      <c r="T149" s="44"/>
    </row>
    <row r="150" spans="4:20" ht="13" x14ac:dyDescent="0.15">
      <c r="D150" s="45"/>
      <c r="R150" s="44"/>
      <c r="S150" s="44"/>
      <c r="T150" s="44"/>
    </row>
    <row r="151" spans="4:20" ht="13" x14ac:dyDescent="0.15">
      <c r="D151" s="45"/>
      <c r="R151" s="44"/>
      <c r="S151" s="44"/>
      <c r="T151" s="44"/>
    </row>
    <row r="152" spans="4:20" ht="13" x14ac:dyDescent="0.15">
      <c r="D152" s="45"/>
      <c r="R152" s="44"/>
      <c r="S152" s="44"/>
      <c r="T152" s="44"/>
    </row>
    <row r="153" spans="4:20" ht="13" x14ac:dyDescent="0.15">
      <c r="D153" s="45"/>
      <c r="R153" s="44"/>
      <c r="S153" s="44"/>
      <c r="T153" s="44"/>
    </row>
    <row r="154" spans="4:20" ht="13" x14ac:dyDescent="0.15">
      <c r="D154" s="45"/>
      <c r="R154" s="44"/>
      <c r="S154" s="44"/>
      <c r="T154" s="44"/>
    </row>
    <row r="155" spans="4:20" ht="13" x14ac:dyDescent="0.15">
      <c r="D155" s="45"/>
      <c r="R155" s="44"/>
      <c r="S155" s="44"/>
      <c r="T155" s="44"/>
    </row>
    <row r="156" spans="4:20" ht="13" x14ac:dyDescent="0.15">
      <c r="D156" s="45"/>
      <c r="R156" s="44"/>
      <c r="S156" s="44"/>
      <c r="T156" s="44"/>
    </row>
    <row r="157" spans="4:20" ht="13" x14ac:dyDescent="0.15">
      <c r="D157" s="45"/>
      <c r="R157" s="44"/>
      <c r="S157" s="44"/>
      <c r="T157" s="44"/>
    </row>
    <row r="158" spans="4:20" ht="13" x14ac:dyDescent="0.15">
      <c r="D158" s="45"/>
      <c r="R158" s="44"/>
      <c r="S158" s="44"/>
      <c r="T158" s="44"/>
    </row>
    <row r="159" spans="4:20" ht="13" x14ac:dyDescent="0.15">
      <c r="D159" s="45"/>
      <c r="R159" s="44"/>
      <c r="S159" s="44"/>
      <c r="T159" s="44"/>
    </row>
    <row r="160" spans="4:20" ht="13" x14ac:dyDescent="0.15">
      <c r="D160" s="45"/>
      <c r="R160" s="44"/>
      <c r="S160" s="44"/>
      <c r="T160" s="44"/>
    </row>
    <row r="161" spans="4:20" ht="13" x14ac:dyDescent="0.15">
      <c r="D161" s="45"/>
      <c r="R161" s="44"/>
      <c r="S161" s="44"/>
      <c r="T161" s="44"/>
    </row>
    <row r="162" spans="4:20" ht="13" x14ac:dyDescent="0.15">
      <c r="D162" s="45"/>
      <c r="R162" s="44"/>
      <c r="S162" s="44"/>
      <c r="T162" s="44"/>
    </row>
    <row r="163" spans="4:20" ht="13" x14ac:dyDescent="0.15">
      <c r="D163" s="45"/>
      <c r="R163" s="44"/>
      <c r="S163" s="44"/>
      <c r="T163" s="44"/>
    </row>
    <row r="164" spans="4:20" ht="13" x14ac:dyDescent="0.15">
      <c r="D164" s="45"/>
      <c r="R164" s="44"/>
      <c r="S164" s="44"/>
      <c r="T164" s="44"/>
    </row>
    <row r="165" spans="4:20" ht="13" x14ac:dyDescent="0.15">
      <c r="D165" s="45"/>
      <c r="R165" s="44"/>
      <c r="S165" s="44"/>
      <c r="T165" s="44"/>
    </row>
    <row r="166" spans="4:20" ht="13" x14ac:dyDescent="0.15">
      <c r="D166" s="45"/>
      <c r="R166" s="44"/>
      <c r="S166" s="44"/>
      <c r="T166" s="44"/>
    </row>
    <row r="167" spans="4:20" ht="13" x14ac:dyDescent="0.15">
      <c r="D167" s="45"/>
      <c r="R167" s="44"/>
      <c r="S167" s="44"/>
      <c r="T167" s="44"/>
    </row>
    <row r="168" spans="4:20" ht="13" x14ac:dyDescent="0.15">
      <c r="D168" s="45"/>
      <c r="R168" s="44"/>
      <c r="S168" s="44"/>
      <c r="T168" s="44"/>
    </row>
    <row r="169" spans="4:20" ht="13" x14ac:dyDescent="0.15">
      <c r="D169" s="45"/>
      <c r="R169" s="44"/>
      <c r="S169" s="44"/>
      <c r="T169" s="44"/>
    </row>
    <row r="170" spans="4:20" ht="13" x14ac:dyDescent="0.15">
      <c r="D170" s="45"/>
      <c r="R170" s="44"/>
      <c r="S170" s="44"/>
      <c r="T170" s="44"/>
    </row>
    <row r="171" spans="4:20" ht="13" x14ac:dyDescent="0.15">
      <c r="D171" s="45"/>
      <c r="R171" s="44"/>
      <c r="S171" s="44"/>
      <c r="T171" s="44"/>
    </row>
    <row r="172" spans="4:20" ht="13" x14ac:dyDescent="0.15">
      <c r="D172" s="45"/>
      <c r="R172" s="44"/>
      <c r="S172" s="44"/>
      <c r="T172" s="44"/>
    </row>
    <row r="173" spans="4:20" ht="13" x14ac:dyDescent="0.15">
      <c r="D173" s="45"/>
      <c r="R173" s="44"/>
      <c r="S173" s="44"/>
      <c r="T173" s="44"/>
    </row>
    <row r="174" spans="4:20" ht="13" x14ac:dyDescent="0.15">
      <c r="D174" s="45"/>
      <c r="R174" s="44"/>
      <c r="S174" s="44"/>
      <c r="T174" s="44"/>
    </row>
    <row r="175" spans="4:20" ht="13" x14ac:dyDescent="0.15">
      <c r="D175" s="45"/>
      <c r="R175" s="44"/>
      <c r="S175" s="44"/>
      <c r="T175" s="44"/>
    </row>
    <row r="176" spans="4:20" ht="13" x14ac:dyDescent="0.15">
      <c r="D176" s="45"/>
      <c r="R176" s="44"/>
      <c r="S176" s="44"/>
      <c r="T176" s="44"/>
    </row>
    <row r="177" spans="4:20" ht="13" x14ac:dyDescent="0.15">
      <c r="D177" s="45"/>
      <c r="R177" s="44"/>
      <c r="S177" s="44"/>
      <c r="T177" s="44"/>
    </row>
    <row r="178" spans="4:20" ht="13" x14ac:dyDescent="0.15">
      <c r="D178" s="45"/>
      <c r="R178" s="44"/>
      <c r="S178" s="44"/>
      <c r="T178" s="44"/>
    </row>
    <row r="179" spans="4:20" ht="13" x14ac:dyDescent="0.15">
      <c r="D179" s="45"/>
      <c r="R179" s="44"/>
      <c r="S179" s="44"/>
      <c r="T179" s="44"/>
    </row>
    <row r="180" spans="4:20" ht="13" x14ac:dyDescent="0.15">
      <c r="D180" s="45"/>
      <c r="R180" s="44"/>
      <c r="S180" s="44"/>
      <c r="T180" s="44"/>
    </row>
    <row r="181" spans="4:20" ht="13" x14ac:dyDescent="0.15">
      <c r="D181" s="45"/>
      <c r="R181" s="44"/>
      <c r="S181" s="44"/>
      <c r="T181" s="44"/>
    </row>
    <row r="182" spans="4:20" ht="13" x14ac:dyDescent="0.15">
      <c r="D182" s="45"/>
      <c r="R182" s="44"/>
      <c r="S182" s="44"/>
      <c r="T182" s="44"/>
    </row>
    <row r="183" spans="4:20" ht="13" x14ac:dyDescent="0.15">
      <c r="D183" s="45"/>
      <c r="R183" s="44"/>
      <c r="S183" s="44"/>
      <c r="T183" s="44"/>
    </row>
    <row r="184" spans="4:20" ht="13" x14ac:dyDescent="0.15">
      <c r="D184" s="45"/>
      <c r="R184" s="44"/>
      <c r="S184" s="44"/>
      <c r="T184" s="44"/>
    </row>
    <row r="185" spans="4:20" ht="13" x14ac:dyDescent="0.15">
      <c r="D185" s="45"/>
      <c r="R185" s="44"/>
      <c r="S185" s="44"/>
      <c r="T185" s="44"/>
    </row>
    <row r="186" spans="4:20" ht="13" x14ac:dyDescent="0.15">
      <c r="D186" s="45"/>
      <c r="R186" s="44"/>
      <c r="S186" s="44"/>
      <c r="T186" s="44"/>
    </row>
    <row r="187" spans="4:20" ht="13" x14ac:dyDescent="0.15">
      <c r="D187" s="45"/>
      <c r="R187" s="44"/>
      <c r="S187" s="44"/>
      <c r="T187" s="44"/>
    </row>
    <row r="188" spans="4:20" ht="13" x14ac:dyDescent="0.15">
      <c r="D188" s="45"/>
      <c r="R188" s="44"/>
      <c r="S188" s="44"/>
      <c r="T188" s="44"/>
    </row>
    <row r="189" spans="4:20" ht="13" x14ac:dyDescent="0.15">
      <c r="D189" s="45"/>
      <c r="R189" s="44"/>
      <c r="S189" s="44"/>
      <c r="T189" s="44"/>
    </row>
    <row r="190" spans="4:20" ht="13" x14ac:dyDescent="0.15">
      <c r="D190" s="45"/>
      <c r="R190" s="44"/>
      <c r="S190" s="44"/>
      <c r="T190" s="44"/>
    </row>
    <row r="191" spans="4:20" ht="13" x14ac:dyDescent="0.15">
      <c r="D191" s="45"/>
      <c r="R191" s="44"/>
      <c r="S191" s="44"/>
      <c r="T191" s="44"/>
    </row>
    <row r="192" spans="4:20" ht="13" x14ac:dyDescent="0.15">
      <c r="D192" s="45"/>
      <c r="R192" s="44"/>
      <c r="S192" s="44"/>
      <c r="T192" s="44"/>
    </row>
    <row r="193" spans="4:20" ht="13" x14ac:dyDescent="0.15">
      <c r="D193" s="45"/>
      <c r="R193" s="44"/>
      <c r="S193" s="44"/>
      <c r="T193" s="44"/>
    </row>
    <row r="194" spans="4:20" ht="13" x14ac:dyDescent="0.15">
      <c r="D194" s="45"/>
      <c r="R194" s="44"/>
      <c r="S194" s="44"/>
      <c r="T194" s="44"/>
    </row>
    <row r="195" spans="4:20" ht="13" x14ac:dyDescent="0.15">
      <c r="D195" s="45"/>
      <c r="R195" s="44"/>
      <c r="S195" s="44"/>
      <c r="T195" s="44"/>
    </row>
    <row r="196" spans="4:20" ht="13" x14ac:dyDescent="0.15">
      <c r="D196" s="45"/>
      <c r="R196" s="44"/>
      <c r="S196" s="44"/>
      <c r="T196" s="44"/>
    </row>
    <row r="197" spans="4:20" ht="13" x14ac:dyDescent="0.15">
      <c r="D197" s="45"/>
      <c r="R197" s="44"/>
      <c r="S197" s="44"/>
      <c r="T197" s="44"/>
    </row>
    <row r="198" spans="4:20" ht="13" x14ac:dyDescent="0.15">
      <c r="D198" s="45"/>
      <c r="R198" s="44"/>
      <c r="S198" s="44"/>
      <c r="T198" s="44"/>
    </row>
    <row r="199" spans="4:20" ht="13" x14ac:dyDescent="0.15">
      <c r="D199" s="45"/>
      <c r="R199" s="44"/>
      <c r="S199" s="44"/>
      <c r="T199" s="44"/>
    </row>
    <row r="200" spans="4:20" ht="13" x14ac:dyDescent="0.15">
      <c r="D200" s="45"/>
      <c r="R200" s="44"/>
      <c r="S200" s="44"/>
      <c r="T200" s="44"/>
    </row>
    <row r="201" spans="4:20" ht="13" x14ac:dyDescent="0.15">
      <c r="D201" s="45"/>
      <c r="R201" s="44"/>
      <c r="S201" s="44"/>
      <c r="T201" s="44"/>
    </row>
    <row r="202" spans="4:20" ht="13" x14ac:dyDescent="0.15">
      <c r="D202" s="45"/>
      <c r="R202" s="44"/>
      <c r="S202" s="44"/>
      <c r="T202" s="44"/>
    </row>
    <row r="203" spans="4:20" ht="13" x14ac:dyDescent="0.15">
      <c r="D203" s="45"/>
      <c r="R203" s="44"/>
      <c r="S203" s="44"/>
      <c r="T203" s="44"/>
    </row>
    <row r="204" spans="4:20" ht="13" x14ac:dyDescent="0.15">
      <c r="D204" s="45"/>
      <c r="R204" s="44"/>
      <c r="S204" s="44"/>
      <c r="T204" s="44"/>
    </row>
    <row r="205" spans="4:20" ht="13" x14ac:dyDescent="0.15">
      <c r="D205" s="45"/>
      <c r="R205" s="44"/>
      <c r="S205" s="44"/>
      <c r="T205" s="44"/>
    </row>
    <row r="206" spans="4:20" ht="13" x14ac:dyDescent="0.15">
      <c r="D206" s="45"/>
      <c r="R206" s="44"/>
      <c r="S206" s="44"/>
      <c r="T206" s="44"/>
    </row>
    <row r="207" spans="4:20" ht="13" x14ac:dyDescent="0.15">
      <c r="D207" s="45"/>
      <c r="R207" s="44"/>
      <c r="S207" s="44"/>
      <c r="T207" s="44"/>
    </row>
    <row r="208" spans="4:20" ht="13" x14ac:dyDescent="0.15">
      <c r="D208" s="45"/>
      <c r="R208" s="44"/>
      <c r="S208" s="44"/>
      <c r="T208" s="44"/>
    </row>
    <row r="209" spans="4:20" ht="13" x14ac:dyDescent="0.15">
      <c r="D209" s="45"/>
      <c r="R209" s="44"/>
      <c r="S209" s="44"/>
      <c r="T209" s="44"/>
    </row>
    <row r="210" spans="4:20" ht="13" x14ac:dyDescent="0.15">
      <c r="D210" s="45"/>
      <c r="R210" s="44"/>
      <c r="S210" s="44"/>
      <c r="T210" s="44"/>
    </row>
    <row r="211" spans="4:20" ht="13" x14ac:dyDescent="0.15">
      <c r="D211" s="45"/>
      <c r="R211" s="44"/>
      <c r="S211" s="44"/>
      <c r="T211" s="44"/>
    </row>
    <row r="212" spans="4:20" ht="13" x14ac:dyDescent="0.15">
      <c r="D212" s="45"/>
      <c r="R212" s="44"/>
      <c r="S212" s="44"/>
      <c r="T212" s="44"/>
    </row>
    <row r="213" spans="4:20" ht="13" x14ac:dyDescent="0.15">
      <c r="D213" s="45"/>
      <c r="R213" s="44"/>
      <c r="S213" s="44"/>
      <c r="T213" s="44"/>
    </row>
    <row r="214" spans="4:20" ht="13" x14ac:dyDescent="0.15">
      <c r="D214" s="45"/>
      <c r="R214" s="44"/>
      <c r="S214" s="44"/>
      <c r="T214" s="44"/>
    </row>
    <row r="215" spans="4:20" ht="13" x14ac:dyDescent="0.15">
      <c r="D215" s="45"/>
      <c r="R215" s="44"/>
      <c r="S215" s="44"/>
      <c r="T215" s="44"/>
    </row>
    <row r="216" spans="4:20" ht="13" x14ac:dyDescent="0.15">
      <c r="D216" s="45"/>
      <c r="R216" s="44"/>
      <c r="S216" s="44"/>
      <c r="T216" s="44"/>
    </row>
    <row r="217" spans="4:20" ht="13" x14ac:dyDescent="0.15">
      <c r="D217" s="45"/>
      <c r="R217" s="44"/>
      <c r="S217" s="44"/>
      <c r="T217" s="44"/>
    </row>
    <row r="218" spans="4:20" ht="13" x14ac:dyDescent="0.15">
      <c r="D218" s="45"/>
      <c r="R218" s="44"/>
      <c r="S218" s="44"/>
      <c r="T218" s="44"/>
    </row>
    <row r="219" spans="4:20" ht="13" x14ac:dyDescent="0.15">
      <c r="D219" s="45"/>
      <c r="R219" s="44"/>
      <c r="S219" s="44"/>
      <c r="T219" s="44"/>
    </row>
    <row r="220" spans="4:20" ht="13" x14ac:dyDescent="0.15">
      <c r="D220" s="45"/>
      <c r="R220" s="44"/>
      <c r="S220" s="44"/>
      <c r="T220" s="44"/>
    </row>
    <row r="221" spans="4:20" ht="13" x14ac:dyDescent="0.15">
      <c r="D221" s="45"/>
      <c r="R221" s="44"/>
      <c r="S221" s="44"/>
      <c r="T221" s="44"/>
    </row>
    <row r="222" spans="4:20" ht="13" x14ac:dyDescent="0.15">
      <c r="D222" s="45"/>
      <c r="R222" s="44"/>
      <c r="S222" s="44"/>
      <c r="T222" s="44"/>
    </row>
    <row r="223" spans="4:20" ht="13" x14ac:dyDescent="0.15">
      <c r="D223" s="45"/>
      <c r="R223" s="44"/>
      <c r="S223" s="44"/>
      <c r="T223" s="44"/>
    </row>
    <row r="224" spans="4:20" ht="13" x14ac:dyDescent="0.15">
      <c r="D224" s="45"/>
      <c r="R224" s="44"/>
      <c r="S224" s="44"/>
      <c r="T224" s="44"/>
    </row>
    <row r="225" spans="4:20" ht="13" x14ac:dyDescent="0.15">
      <c r="D225" s="45"/>
      <c r="R225" s="44"/>
      <c r="S225" s="44"/>
      <c r="T225" s="44"/>
    </row>
    <row r="226" spans="4:20" ht="13" x14ac:dyDescent="0.15">
      <c r="D226" s="45"/>
      <c r="R226" s="44"/>
      <c r="S226" s="44"/>
      <c r="T226" s="44"/>
    </row>
    <row r="227" spans="4:20" ht="13" x14ac:dyDescent="0.15">
      <c r="D227" s="45"/>
      <c r="R227" s="44"/>
      <c r="S227" s="44"/>
      <c r="T227" s="44"/>
    </row>
    <row r="228" spans="4:20" ht="13" x14ac:dyDescent="0.15">
      <c r="D228" s="45"/>
      <c r="R228" s="44"/>
      <c r="S228" s="44"/>
      <c r="T228" s="44"/>
    </row>
    <row r="229" spans="4:20" ht="13" x14ac:dyDescent="0.15">
      <c r="D229" s="45"/>
      <c r="R229" s="44"/>
      <c r="S229" s="44"/>
      <c r="T229" s="44"/>
    </row>
    <row r="230" spans="4:20" ht="13" x14ac:dyDescent="0.15">
      <c r="D230" s="45"/>
      <c r="R230" s="44"/>
      <c r="S230" s="44"/>
      <c r="T230" s="44"/>
    </row>
    <row r="231" spans="4:20" ht="13" x14ac:dyDescent="0.15">
      <c r="D231" s="45"/>
      <c r="R231" s="44"/>
      <c r="S231" s="44"/>
      <c r="T231" s="44"/>
    </row>
    <row r="232" spans="4:20" ht="13" x14ac:dyDescent="0.15">
      <c r="D232" s="45"/>
      <c r="R232" s="44"/>
      <c r="S232" s="44"/>
      <c r="T232" s="44"/>
    </row>
    <row r="233" spans="4:20" ht="13" x14ac:dyDescent="0.15">
      <c r="D233" s="45"/>
      <c r="R233" s="44"/>
      <c r="S233" s="44"/>
      <c r="T233" s="44"/>
    </row>
    <row r="234" spans="4:20" ht="13" x14ac:dyDescent="0.15">
      <c r="D234" s="45"/>
      <c r="R234" s="44"/>
      <c r="S234" s="44"/>
      <c r="T234" s="44"/>
    </row>
    <row r="235" spans="4:20" ht="13" x14ac:dyDescent="0.15">
      <c r="D235" s="45"/>
      <c r="R235" s="44"/>
      <c r="S235" s="44"/>
      <c r="T235" s="44"/>
    </row>
    <row r="236" spans="4:20" ht="13" x14ac:dyDescent="0.15">
      <c r="D236" s="45"/>
      <c r="R236" s="44"/>
      <c r="S236" s="44"/>
      <c r="T236" s="44"/>
    </row>
    <row r="237" spans="4:20" ht="13" x14ac:dyDescent="0.15">
      <c r="D237" s="45"/>
      <c r="R237" s="44"/>
      <c r="S237" s="44"/>
      <c r="T237" s="44"/>
    </row>
    <row r="238" spans="4:20" ht="13" x14ac:dyDescent="0.15">
      <c r="D238" s="45"/>
      <c r="R238" s="44"/>
      <c r="S238" s="44"/>
      <c r="T238" s="44"/>
    </row>
    <row r="239" spans="4:20" ht="13" x14ac:dyDescent="0.15">
      <c r="D239" s="45"/>
      <c r="R239" s="44"/>
      <c r="S239" s="44"/>
      <c r="T239" s="44"/>
    </row>
    <row r="240" spans="4:20" ht="13" x14ac:dyDescent="0.15">
      <c r="D240" s="45"/>
      <c r="R240" s="44"/>
      <c r="S240" s="44"/>
      <c r="T240" s="44"/>
    </row>
    <row r="241" spans="4:20" ht="13" x14ac:dyDescent="0.15">
      <c r="D241" s="45"/>
      <c r="R241" s="44"/>
      <c r="S241" s="44"/>
      <c r="T241" s="44"/>
    </row>
    <row r="242" spans="4:20" ht="13" x14ac:dyDescent="0.15">
      <c r="D242" s="45"/>
      <c r="R242" s="44"/>
      <c r="S242" s="44"/>
      <c r="T242" s="44"/>
    </row>
    <row r="243" spans="4:20" ht="13" x14ac:dyDescent="0.15">
      <c r="D243" s="45"/>
      <c r="R243" s="44"/>
      <c r="S243" s="44"/>
      <c r="T243" s="44"/>
    </row>
    <row r="244" spans="4:20" ht="13" x14ac:dyDescent="0.15">
      <c r="D244" s="45"/>
      <c r="R244" s="44"/>
      <c r="S244" s="44"/>
      <c r="T244" s="44"/>
    </row>
    <row r="245" spans="4:20" ht="13" x14ac:dyDescent="0.15">
      <c r="D245" s="45"/>
      <c r="R245" s="44"/>
      <c r="S245" s="44"/>
      <c r="T245" s="44"/>
    </row>
    <row r="246" spans="4:20" ht="13" x14ac:dyDescent="0.15">
      <c r="D246" s="45"/>
      <c r="R246" s="44"/>
      <c r="S246" s="44"/>
      <c r="T246" s="44"/>
    </row>
    <row r="247" spans="4:20" ht="13" x14ac:dyDescent="0.15">
      <c r="D247" s="45"/>
      <c r="R247" s="44"/>
      <c r="S247" s="44"/>
      <c r="T247" s="44"/>
    </row>
    <row r="248" spans="4:20" ht="13" x14ac:dyDescent="0.15">
      <c r="D248" s="45"/>
      <c r="R248" s="44"/>
      <c r="S248" s="44"/>
      <c r="T248" s="44"/>
    </row>
    <row r="249" spans="4:20" ht="13" x14ac:dyDescent="0.15">
      <c r="D249" s="45"/>
      <c r="R249" s="44"/>
      <c r="S249" s="44"/>
      <c r="T249" s="44"/>
    </row>
    <row r="250" spans="4:20" ht="13" x14ac:dyDescent="0.15">
      <c r="D250" s="45"/>
      <c r="R250" s="44"/>
      <c r="S250" s="44"/>
      <c r="T250" s="44"/>
    </row>
    <row r="251" spans="4:20" ht="13" x14ac:dyDescent="0.15">
      <c r="D251" s="45"/>
      <c r="R251" s="44"/>
      <c r="S251" s="44"/>
      <c r="T251" s="44"/>
    </row>
    <row r="252" spans="4:20" ht="13" x14ac:dyDescent="0.15">
      <c r="D252" s="45"/>
      <c r="R252" s="44"/>
      <c r="S252" s="44"/>
      <c r="T252" s="44"/>
    </row>
    <row r="253" spans="4:20" ht="13" x14ac:dyDescent="0.15">
      <c r="D253" s="45"/>
      <c r="R253" s="44"/>
      <c r="S253" s="44"/>
      <c r="T253" s="44"/>
    </row>
    <row r="254" spans="4:20" ht="13" x14ac:dyDescent="0.15">
      <c r="D254" s="45"/>
      <c r="R254" s="44"/>
      <c r="S254" s="44"/>
      <c r="T254" s="44"/>
    </row>
    <row r="255" spans="4:20" ht="13" x14ac:dyDescent="0.15">
      <c r="D255" s="45"/>
      <c r="R255" s="44"/>
      <c r="S255" s="44"/>
      <c r="T255" s="44"/>
    </row>
    <row r="256" spans="4:20" ht="13" x14ac:dyDescent="0.15">
      <c r="D256" s="45"/>
      <c r="R256" s="44"/>
      <c r="S256" s="44"/>
      <c r="T256" s="44"/>
    </row>
    <row r="257" spans="4:20" ht="13" x14ac:dyDescent="0.15">
      <c r="D257" s="45"/>
      <c r="R257" s="44"/>
      <c r="S257" s="44"/>
      <c r="T257" s="44"/>
    </row>
    <row r="258" spans="4:20" ht="13" x14ac:dyDescent="0.15">
      <c r="D258" s="45"/>
      <c r="R258" s="44"/>
      <c r="S258" s="44"/>
      <c r="T258" s="44"/>
    </row>
    <row r="259" spans="4:20" ht="13" x14ac:dyDescent="0.15">
      <c r="D259" s="45"/>
      <c r="R259" s="44"/>
      <c r="S259" s="44"/>
      <c r="T259" s="44"/>
    </row>
    <row r="260" spans="4:20" ht="13" x14ac:dyDescent="0.15">
      <c r="D260" s="45"/>
      <c r="R260" s="44"/>
      <c r="S260" s="44"/>
      <c r="T260" s="44"/>
    </row>
    <row r="261" spans="4:20" ht="13" x14ac:dyDescent="0.15">
      <c r="D261" s="45"/>
      <c r="R261" s="44"/>
      <c r="S261" s="44"/>
      <c r="T261" s="44"/>
    </row>
    <row r="262" spans="4:20" ht="13" x14ac:dyDescent="0.15">
      <c r="D262" s="45"/>
      <c r="R262" s="44"/>
      <c r="S262" s="44"/>
      <c r="T262" s="44"/>
    </row>
    <row r="263" spans="4:20" ht="13" x14ac:dyDescent="0.15">
      <c r="D263" s="45"/>
      <c r="R263" s="44"/>
      <c r="S263" s="44"/>
      <c r="T263" s="44"/>
    </row>
    <row r="264" spans="4:20" ht="13" x14ac:dyDescent="0.15">
      <c r="D264" s="45"/>
      <c r="R264" s="44"/>
      <c r="S264" s="44"/>
      <c r="T264" s="44"/>
    </row>
    <row r="265" spans="4:20" ht="13" x14ac:dyDescent="0.15">
      <c r="D265" s="45"/>
      <c r="R265" s="44"/>
      <c r="S265" s="44"/>
      <c r="T265" s="44"/>
    </row>
    <row r="266" spans="4:20" ht="13" x14ac:dyDescent="0.15">
      <c r="D266" s="45"/>
      <c r="R266" s="44"/>
      <c r="S266" s="44"/>
      <c r="T266" s="44"/>
    </row>
    <row r="267" spans="4:20" ht="13" x14ac:dyDescent="0.15">
      <c r="D267" s="45"/>
      <c r="R267" s="44"/>
      <c r="S267" s="44"/>
      <c r="T267" s="44"/>
    </row>
    <row r="268" spans="4:20" ht="13" x14ac:dyDescent="0.15">
      <c r="D268" s="45"/>
      <c r="R268" s="44"/>
      <c r="S268" s="44"/>
      <c r="T268" s="44"/>
    </row>
    <row r="269" spans="4:20" ht="13" x14ac:dyDescent="0.15">
      <c r="D269" s="45"/>
      <c r="R269" s="44"/>
      <c r="S269" s="44"/>
      <c r="T269" s="44"/>
    </row>
    <row r="270" spans="4:20" ht="13" x14ac:dyDescent="0.15">
      <c r="D270" s="45"/>
      <c r="R270" s="44"/>
      <c r="S270" s="44"/>
      <c r="T270" s="44"/>
    </row>
    <row r="271" spans="4:20" ht="13" x14ac:dyDescent="0.15">
      <c r="D271" s="45"/>
      <c r="R271" s="44"/>
      <c r="S271" s="44"/>
      <c r="T271" s="44"/>
    </row>
    <row r="272" spans="4:20" ht="13" x14ac:dyDescent="0.15">
      <c r="D272" s="45"/>
      <c r="R272" s="44"/>
      <c r="S272" s="44"/>
      <c r="T272" s="44"/>
    </row>
    <row r="273" spans="4:20" ht="13" x14ac:dyDescent="0.15">
      <c r="D273" s="45"/>
      <c r="R273" s="44"/>
      <c r="S273" s="44"/>
      <c r="T273" s="44"/>
    </row>
    <row r="274" spans="4:20" ht="13" x14ac:dyDescent="0.15">
      <c r="D274" s="45"/>
      <c r="R274" s="44"/>
      <c r="S274" s="44"/>
      <c r="T274" s="44"/>
    </row>
    <row r="275" spans="4:20" ht="13" x14ac:dyDescent="0.15">
      <c r="D275" s="45"/>
      <c r="R275" s="44"/>
      <c r="S275" s="44"/>
      <c r="T275" s="44"/>
    </row>
    <row r="276" spans="4:20" ht="13" x14ac:dyDescent="0.15">
      <c r="D276" s="45"/>
      <c r="R276" s="44"/>
      <c r="S276" s="44"/>
      <c r="T276" s="44"/>
    </row>
    <row r="277" spans="4:20" ht="13" x14ac:dyDescent="0.15">
      <c r="D277" s="45"/>
      <c r="R277" s="44"/>
      <c r="S277" s="44"/>
      <c r="T277" s="44"/>
    </row>
    <row r="278" spans="4:20" ht="13" x14ac:dyDescent="0.15">
      <c r="D278" s="45"/>
      <c r="R278" s="44"/>
      <c r="S278" s="44"/>
      <c r="T278" s="44"/>
    </row>
    <row r="279" spans="4:20" ht="13" x14ac:dyDescent="0.15">
      <c r="D279" s="45"/>
      <c r="R279" s="44"/>
      <c r="S279" s="44"/>
      <c r="T279" s="44"/>
    </row>
    <row r="280" spans="4:20" ht="13" x14ac:dyDescent="0.15">
      <c r="D280" s="45"/>
      <c r="R280" s="44"/>
      <c r="S280" s="44"/>
      <c r="T280" s="44"/>
    </row>
    <row r="281" spans="4:20" ht="13" x14ac:dyDescent="0.15">
      <c r="D281" s="45"/>
      <c r="R281" s="44"/>
      <c r="S281" s="44"/>
      <c r="T281" s="44"/>
    </row>
    <row r="282" spans="4:20" ht="13" x14ac:dyDescent="0.15">
      <c r="D282" s="45"/>
      <c r="R282" s="44"/>
      <c r="S282" s="44"/>
      <c r="T282" s="44"/>
    </row>
    <row r="283" spans="4:20" ht="13" x14ac:dyDescent="0.15">
      <c r="D283" s="45"/>
      <c r="R283" s="44"/>
      <c r="S283" s="44"/>
      <c r="T283" s="44"/>
    </row>
    <row r="284" spans="4:20" ht="13" x14ac:dyDescent="0.15">
      <c r="D284" s="45"/>
      <c r="R284" s="44"/>
      <c r="S284" s="44"/>
      <c r="T284" s="44"/>
    </row>
    <row r="285" spans="4:20" ht="13" x14ac:dyDescent="0.15">
      <c r="D285" s="45"/>
      <c r="R285" s="44"/>
      <c r="S285" s="44"/>
      <c r="T285" s="44"/>
    </row>
    <row r="286" spans="4:20" ht="13" x14ac:dyDescent="0.15">
      <c r="D286" s="45"/>
      <c r="R286" s="44"/>
      <c r="S286" s="44"/>
      <c r="T286" s="44"/>
    </row>
    <row r="287" spans="4:20" ht="13" x14ac:dyDescent="0.15">
      <c r="D287" s="45"/>
      <c r="R287" s="44"/>
      <c r="S287" s="44"/>
      <c r="T287" s="44"/>
    </row>
    <row r="288" spans="4:20" ht="13" x14ac:dyDescent="0.15">
      <c r="D288" s="45"/>
      <c r="R288" s="44"/>
      <c r="S288" s="44"/>
      <c r="T288" s="44"/>
    </row>
    <row r="289" spans="4:20" ht="13" x14ac:dyDescent="0.15">
      <c r="D289" s="45"/>
      <c r="R289" s="44"/>
      <c r="S289" s="44"/>
      <c r="T289" s="44"/>
    </row>
    <row r="290" spans="4:20" ht="13" x14ac:dyDescent="0.15">
      <c r="D290" s="45"/>
      <c r="R290" s="44"/>
      <c r="S290" s="44"/>
      <c r="T290" s="44"/>
    </row>
    <row r="291" spans="4:20" ht="13" x14ac:dyDescent="0.15">
      <c r="D291" s="45"/>
      <c r="R291" s="44"/>
      <c r="S291" s="44"/>
      <c r="T291" s="44"/>
    </row>
    <row r="292" spans="4:20" ht="13" x14ac:dyDescent="0.15">
      <c r="D292" s="45"/>
      <c r="R292" s="44"/>
      <c r="S292" s="44"/>
      <c r="T292" s="44"/>
    </row>
    <row r="293" spans="4:20" ht="13" x14ac:dyDescent="0.15">
      <c r="D293" s="45"/>
      <c r="R293" s="44"/>
      <c r="S293" s="44"/>
      <c r="T293" s="44"/>
    </row>
    <row r="294" spans="4:20" ht="13" x14ac:dyDescent="0.15">
      <c r="D294" s="45"/>
      <c r="R294" s="44"/>
      <c r="S294" s="44"/>
      <c r="T294" s="44"/>
    </row>
    <row r="295" spans="4:20" ht="13" x14ac:dyDescent="0.15">
      <c r="D295" s="45"/>
      <c r="R295" s="44"/>
      <c r="S295" s="44"/>
      <c r="T295" s="44"/>
    </row>
    <row r="296" spans="4:20" ht="13" x14ac:dyDescent="0.15">
      <c r="D296" s="45"/>
      <c r="R296" s="44"/>
      <c r="S296" s="44"/>
      <c r="T296" s="44"/>
    </row>
    <row r="297" spans="4:20" ht="13" x14ac:dyDescent="0.15">
      <c r="D297" s="45"/>
      <c r="R297" s="44"/>
      <c r="S297" s="44"/>
      <c r="T297" s="44"/>
    </row>
    <row r="298" spans="4:20" ht="13" x14ac:dyDescent="0.15">
      <c r="D298" s="45"/>
      <c r="R298" s="44"/>
      <c r="S298" s="44"/>
      <c r="T298" s="44"/>
    </row>
    <row r="299" spans="4:20" ht="13" x14ac:dyDescent="0.15">
      <c r="D299" s="45"/>
      <c r="R299" s="44"/>
      <c r="S299" s="44"/>
      <c r="T299" s="44"/>
    </row>
    <row r="300" spans="4:20" ht="13" x14ac:dyDescent="0.15">
      <c r="D300" s="45"/>
      <c r="R300" s="44"/>
      <c r="S300" s="44"/>
      <c r="T300" s="44"/>
    </row>
    <row r="301" spans="4:20" ht="13" x14ac:dyDescent="0.15">
      <c r="D301" s="45"/>
      <c r="R301" s="44"/>
      <c r="S301" s="44"/>
      <c r="T301" s="44"/>
    </row>
    <row r="302" spans="4:20" ht="13" x14ac:dyDescent="0.15">
      <c r="D302" s="45"/>
      <c r="R302" s="44"/>
      <c r="S302" s="44"/>
      <c r="T302" s="44"/>
    </row>
    <row r="303" spans="4:20" ht="13" x14ac:dyDescent="0.15">
      <c r="D303" s="45"/>
      <c r="R303" s="44"/>
      <c r="S303" s="44"/>
      <c r="T303" s="44"/>
    </row>
    <row r="304" spans="4:20" ht="13" x14ac:dyDescent="0.15">
      <c r="D304" s="45"/>
      <c r="R304" s="44"/>
      <c r="S304" s="44"/>
      <c r="T304" s="44"/>
    </row>
    <row r="305" spans="4:20" ht="13" x14ac:dyDescent="0.15">
      <c r="D305" s="45"/>
      <c r="R305" s="44"/>
      <c r="S305" s="44"/>
      <c r="T305" s="44"/>
    </row>
    <row r="306" spans="4:20" ht="13" x14ac:dyDescent="0.15">
      <c r="D306" s="45"/>
      <c r="R306" s="44"/>
      <c r="S306" s="44"/>
      <c r="T306" s="44"/>
    </row>
    <row r="307" spans="4:20" ht="13" x14ac:dyDescent="0.15">
      <c r="D307" s="45"/>
      <c r="R307" s="44"/>
      <c r="S307" s="44"/>
      <c r="T307" s="44"/>
    </row>
    <row r="308" spans="4:20" ht="13" x14ac:dyDescent="0.15">
      <c r="D308" s="45"/>
      <c r="R308" s="44"/>
      <c r="S308" s="44"/>
      <c r="T308" s="44"/>
    </row>
    <row r="309" spans="4:20" ht="13" x14ac:dyDescent="0.15">
      <c r="D309" s="45"/>
      <c r="R309" s="44"/>
      <c r="S309" s="44"/>
      <c r="T309" s="44"/>
    </row>
    <row r="310" spans="4:20" ht="13" x14ac:dyDescent="0.15">
      <c r="D310" s="45"/>
      <c r="R310" s="44"/>
      <c r="S310" s="44"/>
      <c r="T310" s="44"/>
    </row>
    <row r="311" spans="4:20" ht="13" x14ac:dyDescent="0.15">
      <c r="D311" s="45"/>
      <c r="R311" s="44"/>
      <c r="S311" s="44"/>
      <c r="T311" s="44"/>
    </row>
    <row r="312" spans="4:20" ht="13" x14ac:dyDescent="0.15">
      <c r="D312" s="45"/>
      <c r="R312" s="44"/>
      <c r="S312" s="44"/>
      <c r="T312" s="44"/>
    </row>
    <row r="313" spans="4:20" ht="13" x14ac:dyDescent="0.15">
      <c r="D313" s="45"/>
      <c r="R313" s="44"/>
      <c r="S313" s="44"/>
      <c r="T313" s="44"/>
    </row>
    <row r="314" spans="4:20" ht="13" x14ac:dyDescent="0.15">
      <c r="D314" s="45"/>
      <c r="R314" s="44"/>
      <c r="S314" s="44"/>
      <c r="T314" s="44"/>
    </row>
    <row r="315" spans="4:20" ht="13" x14ac:dyDescent="0.15">
      <c r="D315" s="45"/>
      <c r="R315" s="44"/>
      <c r="S315" s="44"/>
      <c r="T315" s="44"/>
    </row>
    <row r="316" spans="4:20" ht="13" x14ac:dyDescent="0.15">
      <c r="D316" s="45"/>
      <c r="R316" s="44"/>
      <c r="S316" s="44"/>
      <c r="T316" s="44"/>
    </row>
    <row r="317" spans="4:20" ht="13" x14ac:dyDescent="0.15">
      <c r="D317" s="45"/>
      <c r="R317" s="44"/>
      <c r="S317" s="44"/>
      <c r="T317" s="44"/>
    </row>
    <row r="318" spans="4:20" ht="13" x14ac:dyDescent="0.15">
      <c r="D318" s="45"/>
      <c r="R318" s="44"/>
      <c r="S318" s="44"/>
      <c r="T318" s="44"/>
    </row>
    <row r="319" spans="4:20" ht="13" x14ac:dyDescent="0.15">
      <c r="D319" s="45"/>
      <c r="R319" s="44"/>
      <c r="S319" s="44"/>
      <c r="T319" s="44"/>
    </row>
    <row r="320" spans="4:20" ht="13" x14ac:dyDescent="0.15">
      <c r="D320" s="45"/>
      <c r="R320" s="44"/>
      <c r="S320" s="44"/>
      <c r="T320" s="44"/>
    </row>
    <row r="321" spans="4:20" ht="13" x14ac:dyDescent="0.15">
      <c r="D321" s="45"/>
      <c r="R321" s="44"/>
      <c r="S321" s="44"/>
      <c r="T321" s="44"/>
    </row>
    <row r="322" spans="4:20" ht="13" x14ac:dyDescent="0.15">
      <c r="D322" s="45"/>
      <c r="R322" s="44"/>
      <c r="S322" s="44"/>
      <c r="T322" s="44"/>
    </row>
    <row r="323" spans="4:20" ht="13" x14ac:dyDescent="0.15">
      <c r="D323" s="45"/>
      <c r="R323" s="44"/>
      <c r="S323" s="44"/>
      <c r="T323" s="44"/>
    </row>
    <row r="324" spans="4:20" ht="13" x14ac:dyDescent="0.15">
      <c r="D324" s="45"/>
      <c r="R324" s="44"/>
      <c r="S324" s="44"/>
      <c r="T324" s="44"/>
    </row>
    <row r="325" spans="4:20" ht="13" x14ac:dyDescent="0.15">
      <c r="D325" s="45"/>
      <c r="R325" s="44"/>
      <c r="S325" s="44"/>
      <c r="T325" s="44"/>
    </row>
    <row r="326" spans="4:20" ht="13" x14ac:dyDescent="0.15">
      <c r="D326" s="45"/>
      <c r="R326" s="44"/>
      <c r="S326" s="44"/>
      <c r="T326" s="44"/>
    </row>
    <row r="327" spans="4:20" ht="13" x14ac:dyDescent="0.15">
      <c r="D327" s="45"/>
      <c r="R327" s="44"/>
      <c r="S327" s="44"/>
      <c r="T327" s="44"/>
    </row>
    <row r="328" spans="4:20" ht="13" x14ac:dyDescent="0.15">
      <c r="D328" s="45"/>
      <c r="R328" s="44"/>
      <c r="S328" s="44"/>
      <c r="T328" s="44"/>
    </row>
    <row r="329" spans="4:20" ht="13" x14ac:dyDescent="0.15">
      <c r="D329" s="45"/>
      <c r="R329" s="44"/>
      <c r="S329" s="44"/>
      <c r="T329" s="44"/>
    </row>
    <row r="330" spans="4:20" ht="13" x14ac:dyDescent="0.15">
      <c r="D330" s="45"/>
      <c r="R330" s="44"/>
      <c r="S330" s="44"/>
      <c r="T330" s="44"/>
    </row>
    <row r="331" spans="4:20" ht="13" x14ac:dyDescent="0.15">
      <c r="D331" s="45"/>
      <c r="R331" s="44"/>
      <c r="S331" s="44"/>
      <c r="T331" s="44"/>
    </row>
    <row r="332" spans="4:20" ht="13" x14ac:dyDescent="0.15">
      <c r="D332" s="45"/>
      <c r="R332" s="44"/>
      <c r="S332" s="44"/>
      <c r="T332" s="44"/>
    </row>
    <row r="333" spans="4:20" ht="13" x14ac:dyDescent="0.15">
      <c r="D333" s="45"/>
      <c r="R333" s="44"/>
      <c r="S333" s="44"/>
      <c r="T333" s="44"/>
    </row>
    <row r="334" spans="4:20" ht="13" x14ac:dyDescent="0.15">
      <c r="D334" s="45"/>
      <c r="R334" s="44"/>
      <c r="S334" s="44"/>
      <c r="T334" s="44"/>
    </row>
    <row r="335" spans="4:20" ht="13" x14ac:dyDescent="0.15">
      <c r="D335" s="45"/>
      <c r="R335" s="44"/>
      <c r="S335" s="44"/>
      <c r="T335" s="44"/>
    </row>
    <row r="336" spans="4:20" ht="13" x14ac:dyDescent="0.15">
      <c r="D336" s="45"/>
      <c r="R336" s="44"/>
      <c r="S336" s="44"/>
      <c r="T336" s="44"/>
    </row>
    <row r="337" spans="4:20" ht="13" x14ac:dyDescent="0.15">
      <c r="D337" s="45"/>
      <c r="R337" s="44"/>
      <c r="S337" s="44"/>
      <c r="T337" s="44"/>
    </row>
    <row r="338" spans="4:20" ht="13" x14ac:dyDescent="0.15">
      <c r="D338" s="45"/>
      <c r="R338" s="44"/>
      <c r="S338" s="44"/>
      <c r="T338" s="44"/>
    </row>
    <row r="339" spans="4:20" ht="13" x14ac:dyDescent="0.15">
      <c r="D339" s="45"/>
      <c r="R339" s="44"/>
      <c r="S339" s="44"/>
      <c r="T339" s="44"/>
    </row>
    <row r="340" spans="4:20" ht="13" x14ac:dyDescent="0.15">
      <c r="D340" s="45"/>
      <c r="R340" s="44"/>
      <c r="S340" s="44"/>
      <c r="T340" s="44"/>
    </row>
    <row r="341" spans="4:20" ht="13" x14ac:dyDescent="0.15">
      <c r="D341" s="45"/>
      <c r="R341" s="44"/>
      <c r="S341" s="44"/>
      <c r="T341" s="44"/>
    </row>
    <row r="342" spans="4:20" ht="13" x14ac:dyDescent="0.15">
      <c r="D342" s="45"/>
      <c r="R342" s="44"/>
      <c r="S342" s="44"/>
      <c r="T342" s="44"/>
    </row>
    <row r="343" spans="4:20" ht="13" x14ac:dyDescent="0.15">
      <c r="D343" s="45"/>
      <c r="R343" s="44"/>
      <c r="S343" s="44"/>
      <c r="T343" s="44"/>
    </row>
    <row r="344" spans="4:20" ht="13" x14ac:dyDescent="0.15">
      <c r="D344" s="45"/>
      <c r="R344" s="44"/>
      <c r="S344" s="44"/>
      <c r="T344" s="44"/>
    </row>
    <row r="345" spans="4:20" ht="13" x14ac:dyDescent="0.15">
      <c r="D345" s="45"/>
      <c r="R345" s="44"/>
      <c r="S345" s="44"/>
      <c r="T345" s="44"/>
    </row>
    <row r="346" spans="4:20" ht="13" x14ac:dyDescent="0.15">
      <c r="D346" s="45"/>
      <c r="R346" s="44"/>
      <c r="S346" s="44"/>
      <c r="T346" s="44"/>
    </row>
    <row r="347" spans="4:20" ht="13" x14ac:dyDescent="0.15">
      <c r="D347" s="45"/>
      <c r="R347" s="44"/>
      <c r="S347" s="44"/>
      <c r="T347" s="44"/>
    </row>
    <row r="348" spans="4:20" ht="13" x14ac:dyDescent="0.15">
      <c r="D348" s="45"/>
      <c r="R348" s="44"/>
      <c r="S348" s="44"/>
      <c r="T348" s="44"/>
    </row>
    <row r="349" spans="4:20" ht="13" x14ac:dyDescent="0.15">
      <c r="D349" s="45"/>
      <c r="R349" s="44"/>
      <c r="S349" s="44"/>
      <c r="T349" s="44"/>
    </row>
    <row r="350" spans="4:20" ht="13" x14ac:dyDescent="0.15">
      <c r="D350" s="45"/>
      <c r="R350" s="44"/>
      <c r="S350" s="44"/>
      <c r="T350" s="44"/>
    </row>
    <row r="351" spans="4:20" ht="13" x14ac:dyDescent="0.15">
      <c r="D351" s="45"/>
      <c r="R351" s="44"/>
      <c r="S351" s="44"/>
      <c r="T351" s="44"/>
    </row>
    <row r="352" spans="4:20" ht="13" x14ac:dyDescent="0.15">
      <c r="D352" s="45"/>
      <c r="R352" s="44"/>
      <c r="S352" s="44"/>
      <c r="T352" s="44"/>
    </row>
    <row r="353" spans="4:20" ht="13" x14ac:dyDescent="0.15">
      <c r="D353" s="45"/>
      <c r="R353" s="44"/>
      <c r="S353" s="44"/>
      <c r="T353" s="44"/>
    </row>
    <row r="354" spans="4:20" ht="13" x14ac:dyDescent="0.15">
      <c r="D354" s="45"/>
      <c r="R354" s="44"/>
      <c r="S354" s="44"/>
      <c r="T354" s="44"/>
    </row>
    <row r="355" spans="4:20" ht="13" x14ac:dyDescent="0.15">
      <c r="D355" s="45"/>
      <c r="R355" s="44"/>
      <c r="S355" s="44"/>
      <c r="T355" s="44"/>
    </row>
    <row r="356" spans="4:20" ht="13" x14ac:dyDescent="0.15">
      <c r="D356" s="45"/>
      <c r="R356" s="44"/>
      <c r="S356" s="44"/>
      <c r="T356" s="44"/>
    </row>
    <row r="357" spans="4:20" ht="13" x14ac:dyDescent="0.15">
      <c r="D357" s="45"/>
      <c r="R357" s="44"/>
      <c r="S357" s="44"/>
      <c r="T357" s="44"/>
    </row>
    <row r="358" spans="4:20" ht="13" x14ac:dyDescent="0.15">
      <c r="D358" s="45"/>
      <c r="R358" s="44"/>
      <c r="S358" s="44"/>
      <c r="T358" s="44"/>
    </row>
    <row r="359" spans="4:20" ht="13" x14ac:dyDescent="0.15">
      <c r="D359" s="45"/>
      <c r="R359" s="44"/>
      <c r="S359" s="44"/>
      <c r="T359" s="44"/>
    </row>
    <row r="360" spans="4:20" ht="13" x14ac:dyDescent="0.15">
      <c r="D360" s="45"/>
      <c r="R360" s="44"/>
      <c r="S360" s="44"/>
      <c r="T360" s="44"/>
    </row>
    <row r="361" spans="4:20" ht="13" x14ac:dyDescent="0.15">
      <c r="D361" s="45"/>
      <c r="R361" s="44"/>
      <c r="S361" s="44"/>
      <c r="T361" s="44"/>
    </row>
    <row r="362" spans="4:20" ht="13" x14ac:dyDescent="0.15">
      <c r="D362" s="45"/>
      <c r="R362" s="44"/>
      <c r="S362" s="44"/>
      <c r="T362" s="44"/>
    </row>
    <row r="363" spans="4:20" ht="13" x14ac:dyDescent="0.15">
      <c r="D363" s="45"/>
      <c r="R363" s="44"/>
      <c r="S363" s="44"/>
      <c r="T363" s="44"/>
    </row>
    <row r="364" spans="4:20" ht="13" x14ac:dyDescent="0.15">
      <c r="D364" s="45"/>
      <c r="R364" s="44"/>
      <c r="S364" s="44"/>
      <c r="T364" s="44"/>
    </row>
    <row r="365" spans="4:20" ht="13" x14ac:dyDescent="0.15">
      <c r="D365" s="45"/>
      <c r="R365" s="44"/>
      <c r="S365" s="44"/>
      <c r="T365" s="44"/>
    </row>
    <row r="366" spans="4:20" ht="13" x14ac:dyDescent="0.15">
      <c r="D366" s="45"/>
      <c r="R366" s="44"/>
      <c r="S366" s="44"/>
      <c r="T366" s="44"/>
    </row>
    <row r="367" spans="4:20" ht="13" x14ac:dyDescent="0.15">
      <c r="D367" s="45"/>
      <c r="R367" s="44"/>
      <c r="S367" s="44"/>
      <c r="T367" s="44"/>
    </row>
    <row r="368" spans="4:20" ht="13" x14ac:dyDescent="0.15">
      <c r="D368" s="45"/>
      <c r="R368" s="44"/>
      <c r="S368" s="44"/>
      <c r="T368" s="44"/>
    </row>
    <row r="369" spans="4:20" ht="13" x14ac:dyDescent="0.15">
      <c r="D369" s="45"/>
      <c r="R369" s="44"/>
      <c r="S369" s="44"/>
      <c r="T369" s="44"/>
    </row>
    <row r="370" spans="4:20" ht="13" x14ac:dyDescent="0.15">
      <c r="D370" s="45"/>
      <c r="R370" s="44"/>
      <c r="S370" s="44"/>
      <c r="T370" s="44"/>
    </row>
    <row r="371" spans="4:20" ht="13" x14ac:dyDescent="0.15">
      <c r="D371" s="45"/>
      <c r="R371" s="44"/>
      <c r="S371" s="44"/>
      <c r="T371" s="44"/>
    </row>
    <row r="372" spans="4:20" ht="13" x14ac:dyDescent="0.15">
      <c r="D372" s="45"/>
      <c r="R372" s="44"/>
      <c r="S372" s="44"/>
      <c r="T372" s="44"/>
    </row>
    <row r="373" spans="4:20" ht="13" x14ac:dyDescent="0.15">
      <c r="D373" s="45"/>
      <c r="R373" s="44"/>
      <c r="S373" s="44"/>
      <c r="T373" s="44"/>
    </row>
    <row r="374" spans="4:20" ht="13" x14ac:dyDescent="0.15">
      <c r="D374" s="45"/>
      <c r="R374" s="44"/>
      <c r="S374" s="44"/>
      <c r="T374" s="44"/>
    </row>
    <row r="375" spans="4:20" ht="13" x14ac:dyDescent="0.15">
      <c r="D375" s="45"/>
      <c r="R375" s="44"/>
      <c r="S375" s="44"/>
      <c r="T375" s="44"/>
    </row>
    <row r="376" spans="4:20" ht="13" x14ac:dyDescent="0.15">
      <c r="D376" s="45"/>
      <c r="R376" s="44"/>
      <c r="S376" s="44"/>
      <c r="T376" s="44"/>
    </row>
    <row r="377" spans="4:20" ht="13" x14ac:dyDescent="0.15">
      <c r="D377" s="45"/>
      <c r="R377" s="44"/>
      <c r="S377" s="44"/>
      <c r="T377" s="44"/>
    </row>
    <row r="378" spans="4:20" ht="13" x14ac:dyDescent="0.15">
      <c r="D378" s="45"/>
      <c r="R378" s="44"/>
      <c r="S378" s="44"/>
      <c r="T378" s="44"/>
    </row>
    <row r="379" spans="4:20" ht="13" x14ac:dyDescent="0.15">
      <c r="D379" s="45"/>
      <c r="R379" s="44"/>
      <c r="S379" s="44"/>
      <c r="T379" s="44"/>
    </row>
    <row r="380" spans="4:20" ht="13" x14ac:dyDescent="0.15">
      <c r="D380" s="45"/>
      <c r="R380" s="44"/>
      <c r="S380" s="44"/>
      <c r="T380" s="44"/>
    </row>
    <row r="381" spans="4:20" ht="13" x14ac:dyDescent="0.15">
      <c r="D381" s="45"/>
      <c r="R381" s="44"/>
      <c r="S381" s="44"/>
      <c r="T381" s="44"/>
    </row>
    <row r="382" spans="4:20" ht="13" x14ac:dyDescent="0.15">
      <c r="D382" s="45"/>
      <c r="R382" s="44"/>
      <c r="S382" s="44"/>
      <c r="T382" s="44"/>
    </row>
    <row r="383" spans="4:20" ht="13" x14ac:dyDescent="0.15">
      <c r="D383" s="45"/>
      <c r="R383" s="44"/>
      <c r="S383" s="44"/>
      <c r="T383" s="44"/>
    </row>
    <row r="384" spans="4:20" ht="13" x14ac:dyDescent="0.15">
      <c r="D384" s="45"/>
      <c r="R384" s="44"/>
      <c r="S384" s="44"/>
      <c r="T384" s="44"/>
    </row>
    <row r="385" spans="4:20" ht="13" x14ac:dyDescent="0.15">
      <c r="D385" s="45"/>
      <c r="R385" s="44"/>
      <c r="S385" s="44"/>
      <c r="T385" s="44"/>
    </row>
    <row r="386" spans="4:20" ht="13" x14ac:dyDescent="0.15">
      <c r="D386" s="45"/>
      <c r="R386" s="44"/>
      <c r="S386" s="44"/>
      <c r="T386" s="44"/>
    </row>
    <row r="387" spans="4:20" ht="13" x14ac:dyDescent="0.15">
      <c r="D387" s="45"/>
      <c r="R387" s="44"/>
      <c r="S387" s="44"/>
      <c r="T387" s="44"/>
    </row>
    <row r="388" spans="4:20" ht="13" x14ac:dyDescent="0.15">
      <c r="D388" s="45"/>
      <c r="R388" s="44"/>
      <c r="S388" s="44"/>
      <c r="T388" s="44"/>
    </row>
    <row r="389" spans="4:20" ht="13" x14ac:dyDescent="0.15">
      <c r="D389" s="45"/>
      <c r="R389" s="44"/>
      <c r="S389" s="44"/>
      <c r="T389" s="44"/>
    </row>
    <row r="390" spans="4:20" ht="13" x14ac:dyDescent="0.15">
      <c r="D390" s="45"/>
      <c r="R390" s="44"/>
      <c r="S390" s="44"/>
      <c r="T390" s="44"/>
    </row>
    <row r="391" spans="4:20" ht="13" x14ac:dyDescent="0.15">
      <c r="D391" s="45"/>
      <c r="R391" s="44"/>
      <c r="S391" s="44"/>
      <c r="T391" s="44"/>
    </row>
    <row r="392" spans="4:20" ht="13" x14ac:dyDescent="0.15">
      <c r="D392" s="45"/>
      <c r="R392" s="44"/>
      <c r="S392" s="44"/>
      <c r="T392" s="44"/>
    </row>
    <row r="393" spans="4:20" ht="13" x14ac:dyDescent="0.15">
      <c r="D393" s="45"/>
      <c r="R393" s="44"/>
      <c r="S393" s="44"/>
      <c r="T393" s="44"/>
    </row>
    <row r="394" spans="4:20" ht="13" x14ac:dyDescent="0.15">
      <c r="D394" s="45"/>
      <c r="R394" s="44"/>
      <c r="S394" s="44"/>
      <c r="T394" s="44"/>
    </row>
    <row r="395" spans="4:20" ht="13" x14ac:dyDescent="0.15">
      <c r="D395" s="45"/>
      <c r="R395" s="44"/>
      <c r="S395" s="44"/>
      <c r="T395" s="44"/>
    </row>
    <row r="396" spans="4:20" ht="13" x14ac:dyDescent="0.15">
      <c r="D396" s="45"/>
      <c r="R396" s="44"/>
      <c r="S396" s="44"/>
      <c r="T396" s="44"/>
    </row>
    <row r="397" spans="4:20" ht="13" x14ac:dyDescent="0.15">
      <c r="D397" s="45"/>
      <c r="R397" s="44"/>
      <c r="S397" s="44"/>
      <c r="T397" s="44"/>
    </row>
    <row r="398" spans="4:20" ht="13" x14ac:dyDescent="0.15">
      <c r="D398" s="45"/>
      <c r="R398" s="44"/>
      <c r="S398" s="44"/>
      <c r="T398" s="44"/>
    </row>
    <row r="399" spans="4:20" ht="13" x14ac:dyDescent="0.15">
      <c r="D399" s="45"/>
      <c r="R399" s="44"/>
      <c r="S399" s="44"/>
      <c r="T399" s="44"/>
    </row>
    <row r="400" spans="4:20" ht="13" x14ac:dyDescent="0.15">
      <c r="D400" s="45"/>
      <c r="R400" s="44"/>
      <c r="S400" s="44"/>
      <c r="T400" s="44"/>
    </row>
    <row r="401" spans="4:20" ht="13" x14ac:dyDescent="0.15">
      <c r="D401" s="45"/>
      <c r="R401" s="44"/>
      <c r="S401" s="44"/>
      <c r="T401" s="44"/>
    </row>
    <row r="402" spans="4:20" ht="13" x14ac:dyDescent="0.15">
      <c r="D402" s="45"/>
      <c r="R402" s="44"/>
      <c r="S402" s="44"/>
      <c r="T402" s="44"/>
    </row>
    <row r="403" spans="4:20" ht="13" x14ac:dyDescent="0.15">
      <c r="D403" s="45"/>
      <c r="R403" s="44"/>
      <c r="S403" s="44"/>
      <c r="T403" s="44"/>
    </row>
    <row r="404" spans="4:20" ht="13" x14ac:dyDescent="0.15">
      <c r="D404" s="45"/>
      <c r="R404" s="44"/>
      <c r="S404" s="44"/>
      <c r="T404" s="44"/>
    </row>
    <row r="405" spans="4:20" ht="13" x14ac:dyDescent="0.15">
      <c r="D405" s="45"/>
      <c r="R405" s="44"/>
      <c r="S405" s="44"/>
      <c r="T405" s="44"/>
    </row>
    <row r="406" spans="4:20" ht="13" x14ac:dyDescent="0.15">
      <c r="D406" s="45"/>
      <c r="R406" s="44"/>
      <c r="S406" s="44"/>
      <c r="T406" s="44"/>
    </row>
    <row r="407" spans="4:20" ht="13" x14ac:dyDescent="0.15">
      <c r="D407" s="45"/>
      <c r="R407" s="44"/>
      <c r="S407" s="44"/>
      <c r="T407" s="44"/>
    </row>
    <row r="408" spans="4:20" ht="13" x14ac:dyDescent="0.15">
      <c r="D408" s="45"/>
      <c r="R408" s="44"/>
      <c r="S408" s="44"/>
      <c r="T408" s="44"/>
    </row>
    <row r="409" spans="4:20" ht="13" x14ac:dyDescent="0.15">
      <c r="D409" s="45"/>
      <c r="R409" s="44"/>
      <c r="S409" s="44"/>
      <c r="T409" s="44"/>
    </row>
    <row r="410" spans="4:20" ht="13" x14ac:dyDescent="0.15">
      <c r="D410" s="45"/>
      <c r="R410" s="44"/>
      <c r="S410" s="44"/>
      <c r="T410" s="44"/>
    </row>
    <row r="411" spans="4:20" ht="13" x14ac:dyDescent="0.15">
      <c r="D411" s="45"/>
      <c r="R411" s="44"/>
      <c r="S411" s="44"/>
      <c r="T411" s="44"/>
    </row>
    <row r="412" spans="4:20" ht="13" x14ac:dyDescent="0.15">
      <c r="D412" s="45"/>
      <c r="R412" s="44"/>
      <c r="S412" s="44"/>
      <c r="T412" s="44"/>
    </row>
    <row r="413" spans="4:20" ht="13" x14ac:dyDescent="0.15">
      <c r="D413" s="45"/>
      <c r="R413" s="44"/>
      <c r="S413" s="44"/>
      <c r="T413" s="44"/>
    </row>
    <row r="414" spans="4:20" ht="13" x14ac:dyDescent="0.15">
      <c r="D414" s="45"/>
      <c r="R414" s="44"/>
      <c r="S414" s="44"/>
      <c r="T414" s="44"/>
    </row>
    <row r="415" spans="4:20" ht="13" x14ac:dyDescent="0.15">
      <c r="D415" s="45"/>
      <c r="R415" s="44"/>
      <c r="S415" s="44"/>
      <c r="T415" s="44"/>
    </row>
    <row r="416" spans="4:20" ht="13" x14ac:dyDescent="0.15">
      <c r="D416" s="45"/>
      <c r="R416" s="44"/>
      <c r="S416" s="44"/>
      <c r="T416" s="44"/>
    </row>
    <row r="417" spans="4:20" ht="13" x14ac:dyDescent="0.15">
      <c r="D417" s="45"/>
      <c r="R417" s="44"/>
      <c r="S417" s="44"/>
      <c r="T417" s="44"/>
    </row>
    <row r="418" spans="4:20" ht="13" x14ac:dyDescent="0.15">
      <c r="D418" s="45"/>
      <c r="R418" s="44"/>
      <c r="S418" s="44"/>
      <c r="T418" s="44"/>
    </row>
    <row r="419" spans="4:20" ht="13" x14ac:dyDescent="0.15">
      <c r="D419" s="45"/>
      <c r="R419" s="44"/>
      <c r="S419" s="44"/>
      <c r="T419" s="44"/>
    </row>
    <row r="420" spans="4:20" ht="13" x14ac:dyDescent="0.15">
      <c r="D420" s="45"/>
      <c r="R420" s="44"/>
      <c r="S420" s="44"/>
      <c r="T420" s="44"/>
    </row>
    <row r="421" spans="4:20" ht="13" x14ac:dyDescent="0.15">
      <c r="D421" s="45"/>
      <c r="R421" s="44"/>
      <c r="S421" s="44"/>
      <c r="T421" s="44"/>
    </row>
    <row r="422" spans="4:20" ht="13" x14ac:dyDescent="0.15">
      <c r="D422" s="45"/>
      <c r="R422" s="44"/>
      <c r="S422" s="44"/>
      <c r="T422" s="44"/>
    </row>
    <row r="423" spans="4:20" ht="13" x14ac:dyDescent="0.15">
      <c r="D423" s="45"/>
      <c r="R423" s="44"/>
      <c r="S423" s="44"/>
      <c r="T423" s="44"/>
    </row>
    <row r="424" spans="4:20" ht="13" x14ac:dyDescent="0.15">
      <c r="D424" s="45"/>
      <c r="R424" s="44"/>
      <c r="S424" s="44"/>
      <c r="T424" s="44"/>
    </row>
    <row r="425" spans="4:20" ht="13" x14ac:dyDescent="0.15">
      <c r="D425" s="45"/>
      <c r="R425" s="44"/>
      <c r="S425" s="44"/>
      <c r="T425" s="44"/>
    </row>
    <row r="426" spans="4:20" ht="13" x14ac:dyDescent="0.15">
      <c r="D426" s="45"/>
      <c r="R426" s="44"/>
      <c r="S426" s="44"/>
      <c r="T426" s="44"/>
    </row>
    <row r="427" spans="4:20" ht="13" x14ac:dyDescent="0.15">
      <c r="D427" s="45"/>
      <c r="R427" s="44"/>
      <c r="S427" s="44"/>
      <c r="T427" s="44"/>
    </row>
    <row r="428" spans="4:20" ht="13" x14ac:dyDescent="0.15">
      <c r="D428" s="45"/>
      <c r="R428" s="44"/>
      <c r="S428" s="44"/>
      <c r="T428" s="44"/>
    </row>
    <row r="429" spans="4:20" ht="13" x14ac:dyDescent="0.15">
      <c r="D429" s="45"/>
      <c r="R429" s="44"/>
      <c r="S429" s="44"/>
      <c r="T429" s="44"/>
    </row>
    <row r="430" spans="4:20" ht="13" x14ac:dyDescent="0.15">
      <c r="D430" s="45"/>
      <c r="R430" s="44"/>
      <c r="S430" s="44"/>
      <c r="T430" s="44"/>
    </row>
    <row r="431" spans="4:20" ht="13" x14ac:dyDescent="0.15">
      <c r="D431" s="45"/>
      <c r="R431" s="44"/>
      <c r="S431" s="44"/>
      <c r="T431" s="44"/>
    </row>
    <row r="432" spans="4:20" ht="13" x14ac:dyDescent="0.15">
      <c r="D432" s="45"/>
      <c r="R432" s="44"/>
      <c r="S432" s="44"/>
      <c r="T432" s="44"/>
    </row>
    <row r="433" spans="4:20" ht="13" x14ac:dyDescent="0.15">
      <c r="D433" s="45"/>
      <c r="R433" s="44"/>
      <c r="S433" s="44"/>
      <c r="T433" s="44"/>
    </row>
    <row r="434" spans="4:20" ht="13" x14ac:dyDescent="0.15">
      <c r="D434" s="45"/>
      <c r="R434" s="44"/>
      <c r="S434" s="44"/>
      <c r="T434" s="44"/>
    </row>
    <row r="435" spans="4:20" ht="13" x14ac:dyDescent="0.15">
      <c r="D435" s="45"/>
      <c r="R435" s="44"/>
      <c r="S435" s="44"/>
      <c r="T435" s="44"/>
    </row>
    <row r="436" spans="4:20" ht="13" x14ac:dyDescent="0.15">
      <c r="D436" s="45"/>
      <c r="R436" s="44"/>
      <c r="S436" s="44"/>
      <c r="T436" s="44"/>
    </row>
    <row r="437" spans="4:20" ht="13" x14ac:dyDescent="0.15">
      <c r="D437" s="45"/>
      <c r="R437" s="44"/>
      <c r="S437" s="44"/>
      <c r="T437" s="44"/>
    </row>
    <row r="438" spans="4:20" ht="13" x14ac:dyDescent="0.15">
      <c r="D438" s="45"/>
      <c r="R438" s="44"/>
      <c r="S438" s="44"/>
      <c r="T438" s="44"/>
    </row>
    <row r="439" spans="4:20" ht="13" x14ac:dyDescent="0.15">
      <c r="D439" s="45"/>
      <c r="R439" s="44"/>
      <c r="S439" s="44"/>
      <c r="T439" s="44"/>
    </row>
    <row r="440" spans="4:20" ht="13" x14ac:dyDescent="0.15">
      <c r="D440" s="45"/>
      <c r="R440" s="44"/>
      <c r="S440" s="44"/>
      <c r="T440" s="44"/>
    </row>
    <row r="441" spans="4:20" ht="13" x14ac:dyDescent="0.15">
      <c r="D441" s="45"/>
      <c r="R441" s="44"/>
      <c r="S441" s="44"/>
      <c r="T441" s="44"/>
    </row>
    <row r="442" spans="4:20" ht="13" x14ac:dyDescent="0.15">
      <c r="D442" s="45"/>
      <c r="R442" s="44"/>
      <c r="S442" s="44"/>
      <c r="T442" s="44"/>
    </row>
    <row r="443" spans="4:20" ht="13" x14ac:dyDescent="0.15">
      <c r="D443" s="45"/>
      <c r="R443" s="44"/>
      <c r="S443" s="44"/>
      <c r="T443" s="44"/>
    </row>
    <row r="444" spans="4:20" ht="13" x14ac:dyDescent="0.15">
      <c r="D444" s="45"/>
      <c r="R444" s="44"/>
      <c r="S444" s="44"/>
      <c r="T444" s="44"/>
    </row>
    <row r="445" spans="4:20" ht="13" x14ac:dyDescent="0.15">
      <c r="D445" s="45"/>
      <c r="R445" s="44"/>
      <c r="S445" s="44"/>
      <c r="T445" s="44"/>
    </row>
    <row r="446" spans="4:20" ht="13" x14ac:dyDescent="0.15">
      <c r="D446" s="45"/>
      <c r="R446" s="44"/>
      <c r="S446" s="44"/>
      <c r="T446" s="44"/>
    </row>
    <row r="447" spans="4:20" ht="13" x14ac:dyDescent="0.15">
      <c r="D447" s="45"/>
      <c r="R447" s="44"/>
      <c r="S447" s="44"/>
      <c r="T447" s="44"/>
    </row>
    <row r="448" spans="4:20" ht="13" x14ac:dyDescent="0.15">
      <c r="D448" s="45"/>
      <c r="R448" s="44"/>
      <c r="S448" s="44"/>
      <c r="T448" s="44"/>
    </row>
    <row r="449" spans="4:20" ht="13" x14ac:dyDescent="0.15">
      <c r="D449" s="45"/>
      <c r="R449" s="44"/>
      <c r="S449" s="44"/>
      <c r="T449" s="44"/>
    </row>
    <row r="450" spans="4:20" ht="13" x14ac:dyDescent="0.15">
      <c r="D450" s="45"/>
      <c r="R450" s="44"/>
      <c r="S450" s="44"/>
      <c r="T450" s="44"/>
    </row>
    <row r="451" spans="4:20" ht="13" x14ac:dyDescent="0.15">
      <c r="D451" s="45"/>
      <c r="R451" s="44"/>
      <c r="S451" s="44"/>
      <c r="T451" s="44"/>
    </row>
    <row r="452" spans="4:20" ht="13" x14ac:dyDescent="0.15">
      <c r="D452" s="45"/>
      <c r="R452" s="44"/>
      <c r="S452" s="44"/>
      <c r="T452" s="44"/>
    </row>
    <row r="453" spans="4:20" ht="13" x14ac:dyDescent="0.15">
      <c r="D453" s="45"/>
      <c r="R453" s="44"/>
      <c r="S453" s="44"/>
      <c r="T453" s="44"/>
    </row>
    <row r="454" spans="4:20" ht="13" x14ac:dyDescent="0.15">
      <c r="D454" s="45"/>
      <c r="R454" s="44"/>
      <c r="S454" s="44"/>
      <c r="T454" s="44"/>
    </row>
    <row r="455" spans="4:20" ht="13" x14ac:dyDescent="0.15">
      <c r="D455" s="45"/>
      <c r="R455" s="44"/>
      <c r="S455" s="44"/>
      <c r="T455" s="44"/>
    </row>
    <row r="456" spans="4:20" ht="13" x14ac:dyDescent="0.15">
      <c r="D456" s="45"/>
      <c r="R456" s="44"/>
      <c r="S456" s="44"/>
      <c r="T456" s="44"/>
    </row>
    <row r="457" spans="4:20" ht="13" x14ac:dyDescent="0.15">
      <c r="D457" s="45"/>
      <c r="R457" s="44"/>
      <c r="S457" s="44"/>
      <c r="T457" s="44"/>
    </row>
    <row r="458" spans="4:20" ht="13" x14ac:dyDescent="0.15">
      <c r="D458" s="45"/>
      <c r="R458" s="44"/>
      <c r="S458" s="44"/>
      <c r="T458" s="44"/>
    </row>
    <row r="459" spans="4:20" ht="13" x14ac:dyDescent="0.15">
      <c r="D459" s="45"/>
      <c r="R459" s="44"/>
      <c r="S459" s="44"/>
      <c r="T459" s="44"/>
    </row>
    <row r="460" spans="4:20" ht="13" x14ac:dyDescent="0.15">
      <c r="D460" s="45"/>
      <c r="R460" s="44"/>
      <c r="S460" s="44"/>
      <c r="T460" s="44"/>
    </row>
    <row r="461" spans="4:20" ht="13" x14ac:dyDescent="0.15">
      <c r="D461" s="45"/>
      <c r="R461" s="44"/>
      <c r="S461" s="44"/>
      <c r="T461" s="44"/>
    </row>
    <row r="462" spans="4:20" ht="13" x14ac:dyDescent="0.15">
      <c r="D462" s="45"/>
      <c r="R462" s="44"/>
      <c r="S462" s="44"/>
      <c r="T462" s="44"/>
    </row>
    <row r="463" spans="4:20" ht="13" x14ac:dyDescent="0.15">
      <c r="D463" s="45"/>
      <c r="R463" s="44"/>
      <c r="S463" s="44"/>
      <c r="T463" s="44"/>
    </row>
    <row r="464" spans="4:20" ht="13" x14ac:dyDescent="0.15">
      <c r="D464" s="45"/>
      <c r="R464" s="44"/>
      <c r="S464" s="44"/>
      <c r="T464" s="44"/>
    </row>
    <row r="465" spans="4:20" ht="13" x14ac:dyDescent="0.15">
      <c r="D465" s="45"/>
      <c r="R465" s="44"/>
      <c r="S465" s="44"/>
      <c r="T465" s="44"/>
    </row>
    <row r="466" spans="4:20" ht="13" x14ac:dyDescent="0.15">
      <c r="D466" s="45"/>
      <c r="R466" s="44"/>
      <c r="S466" s="44"/>
      <c r="T466" s="44"/>
    </row>
    <row r="467" spans="4:20" ht="13" x14ac:dyDescent="0.15">
      <c r="D467" s="45"/>
      <c r="R467" s="44"/>
      <c r="S467" s="44"/>
      <c r="T467" s="44"/>
    </row>
    <row r="468" spans="4:20" ht="13" x14ac:dyDescent="0.15">
      <c r="D468" s="45"/>
      <c r="R468" s="44"/>
      <c r="S468" s="44"/>
      <c r="T468" s="44"/>
    </row>
    <row r="469" spans="4:20" ht="13" x14ac:dyDescent="0.15">
      <c r="D469" s="45"/>
      <c r="R469" s="44"/>
      <c r="S469" s="44"/>
      <c r="T469" s="44"/>
    </row>
    <row r="470" spans="4:20" ht="13" x14ac:dyDescent="0.15">
      <c r="D470" s="45"/>
      <c r="R470" s="44"/>
      <c r="S470" s="44"/>
      <c r="T470" s="44"/>
    </row>
    <row r="471" spans="4:20" ht="13" x14ac:dyDescent="0.15">
      <c r="D471" s="45"/>
      <c r="R471" s="44"/>
      <c r="S471" s="44"/>
      <c r="T471" s="44"/>
    </row>
    <row r="472" spans="4:20" ht="13" x14ac:dyDescent="0.15">
      <c r="D472" s="45"/>
      <c r="R472" s="44"/>
      <c r="S472" s="44"/>
      <c r="T472" s="44"/>
    </row>
    <row r="473" spans="4:20" ht="13" x14ac:dyDescent="0.15">
      <c r="D473" s="45"/>
      <c r="R473" s="44"/>
      <c r="S473" s="44"/>
      <c r="T473" s="44"/>
    </row>
    <row r="474" spans="4:20" ht="13" x14ac:dyDescent="0.15">
      <c r="D474" s="45"/>
      <c r="R474" s="44"/>
      <c r="S474" s="44"/>
      <c r="T474" s="44"/>
    </row>
    <row r="475" spans="4:20" ht="13" x14ac:dyDescent="0.15">
      <c r="D475" s="45"/>
      <c r="R475" s="44"/>
      <c r="S475" s="44"/>
      <c r="T475" s="44"/>
    </row>
    <row r="476" spans="4:20" ht="13" x14ac:dyDescent="0.15">
      <c r="D476" s="45"/>
      <c r="R476" s="44"/>
      <c r="S476" s="44"/>
      <c r="T476" s="44"/>
    </row>
    <row r="477" spans="4:20" ht="13" x14ac:dyDescent="0.15">
      <c r="D477" s="45"/>
      <c r="R477" s="44"/>
      <c r="S477" s="44"/>
      <c r="T477" s="44"/>
    </row>
    <row r="478" spans="4:20" ht="13" x14ac:dyDescent="0.15">
      <c r="D478" s="45"/>
      <c r="R478" s="44"/>
      <c r="S478" s="44"/>
      <c r="T478" s="44"/>
    </row>
    <row r="479" spans="4:20" ht="13" x14ac:dyDescent="0.15">
      <c r="D479" s="45"/>
      <c r="R479" s="44"/>
      <c r="S479" s="44"/>
      <c r="T479" s="44"/>
    </row>
    <row r="480" spans="4:20" ht="13" x14ac:dyDescent="0.15">
      <c r="D480" s="45"/>
      <c r="R480" s="44"/>
      <c r="S480" s="44"/>
      <c r="T480" s="44"/>
    </row>
    <row r="481" spans="4:20" ht="13" x14ac:dyDescent="0.15">
      <c r="D481" s="45"/>
      <c r="R481" s="44"/>
      <c r="S481" s="44"/>
      <c r="T481" s="44"/>
    </row>
    <row r="482" spans="4:20" ht="13" x14ac:dyDescent="0.15">
      <c r="D482" s="45"/>
      <c r="R482" s="44"/>
      <c r="S482" s="44"/>
      <c r="T482" s="44"/>
    </row>
    <row r="483" spans="4:20" ht="13" x14ac:dyDescent="0.15">
      <c r="D483" s="45"/>
      <c r="R483" s="44"/>
      <c r="S483" s="44"/>
      <c r="T483" s="44"/>
    </row>
    <row r="484" spans="4:20" ht="13" x14ac:dyDescent="0.15">
      <c r="D484" s="45"/>
      <c r="R484" s="44"/>
      <c r="S484" s="44"/>
      <c r="T484" s="44"/>
    </row>
    <row r="485" spans="4:20" ht="13" x14ac:dyDescent="0.15">
      <c r="D485" s="45"/>
      <c r="R485" s="44"/>
      <c r="S485" s="44"/>
      <c r="T485" s="44"/>
    </row>
    <row r="486" spans="4:20" ht="13" x14ac:dyDescent="0.15">
      <c r="D486" s="45"/>
      <c r="R486" s="44"/>
      <c r="S486" s="44"/>
      <c r="T486" s="44"/>
    </row>
    <row r="487" spans="4:20" ht="13" x14ac:dyDescent="0.15">
      <c r="D487" s="45"/>
      <c r="R487" s="44"/>
      <c r="S487" s="44"/>
      <c r="T487" s="44"/>
    </row>
    <row r="488" spans="4:20" ht="13" x14ac:dyDescent="0.15">
      <c r="D488" s="45"/>
      <c r="R488" s="44"/>
      <c r="S488" s="44"/>
      <c r="T488" s="44"/>
    </row>
    <row r="489" spans="4:20" ht="13" x14ac:dyDescent="0.15">
      <c r="D489" s="45"/>
      <c r="R489" s="44"/>
      <c r="S489" s="44"/>
      <c r="T489" s="44"/>
    </row>
    <row r="490" spans="4:20" ht="13" x14ac:dyDescent="0.15">
      <c r="D490" s="45"/>
      <c r="R490" s="44"/>
      <c r="S490" s="44"/>
      <c r="T490" s="44"/>
    </row>
    <row r="491" spans="4:20" ht="13" x14ac:dyDescent="0.15">
      <c r="D491" s="45"/>
      <c r="R491" s="44"/>
      <c r="S491" s="44"/>
      <c r="T491" s="44"/>
    </row>
    <row r="492" spans="4:20" ht="13" x14ac:dyDescent="0.15">
      <c r="D492" s="45"/>
      <c r="R492" s="44"/>
      <c r="S492" s="44"/>
      <c r="T492" s="44"/>
    </row>
    <row r="493" spans="4:20" ht="13" x14ac:dyDescent="0.15">
      <c r="D493" s="45"/>
      <c r="R493" s="44"/>
      <c r="S493" s="44"/>
      <c r="T493" s="44"/>
    </row>
    <row r="494" spans="4:20" ht="13" x14ac:dyDescent="0.15">
      <c r="D494" s="45"/>
      <c r="R494" s="44"/>
      <c r="S494" s="44"/>
      <c r="T494" s="44"/>
    </row>
    <row r="495" spans="4:20" ht="13" x14ac:dyDescent="0.15">
      <c r="D495" s="45"/>
      <c r="R495" s="44"/>
      <c r="S495" s="44"/>
      <c r="T495" s="44"/>
    </row>
    <row r="496" spans="4:20" ht="13" x14ac:dyDescent="0.15">
      <c r="D496" s="45"/>
      <c r="R496" s="44"/>
      <c r="S496" s="44"/>
      <c r="T496" s="44"/>
    </row>
    <row r="497" spans="4:20" ht="13" x14ac:dyDescent="0.15">
      <c r="D497" s="45"/>
      <c r="R497" s="44"/>
      <c r="S497" s="44"/>
      <c r="T497" s="44"/>
    </row>
    <row r="498" spans="4:20" ht="13" x14ac:dyDescent="0.15">
      <c r="D498" s="45"/>
      <c r="R498" s="44"/>
      <c r="S498" s="44"/>
      <c r="T498" s="44"/>
    </row>
    <row r="499" spans="4:20" ht="13" x14ac:dyDescent="0.15">
      <c r="D499" s="45"/>
      <c r="R499" s="44"/>
      <c r="S499" s="44"/>
      <c r="T499" s="44"/>
    </row>
    <row r="500" spans="4:20" ht="13" x14ac:dyDescent="0.15">
      <c r="D500" s="45"/>
      <c r="R500" s="44"/>
      <c r="S500" s="44"/>
      <c r="T500" s="44"/>
    </row>
    <row r="501" spans="4:20" ht="13" x14ac:dyDescent="0.15">
      <c r="D501" s="45"/>
      <c r="R501" s="44"/>
      <c r="S501" s="44"/>
      <c r="T501" s="44"/>
    </row>
    <row r="502" spans="4:20" ht="13" x14ac:dyDescent="0.15">
      <c r="D502" s="45"/>
      <c r="R502" s="44"/>
      <c r="S502" s="44"/>
      <c r="T502" s="44"/>
    </row>
    <row r="503" spans="4:20" ht="13" x14ac:dyDescent="0.15">
      <c r="D503" s="45"/>
      <c r="R503" s="44"/>
      <c r="S503" s="44"/>
      <c r="T503" s="44"/>
    </row>
    <row r="504" spans="4:20" ht="13" x14ac:dyDescent="0.15">
      <c r="D504" s="45"/>
      <c r="R504" s="44"/>
      <c r="S504" s="44"/>
      <c r="T504" s="44"/>
    </row>
    <row r="505" spans="4:20" ht="13" x14ac:dyDescent="0.15">
      <c r="D505" s="45"/>
      <c r="R505" s="44"/>
      <c r="S505" s="44"/>
      <c r="T505" s="44"/>
    </row>
    <row r="506" spans="4:20" ht="13" x14ac:dyDescent="0.15">
      <c r="D506" s="45"/>
      <c r="R506" s="44"/>
      <c r="S506" s="44"/>
      <c r="T506" s="44"/>
    </row>
    <row r="507" spans="4:20" ht="13" x14ac:dyDescent="0.15">
      <c r="D507" s="45"/>
      <c r="R507" s="44"/>
      <c r="S507" s="44"/>
      <c r="T507" s="44"/>
    </row>
    <row r="508" spans="4:20" ht="13" x14ac:dyDescent="0.15">
      <c r="D508" s="45"/>
      <c r="R508" s="44"/>
      <c r="S508" s="44"/>
      <c r="T508" s="44"/>
    </row>
    <row r="509" spans="4:20" ht="13" x14ac:dyDescent="0.15">
      <c r="D509" s="45"/>
      <c r="R509" s="44"/>
      <c r="S509" s="44"/>
      <c r="T509" s="44"/>
    </row>
    <row r="510" spans="4:20" ht="13" x14ac:dyDescent="0.15">
      <c r="D510" s="45"/>
      <c r="R510" s="44"/>
      <c r="S510" s="44"/>
      <c r="T510" s="44"/>
    </row>
    <row r="511" spans="4:20" ht="13" x14ac:dyDescent="0.15">
      <c r="D511" s="45"/>
      <c r="R511" s="44"/>
      <c r="S511" s="44"/>
      <c r="T511" s="44"/>
    </row>
    <row r="512" spans="4:20" ht="13" x14ac:dyDescent="0.15">
      <c r="D512" s="45"/>
      <c r="R512" s="44"/>
      <c r="S512" s="44"/>
      <c r="T512" s="44"/>
    </row>
    <row r="513" spans="4:20" ht="13" x14ac:dyDescent="0.15">
      <c r="D513" s="45"/>
      <c r="R513" s="44"/>
      <c r="S513" s="44"/>
      <c r="T513" s="44"/>
    </row>
    <row r="514" spans="4:20" ht="13" x14ac:dyDescent="0.15">
      <c r="D514" s="45"/>
      <c r="R514" s="44"/>
      <c r="S514" s="44"/>
      <c r="T514" s="44"/>
    </row>
    <row r="515" spans="4:20" ht="13" x14ac:dyDescent="0.15">
      <c r="D515" s="45"/>
      <c r="R515" s="44"/>
      <c r="S515" s="44"/>
      <c r="T515" s="44"/>
    </row>
    <row r="516" spans="4:20" ht="13" x14ac:dyDescent="0.15">
      <c r="D516" s="45"/>
      <c r="R516" s="44"/>
      <c r="S516" s="44"/>
      <c r="T516" s="44"/>
    </row>
    <row r="517" spans="4:20" ht="13" x14ac:dyDescent="0.15">
      <c r="D517" s="45"/>
      <c r="R517" s="44"/>
      <c r="S517" s="44"/>
      <c r="T517" s="44"/>
    </row>
    <row r="518" spans="4:20" ht="13" x14ac:dyDescent="0.15">
      <c r="D518" s="45"/>
      <c r="R518" s="44"/>
      <c r="S518" s="44"/>
      <c r="T518" s="44"/>
    </row>
    <row r="519" spans="4:20" ht="13" x14ac:dyDescent="0.15">
      <c r="D519" s="45"/>
      <c r="R519" s="44"/>
      <c r="S519" s="44"/>
      <c r="T519" s="44"/>
    </row>
    <row r="520" spans="4:20" ht="13" x14ac:dyDescent="0.15">
      <c r="D520" s="45"/>
      <c r="R520" s="44"/>
      <c r="S520" s="44"/>
      <c r="T520" s="44"/>
    </row>
    <row r="521" spans="4:20" ht="13" x14ac:dyDescent="0.15">
      <c r="D521" s="45"/>
      <c r="R521" s="44"/>
      <c r="S521" s="44"/>
      <c r="T521" s="44"/>
    </row>
    <row r="522" spans="4:20" ht="13" x14ac:dyDescent="0.15">
      <c r="D522" s="45"/>
      <c r="R522" s="44"/>
      <c r="S522" s="44"/>
      <c r="T522" s="44"/>
    </row>
    <row r="523" spans="4:20" ht="13" x14ac:dyDescent="0.15">
      <c r="D523" s="45"/>
      <c r="R523" s="44"/>
      <c r="S523" s="44"/>
      <c r="T523" s="44"/>
    </row>
    <row r="524" spans="4:20" ht="13" x14ac:dyDescent="0.15">
      <c r="D524" s="45"/>
      <c r="R524" s="44"/>
      <c r="S524" s="44"/>
      <c r="T524" s="44"/>
    </row>
    <row r="525" spans="4:20" ht="13" x14ac:dyDescent="0.15">
      <c r="D525" s="45"/>
      <c r="R525" s="44"/>
      <c r="S525" s="44"/>
      <c r="T525" s="44"/>
    </row>
    <row r="526" spans="4:20" ht="13" x14ac:dyDescent="0.15">
      <c r="D526" s="45"/>
      <c r="R526" s="44"/>
      <c r="S526" s="44"/>
      <c r="T526" s="44"/>
    </row>
    <row r="527" spans="4:20" ht="13" x14ac:dyDescent="0.15">
      <c r="D527" s="45"/>
      <c r="R527" s="44"/>
      <c r="S527" s="44"/>
      <c r="T527" s="44"/>
    </row>
    <row r="528" spans="4:20" ht="13" x14ac:dyDescent="0.15">
      <c r="D528" s="45"/>
      <c r="R528" s="44"/>
      <c r="S528" s="44"/>
      <c r="T528" s="44"/>
    </row>
    <row r="529" spans="4:20" ht="13" x14ac:dyDescent="0.15">
      <c r="D529" s="45"/>
      <c r="R529" s="44"/>
      <c r="S529" s="44"/>
      <c r="T529" s="44"/>
    </row>
    <row r="530" spans="4:20" ht="13" x14ac:dyDescent="0.15">
      <c r="D530" s="45"/>
      <c r="R530" s="44"/>
      <c r="S530" s="44"/>
      <c r="T530" s="44"/>
    </row>
    <row r="531" spans="4:20" ht="13" x14ac:dyDescent="0.15">
      <c r="D531" s="45"/>
      <c r="R531" s="44"/>
      <c r="S531" s="44"/>
      <c r="T531" s="44"/>
    </row>
    <row r="532" spans="4:20" ht="13" x14ac:dyDescent="0.15">
      <c r="D532" s="45"/>
      <c r="R532" s="44"/>
      <c r="S532" s="44"/>
      <c r="T532" s="44"/>
    </row>
    <row r="533" spans="4:20" ht="13" x14ac:dyDescent="0.15">
      <c r="D533" s="45"/>
      <c r="R533" s="44"/>
      <c r="S533" s="44"/>
      <c r="T533" s="44"/>
    </row>
    <row r="534" spans="4:20" ht="13" x14ac:dyDescent="0.15">
      <c r="D534" s="45"/>
      <c r="R534" s="44"/>
      <c r="S534" s="44"/>
      <c r="T534" s="44"/>
    </row>
    <row r="535" spans="4:20" ht="13" x14ac:dyDescent="0.15">
      <c r="D535" s="45"/>
      <c r="R535" s="44"/>
      <c r="S535" s="44"/>
      <c r="T535" s="44"/>
    </row>
    <row r="536" spans="4:20" ht="13" x14ac:dyDescent="0.15">
      <c r="D536" s="45"/>
      <c r="R536" s="44"/>
      <c r="S536" s="44"/>
      <c r="T536" s="44"/>
    </row>
    <row r="537" spans="4:20" ht="13" x14ac:dyDescent="0.15">
      <c r="D537" s="45"/>
      <c r="R537" s="44"/>
      <c r="S537" s="44"/>
      <c r="T537" s="44"/>
    </row>
    <row r="538" spans="4:20" ht="13" x14ac:dyDescent="0.15">
      <c r="D538" s="45"/>
      <c r="R538" s="44"/>
      <c r="S538" s="44"/>
      <c r="T538" s="44"/>
    </row>
    <row r="539" spans="4:20" ht="13" x14ac:dyDescent="0.15">
      <c r="D539" s="45"/>
      <c r="R539" s="44"/>
      <c r="S539" s="44"/>
      <c r="T539" s="44"/>
    </row>
    <row r="540" spans="4:20" ht="13" x14ac:dyDescent="0.15">
      <c r="D540" s="45"/>
      <c r="R540" s="44"/>
      <c r="S540" s="44"/>
      <c r="T540" s="44"/>
    </row>
    <row r="541" spans="4:20" ht="13" x14ac:dyDescent="0.15">
      <c r="D541" s="45"/>
      <c r="R541" s="44"/>
      <c r="S541" s="44"/>
      <c r="T541" s="44"/>
    </row>
    <row r="542" spans="4:20" ht="13" x14ac:dyDescent="0.15">
      <c r="D542" s="45"/>
      <c r="R542" s="44"/>
      <c r="S542" s="44"/>
      <c r="T542" s="44"/>
    </row>
    <row r="543" spans="4:20" ht="13" x14ac:dyDescent="0.15">
      <c r="D543" s="45"/>
      <c r="R543" s="44"/>
      <c r="S543" s="44"/>
      <c r="T543" s="44"/>
    </row>
    <row r="544" spans="4:20" ht="13" x14ac:dyDescent="0.15">
      <c r="D544" s="45"/>
      <c r="R544" s="44"/>
      <c r="S544" s="44"/>
      <c r="T544" s="44"/>
    </row>
    <row r="545" spans="4:20" ht="13" x14ac:dyDescent="0.15">
      <c r="D545" s="45"/>
      <c r="R545" s="44"/>
      <c r="S545" s="44"/>
      <c r="T545" s="44"/>
    </row>
    <row r="546" spans="4:20" ht="13" x14ac:dyDescent="0.15">
      <c r="D546" s="45"/>
      <c r="R546" s="44"/>
      <c r="S546" s="44"/>
      <c r="T546" s="44"/>
    </row>
    <row r="547" spans="4:20" ht="13" x14ac:dyDescent="0.15">
      <c r="D547" s="45"/>
      <c r="R547" s="44"/>
      <c r="S547" s="44"/>
      <c r="T547" s="44"/>
    </row>
    <row r="548" spans="4:20" ht="13" x14ac:dyDescent="0.15">
      <c r="D548" s="45"/>
      <c r="R548" s="44"/>
      <c r="S548" s="44"/>
      <c r="T548" s="44"/>
    </row>
    <row r="549" spans="4:20" ht="13" x14ac:dyDescent="0.15">
      <c r="D549" s="45"/>
      <c r="R549" s="44"/>
      <c r="S549" s="44"/>
      <c r="T549" s="44"/>
    </row>
    <row r="550" spans="4:20" ht="13" x14ac:dyDescent="0.15">
      <c r="D550" s="45"/>
      <c r="R550" s="44"/>
      <c r="S550" s="44"/>
      <c r="T550" s="44"/>
    </row>
    <row r="551" spans="4:20" ht="13" x14ac:dyDescent="0.15">
      <c r="D551" s="45"/>
      <c r="R551" s="44"/>
      <c r="S551" s="44"/>
      <c r="T551" s="44"/>
    </row>
    <row r="552" spans="4:20" ht="13" x14ac:dyDescent="0.15">
      <c r="D552" s="45"/>
      <c r="R552" s="44"/>
      <c r="S552" s="44"/>
      <c r="T552" s="44"/>
    </row>
    <row r="553" spans="4:20" ht="13" x14ac:dyDescent="0.15">
      <c r="D553" s="45"/>
      <c r="R553" s="44"/>
      <c r="S553" s="44"/>
      <c r="T553" s="44"/>
    </row>
    <row r="554" spans="4:20" ht="13" x14ac:dyDescent="0.15">
      <c r="D554" s="45"/>
      <c r="R554" s="44"/>
      <c r="S554" s="44"/>
      <c r="T554" s="44"/>
    </row>
    <row r="555" spans="4:20" ht="13" x14ac:dyDescent="0.15">
      <c r="D555" s="45"/>
      <c r="R555" s="44"/>
      <c r="S555" s="44"/>
      <c r="T555" s="44"/>
    </row>
    <row r="556" spans="4:20" ht="13" x14ac:dyDescent="0.15">
      <c r="D556" s="45"/>
      <c r="R556" s="44"/>
      <c r="S556" s="44"/>
      <c r="T556" s="44"/>
    </row>
    <row r="557" spans="4:20" ht="13" x14ac:dyDescent="0.15">
      <c r="D557" s="45"/>
      <c r="R557" s="44"/>
      <c r="S557" s="44"/>
      <c r="T557" s="44"/>
    </row>
    <row r="558" spans="4:20" ht="13" x14ac:dyDescent="0.15">
      <c r="D558" s="45"/>
      <c r="R558" s="44"/>
      <c r="S558" s="44"/>
      <c r="T558" s="44"/>
    </row>
    <row r="559" spans="4:20" ht="13" x14ac:dyDescent="0.15">
      <c r="D559" s="45"/>
      <c r="R559" s="44"/>
      <c r="S559" s="44"/>
      <c r="T559" s="44"/>
    </row>
    <row r="560" spans="4:20" ht="13" x14ac:dyDescent="0.15">
      <c r="D560" s="45"/>
      <c r="R560" s="44"/>
      <c r="S560" s="44"/>
      <c r="T560" s="44"/>
    </row>
    <row r="561" spans="4:20" ht="13" x14ac:dyDescent="0.15">
      <c r="D561" s="45"/>
      <c r="R561" s="44"/>
      <c r="S561" s="44"/>
      <c r="T561" s="44"/>
    </row>
    <row r="562" spans="4:20" ht="13" x14ac:dyDescent="0.15">
      <c r="D562" s="45"/>
      <c r="R562" s="44"/>
      <c r="S562" s="44"/>
      <c r="T562" s="44"/>
    </row>
    <row r="563" spans="4:20" ht="13" x14ac:dyDescent="0.15">
      <c r="D563" s="45"/>
      <c r="R563" s="44"/>
      <c r="S563" s="44"/>
      <c r="T563" s="44"/>
    </row>
    <row r="564" spans="4:20" ht="13" x14ac:dyDescent="0.15">
      <c r="D564" s="45"/>
      <c r="R564" s="44"/>
      <c r="S564" s="44"/>
      <c r="T564" s="44"/>
    </row>
    <row r="565" spans="4:20" ht="13" x14ac:dyDescent="0.15">
      <c r="D565" s="45"/>
      <c r="R565" s="44"/>
      <c r="S565" s="44"/>
      <c r="T565" s="44"/>
    </row>
    <row r="566" spans="4:20" ht="13" x14ac:dyDescent="0.15">
      <c r="D566" s="45"/>
      <c r="R566" s="44"/>
      <c r="S566" s="44"/>
      <c r="T566" s="44"/>
    </row>
    <row r="567" spans="4:20" ht="13" x14ac:dyDescent="0.15">
      <c r="D567" s="45"/>
      <c r="R567" s="44"/>
      <c r="S567" s="44"/>
      <c r="T567" s="44"/>
    </row>
    <row r="568" spans="4:20" ht="13" x14ac:dyDescent="0.15">
      <c r="D568" s="45"/>
      <c r="R568" s="44"/>
      <c r="S568" s="44"/>
      <c r="T568" s="44"/>
    </row>
    <row r="569" spans="4:20" ht="13" x14ac:dyDescent="0.15">
      <c r="D569" s="45"/>
      <c r="R569" s="44"/>
      <c r="S569" s="44"/>
      <c r="T569" s="44"/>
    </row>
    <row r="570" spans="4:20" ht="13" x14ac:dyDescent="0.15">
      <c r="D570" s="45"/>
      <c r="R570" s="44"/>
      <c r="S570" s="44"/>
      <c r="T570" s="44"/>
    </row>
    <row r="571" spans="4:20" ht="13" x14ac:dyDescent="0.15">
      <c r="D571" s="45"/>
      <c r="R571" s="44"/>
      <c r="S571" s="44"/>
      <c r="T571" s="44"/>
    </row>
    <row r="572" spans="4:20" ht="13" x14ac:dyDescent="0.15">
      <c r="D572" s="45"/>
      <c r="R572" s="44"/>
      <c r="S572" s="44"/>
      <c r="T572" s="44"/>
    </row>
    <row r="573" spans="4:20" ht="13" x14ac:dyDescent="0.15">
      <c r="D573" s="45"/>
      <c r="R573" s="44"/>
      <c r="S573" s="44"/>
      <c r="T573" s="44"/>
    </row>
    <row r="574" spans="4:20" ht="13" x14ac:dyDescent="0.15">
      <c r="D574" s="45"/>
      <c r="R574" s="44"/>
      <c r="S574" s="44"/>
      <c r="T574" s="44"/>
    </row>
    <row r="575" spans="4:20" ht="13" x14ac:dyDescent="0.15">
      <c r="D575" s="45"/>
      <c r="R575" s="44"/>
      <c r="S575" s="44"/>
      <c r="T575" s="44"/>
    </row>
    <row r="576" spans="4:20" ht="13" x14ac:dyDescent="0.15">
      <c r="D576" s="45"/>
      <c r="R576" s="44"/>
      <c r="S576" s="44"/>
      <c r="T576" s="44"/>
    </row>
    <row r="577" spans="4:20" ht="13" x14ac:dyDescent="0.15">
      <c r="D577" s="45"/>
      <c r="R577" s="44"/>
      <c r="S577" s="44"/>
      <c r="T577" s="44"/>
    </row>
    <row r="578" spans="4:20" ht="13" x14ac:dyDescent="0.15">
      <c r="D578" s="45"/>
      <c r="R578" s="44"/>
      <c r="S578" s="44"/>
      <c r="T578" s="44"/>
    </row>
    <row r="579" spans="4:20" ht="13" x14ac:dyDescent="0.15">
      <c r="D579" s="45"/>
      <c r="R579" s="44"/>
      <c r="S579" s="44"/>
      <c r="T579" s="44"/>
    </row>
    <row r="580" spans="4:20" ht="13" x14ac:dyDescent="0.15">
      <c r="D580" s="45"/>
      <c r="R580" s="44"/>
      <c r="S580" s="44"/>
      <c r="T580" s="44"/>
    </row>
    <row r="581" spans="4:20" ht="13" x14ac:dyDescent="0.15">
      <c r="D581" s="45"/>
      <c r="R581" s="44"/>
      <c r="S581" s="44"/>
      <c r="T581" s="44"/>
    </row>
    <row r="582" spans="4:20" ht="13" x14ac:dyDescent="0.15">
      <c r="D582" s="45"/>
      <c r="R582" s="44"/>
      <c r="S582" s="44"/>
      <c r="T582" s="44"/>
    </row>
    <row r="583" spans="4:20" ht="13" x14ac:dyDescent="0.15">
      <c r="D583" s="45"/>
      <c r="R583" s="44"/>
      <c r="S583" s="44"/>
      <c r="T583" s="44"/>
    </row>
    <row r="584" spans="4:20" ht="13" x14ac:dyDescent="0.15">
      <c r="D584" s="45"/>
      <c r="R584" s="44"/>
      <c r="S584" s="44"/>
      <c r="T584" s="44"/>
    </row>
    <row r="585" spans="4:20" ht="13" x14ac:dyDescent="0.15">
      <c r="D585" s="45"/>
      <c r="R585" s="44"/>
      <c r="S585" s="44"/>
      <c r="T585" s="44"/>
    </row>
    <row r="586" spans="4:20" ht="13" x14ac:dyDescent="0.15">
      <c r="D586" s="45"/>
      <c r="R586" s="44"/>
      <c r="S586" s="44"/>
      <c r="T586" s="44"/>
    </row>
    <row r="587" spans="4:20" ht="13" x14ac:dyDescent="0.15">
      <c r="D587" s="45"/>
      <c r="R587" s="44"/>
      <c r="S587" s="44"/>
      <c r="T587" s="44"/>
    </row>
    <row r="588" spans="4:20" ht="13" x14ac:dyDescent="0.15">
      <c r="D588" s="45"/>
      <c r="R588" s="44"/>
      <c r="S588" s="44"/>
      <c r="T588" s="44"/>
    </row>
    <row r="589" spans="4:20" ht="13" x14ac:dyDescent="0.15">
      <c r="D589" s="45"/>
      <c r="R589" s="44"/>
      <c r="S589" s="44"/>
      <c r="T589" s="44"/>
    </row>
    <row r="590" spans="4:20" ht="13" x14ac:dyDescent="0.15">
      <c r="D590" s="45"/>
      <c r="R590" s="44"/>
      <c r="S590" s="44"/>
      <c r="T590" s="44"/>
    </row>
    <row r="591" spans="4:20" ht="13" x14ac:dyDescent="0.15">
      <c r="D591" s="45"/>
      <c r="R591" s="44"/>
      <c r="S591" s="44"/>
      <c r="T591" s="44"/>
    </row>
    <row r="592" spans="4:20" ht="13" x14ac:dyDescent="0.15">
      <c r="D592" s="45"/>
      <c r="R592" s="44"/>
      <c r="S592" s="44"/>
      <c r="T592" s="44"/>
    </row>
    <row r="593" spans="4:20" ht="13" x14ac:dyDescent="0.15">
      <c r="D593" s="45"/>
      <c r="R593" s="44"/>
      <c r="S593" s="44"/>
      <c r="T593" s="44"/>
    </row>
    <row r="594" spans="4:20" ht="13" x14ac:dyDescent="0.15">
      <c r="D594" s="45"/>
      <c r="R594" s="44"/>
      <c r="S594" s="44"/>
      <c r="T594" s="44"/>
    </row>
    <row r="595" spans="4:20" ht="13" x14ac:dyDescent="0.15">
      <c r="D595" s="45"/>
      <c r="R595" s="44"/>
      <c r="S595" s="44"/>
      <c r="T595" s="44"/>
    </row>
    <row r="596" spans="4:20" ht="13" x14ac:dyDescent="0.15">
      <c r="D596" s="45"/>
      <c r="R596" s="44"/>
      <c r="S596" s="44"/>
      <c r="T596" s="44"/>
    </row>
    <row r="597" spans="4:20" ht="13" x14ac:dyDescent="0.15">
      <c r="D597" s="45"/>
      <c r="R597" s="44"/>
      <c r="S597" s="44"/>
      <c r="T597" s="44"/>
    </row>
    <row r="598" spans="4:20" ht="13" x14ac:dyDescent="0.15">
      <c r="D598" s="45"/>
      <c r="R598" s="44"/>
      <c r="S598" s="44"/>
      <c r="T598" s="44"/>
    </row>
    <row r="599" spans="4:20" ht="13" x14ac:dyDescent="0.15">
      <c r="D599" s="45"/>
      <c r="R599" s="44"/>
      <c r="S599" s="44"/>
      <c r="T599" s="44"/>
    </row>
    <row r="600" spans="4:20" ht="13" x14ac:dyDescent="0.15">
      <c r="D600" s="45"/>
      <c r="R600" s="44"/>
      <c r="S600" s="44"/>
      <c r="T600" s="44"/>
    </row>
    <row r="601" spans="4:20" ht="13" x14ac:dyDescent="0.15">
      <c r="D601" s="45"/>
      <c r="R601" s="44"/>
      <c r="S601" s="44"/>
      <c r="T601" s="44"/>
    </row>
    <row r="602" spans="4:20" ht="13" x14ac:dyDescent="0.15">
      <c r="D602" s="45"/>
      <c r="R602" s="44"/>
      <c r="S602" s="44"/>
      <c r="T602" s="44"/>
    </row>
    <row r="603" spans="4:20" ht="13" x14ac:dyDescent="0.15">
      <c r="D603" s="45"/>
      <c r="R603" s="44"/>
      <c r="S603" s="44"/>
      <c r="T603" s="44"/>
    </row>
    <row r="604" spans="4:20" ht="13" x14ac:dyDescent="0.15">
      <c r="D604" s="45"/>
      <c r="R604" s="44"/>
      <c r="S604" s="44"/>
      <c r="T604" s="44"/>
    </row>
    <row r="605" spans="4:20" ht="13" x14ac:dyDescent="0.15">
      <c r="D605" s="45"/>
      <c r="R605" s="44"/>
      <c r="S605" s="44"/>
      <c r="T605" s="44"/>
    </row>
    <row r="606" spans="4:20" ht="13" x14ac:dyDescent="0.15">
      <c r="D606" s="45"/>
      <c r="R606" s="44"/>
      <c r="S606" s="44"/>
      <c r="T606" s="44"/>
    </row>
    <row r="607" spans="4:20" ht="13" x14ac:dyDescent="0.15">
      <c r="D607" s="45"/>
      <c r="R607" s="44"/>
      <c r="S607" s="44"/>
      <c r="T607" s="44"/>
    </row>
    <row r="608" spans="4:20" ht="13" x14ac:dyDescent="0.15">
      <c r="D608" s="45"/>
      <c r="R608" s="44"/>
      <c r="S608" s="44"/>
      <c r="T608" s="44"/>
    </row>
    <row r="609" spans="4:20" ht="13" x14ac:dyDescent="0.15">
      <c r="D609" s="45"/>
      <c r="R609" s="44"/>
      <c r="S609" s="44"/>
      <c r="T609" s="44"/>
    </row>
    <row r="610" spans="4:20" ht="13" x14ac:dyDescent="0.15">
      <c r="D610" s="45"/>
      <c r="R610" s="44"/>
      <c r="S610" s="44"/>
      <c r="T610" s="44"/>
    </row>
    <row r="611" spans="4:20" ht="13" x14ac:dyDescent="0.15">
      <c r="D611" s="45"/>
      <c r="R611" s="44"/>
      <c r="S611" s="44"/>
      <c r="T611" s="44"/>
    </row>
    <row r="612" spans="4:20" ht="13" x14ac:dyDescent="0.15">
      <c r="D612" s="45"/>
      <c r="R612" s="44"/>
      <c r="S612" s="44"/>
      <c r="T612" s="44"/>
    </row>
    <row r="613" spans="4:20" ht="13" x14ac:dyDescent="0.15">
      <c r="D613" s="45"/>
      <c r="R613" s="44"/>
      <c r="S613" s="44"/>
      <c r="T613" s="44"/>
    </row>
    <row r="614" spans="4:20" ht="13" x14ac:dyDescent="0.15">
      <c r="D614" s="45"/>
      <c r="R614" s="44"/>
      <c r="S614" s="44"/>
      <c r="T614" s="44"/>
    </row>
    <row r="615" spans="4:20" ht="13" x14ac:dyDescent="0.15">
      <c r="D615" s="45"/>
      <c r="R615" s="44"/>
      <c r="S615" s="44"/>
      <c r="T615" s="44"/>
    </row>
    <row r="616" spans="4:20" ht="13" x14ac:dyDescent="0.15">
      <c r="D616" s="45"/>
      <c r="R616" s="44"/>
      <c r="S616" s="44"/>
      <c r="T616" s="44"/>
    </row>
    <row r="617" spans="4:20" ht="13" x14ac:dyDescent="0.15">
      <c r="D617" s="45"/>
      <c r="R617" s="44"/>
      <c r="S617" s="44"/>
      <c r="T617" s="44"/>
    </row>
    <row r="618" spans="4:20" ht="13" x14ac:dyDescent="0.15">
      <c r="D618" s="45"/>
      <c r="R618" s="44"/>
      <c r="S618" s="44"/>
      <c r="T618" s="44"/>
    </row>
    <row r="619" spans="4:20" ht="13" x14ac:dyDescent="0.15">
      <c r="D619" s="45"/>
      <c r="R619" s="44"/>
      <c r="S619" s="44"/>
      <c r="T619" s="44"/>
    </row>
    <row r="620" spans="4:20" ht="13" x14ac:dyDescent="0.15">
      <c r="D620" s="45"/>
      <c r="R620" s="44"/>
      <c r="S620" s="44"/>
      <c r="T620" s="44"/>
    </row>
    <row r="621" spans="4:20" ht="13" x14ac:dyDescent="0.15">
      <c r="D621" s="45"/>
      <c r="R621" s="44"/>
      <c r="S621" s="44"/>
      <c r="T621" s="44"/>
    </row>
    <row r="622" spans="4:20" ht="13" x14ac:dyDescent="0.15">
      <c r="D622" s="45"/>
      <c r="R622" s="44"/>
      <c r="S622" s="44"/>
      <c r="T622" s="44"/>
    </row>
    <row r="623" spans="4:20" ht="13" x14ac:dyDescent="0.15">
      <c r="D623" s="45"/>
      <c r="R623" s="44"/>
      <c r="S623" s="44"/>
      <c r="T623" s="44"/>
    </row>
    <row r="624" spans="4:20" ht="13" x14ac:dyDescent="0.15">
      <c r="D624" s="45"/>
      <c r="R624" s="44"/>
      <c r="S624" s="44"/>
      <c r="T624" s="44"/>
    </row>
    <row r="625" spans="4:20" ht="13" x14ac:dyDescent="0.15">
      <c r="D625" s="45"/>
      <c r="R625" s="44"/>
      <c r="S625" s="44"/>
      <c r="T625" s="44"/>
    </row>
    <row r="626" spans="4:20" ht="13" x14ac:dyDescent="0.15">
      <c r="D626" s="45"/>
      <c r="R626" s="44"/>
      <c r="S626" s="44"/>
      <c r="T626" s="44"/>
    </row>
    <row r="627" spans="4:20" ht="13" x14ac:dyDescent="0.15">
      <c r="D627" s="45"/>
      <c r="R627" s="44"/>
      <c r="S627" s="44"/>
      <c r="T627" s="44"/>
    </row>
    <row r="628" spans="4:20" ht="13" x14ac:dyDescent="0.15">
      <c r="D628" s="45"/>
      <c r="R628" s="44"/>
      <c r="S628" s="44"/>
      <c r="T628" s="44"/>
    </row>
    <row r="629" spans="4:20" ht="13" x14ac:dyDescent="0.15">
      <c r="D629" s="45"/>
      <c r="R629" s="44"/>
      <c r="S629" s="44"/>
      <c r="T629" s="44"/>
    </row>
    <row r="630" spans="4:20" ht="13" x14ac:dyDescent="0.15">
      <c r="D630" s="45"/>
      <c r="R630" s="44"/>
      <c r="S630" s="44"/>
      <c r="T630" s="44"/>
    </row>
    <row r="631" spans="4:20" ht="13" x14ac:dyDescent="0.15">
      <c r="D631" s="45"/>
      <c r="R631" s="44"/>
      <c r="S631" s="44"/>
      <c r="T631" s="44"/>
    </row>
    <row r="632" spans="4:20" ht="13" x14ac:dyDescent="0.15">
      <c r="D632" s="45"/>
      <c r="R632" s="44"/>
      <c r="S632" s="44"/>
      <c r="T632" s="44"/>
    </row>
    <row r="633" spans="4:20" ht="13" x14ac:dyDescent="0.15">
      <c r="D633" s="45"/>
      <c r="R633" s="44"/>
      <c r="S633" s="44"/>
      <c r="T633" s="44"/>
    </row>
    <row r="634" spans="4:20" ht="13" x14ac:dyDescent="0.15">
      <c r="D634" s="45"/>
      <c r="R634" s="44"/>
      <c r="S634" s="44"/>
      <c r="T634" s="44"/>
    </row>
    <row r="635" spans="4:20" ht="13" x14ac:dyDescent="0.15">
      <c r="D635" s="45"/>
      <c r="R635" s="44"/>
      <c r="S635" s="44"/>
      <c r="T635" s="44"/>
    </row>
    <row r="636" spans="4:20" ht="13" x14ac:dyDescent="0.15">
      <c r="D636" s="45"/>
      <c r="R636" s="44"/>
      <c r="S636" s="44"/>
      <c r="T636" s="44"/>
    </row>
    <row r="637" spans="4:20" ht="13" x14ac:dyDescent="0.15">
      <c r="D637" s="45"/>
      <c r="R637" s="44"/>
      <c r="S637" s="44"/>
      <c r="T637" s="44"/>
    </row>
    <row r="638" spans="4:20" ht="13" x14ac:dyDescent="0.15">
      <c r="D638" s="45"/>
      <c r="R638" s="44"/>
      <c r="S638" s="44"/>
      <c r="T638" s="44"/>
    </row>
    <row r="639" spans="4:20" ht="13" x14ac:dyDescent="0.15">
      <c r="D639" s="45"/>
      <c r="R639" s="44"/>
      <c r="S639" s="44"/>
      <c r="T639" s="44"/>
    </row>
    <row r="640" spans="4:20" ht="13" x14ac:dyDescent="0.15">
      <c r="D640" s="45"/>
      <c r="R640" s="44"/>
      <c r="S640" s="44"/>
      <c r="T640" s="44"/>
    </row>
    <row r="641" spans="4:20" ht="13" x14ac:dyDescent="0.15">
      <c r="D641" s="45"/>
      <c r="R641" s="44"/>
      <c r="S641" s="44"/>
      <c r="T641" s="44"/>
    </row>
    <row r="642" spans="4:20" ht="13" x14ac:dyDescent="0.15">
      <c r="D642" s="45"/>
      <c r="R642" s="44"/>
      <c r="S642" s="44"/>
      <c r="T642" s="44"/>
    </row>
    <row r="643" spans="4:20" ht="13" x14ac:dyDescent="0.15">
      <c r="D643" s="45"/>
      <c r="R643" s="44"/>
      <c r="S643" s="44"/>
      <c r="T643" s="44"/>
    </row>
    <row r="644" spans="4:20" ht="13" x14ac:dyDescent="0.15">
      <c r="D644" s="45"/>
      <c r="R644" s="44"/>
      <c r="S644" s="44"/>
      <c r="T644" s="44"/>
    </row>
    <row r="645" spans="4:20" ht="13" x14ac:dyDescent="0.15">
      <c r="D645" s="45"/>
      <c r="R645" s="44"/>
      <c r="S645" s="44"/>
      <c r="T645" s="44"/>
    </row>
    <row r="646" spans="4:20" ht="13" x14ac:dyDescent="0.15">
      <c r="D646" s="45"/>
      <c r="R646" s="44"/>
      <c r="S646" s="44"/>
      <c r="T646" s="44"/>
    </row>
    <row r="647" spans="4:20" ht="13" x14ac:dyDescent="0.15">
      <c r="D647" s="45"/>
      <c r="R647" s="44"/>
      <c r="S647" s="44"/>
      <c r="T647" s="44"/>
    </row>
    <row r="648" spans="4:20" ht="13" x14ac:dyDescent="0.15">
      <c r="D648" s="45"/>
      <c r="R648" s="44"/>
      <c r="S648" s="44"/>
      <c r="T648" s="44"/>
    </row>
    <row r="649" spans="4:20" ht="13" x14ac:dyDescent="0.15">
      <c r="D649" s="45"/>
      <c r="R649" s="44"/>
      <c r="S649" s="44"/>
      <c r="T649" s="44"/>
    </row>
    <row r="650" spans="4:20" ht="13" x14ac:dyDescent="0.15">
      <c r="D650" s="45"/>
      <c r="R650" s="44"/>
      <c r="S650" s="44"/>
      <c r="T650" s="44"/>
    </row>
    <row r="651" spans="4:20" ht="13" x14ac:dyDescent="0.15">
      <c r="D651" s="45"/>
      <c r="R651" s="44"/>
      <c r="S651" s="44"/>
      <c r="T651" s="44"/>
    </row>
    <row r="652" spans="4:20" ht="13" x14ac:dyDescent="0.15">
      <c r="D652" s="45"/>
      <c r="R652" s="44"/>
      <c r="S652" s="44"/>
      <c r="T652" s="44"/>
    </row>
    <row r="653" spans="4:20" ht="13" x14ac:dyDescent="0.15">
      <c r="D653" s="45"/>
      <c r="R653" s="44"/>
      <c r="S653" s="44"/>
      <c r="T653" s="44"/>
    </row>
    <row r="654" spans="4:20" ht="13" x14ac:dyDescent="0.15">
      <c r="D654" s="45"/>
      <c r="R654" s="44"/>
      <c r="S654" s="44"/>
      <c r="T654" s="44"/>
    </row>
    <row r="655" spans="4:20" ht="13" x14ac:dyDescent="0.15">
      <c r="D655" s="45"/>
      <c r="R655" s="44"/>
      <c r="S655" s="44"/>
      <c r="T655" s="44"/>
    </row>
    <row r="656" spans="4:20" ht="13" x14ac:dyDescent="0.15">
      <c r="D656" s="45"/>
      <c r="R656" s="44"/>
      <c r="S656" s="44"/>
      <c r="T656" s="44"/>
    </row>
    <row r="657" spans="4:20" ht="13" x14ac:dyDescent="0.15">
      <c r="D657" s="45"/>
      <c r="R657" s="44"/>
      <c r="S657" s="44"/>
      <c r="T657" s="44"/>
    </row>
    <row r="658" spans="4:20" ht="13" x14ac:dyDescent="0.15">
      <c r="D658" s="45"/>
      <c r="R658" s="44"/>
      <c r="S658" s="44"/>
      <c r="T658" s="44"/>
    </row>
    <row r="659" spans="4:20" ht="13" x14ac:dyDescent="0.15">
      <c r="D659" s="45"/>
      <c r="R659" s="44"/>
      <c r="S659" s="44"/>
      <c r="T659" s="44"/>
    </row>
    <row r="660" spans="4:20" ht="13" x14ac:dyDescent="0.15">
      <c r="D660" s="45"/>
      <c r="R660" s="44"/>
      <c r="S660" s="44"/>
      <c r="T660" s="44"/>
    </row>
    <row r="661" spans="4:20" ht="13" x14ac:dyDescent="0.15">
      <c r="D661" s="45"/>
      <c r="R661" s="44"/>
      <c r="S661" s="44"/>
      <c r="T661" s="44"/>
    </row>
    <row r="662" spans="4:20" ht="13" x14ac:dyDescent="0.15">
      <c r="D662" s="45"/>
      <c r="R662" s="44"/>
      <c r="S662" s="44"/>
      <c r="T662" s="44"/>
    </row>
    <row r="663" spans="4:20" ht="13" x14ac:dyDescent="0.15">
      <c r="D663" s="45"/>
      <c r="R663" s="44"/>
      <c r="S663" s="44"/>
      <c r="T663" s="44"/>
    </row>
    <row r="664" spans="4:20" ht="13" x14ac:dyDescent="0.15">
      <c r="D664" s="45"/>
      <c r="R664" s="44"/>
      <c r="S664" s="44"/>
      <c r="T664" s="44"/>
    </row>
    <row r="665" spans="4:20" ht="13" x14ac:dyDescent="0.15">
      <c r="D665" s="45"/>
      <c r="R665" s="44"/>
      <c r="S665" s="44"/>
      <c r="T665" s="44"/>
    </row>
    <row r="666" spans="4:20" ht="13" x14ac:dyDescent="0.15">
      <c r="D666" s="45"/>
      <c r="R666" s="44"/>
      <c r="S666" s="44"/>
      <c r="T666" s="44"/>
    </row>
    <row r="667" spans="4:20" ht="13" x14ac:dyDescent="0.15">
      <c r="D667" s="45"/>
      <c r="R667" s="44"/>
      <c r="S667" s="44"/>
      <c r="T667" s="44"/>
    </row>
    <row r="668" spans="4:20" ht="13" x14ac:dyDescent="0.15">
      <c r="D668" s="45"/>
      <c r="R668" s="44"/>
      <c r="S668" s="44"/>
      <c r="T668" s="44"/>
    </row>
    <row r="669" spans="4:20" ht="13" x14ac:dyDescent="0.15">
      <c r="D669" s="45"/>
      <c r="R669" s="44"/>
      <c r="S669" s="44"/>
      <c r="T669" s="44"/>
    </row>
    <row r="670" spans="4:20" ht="13" x14ac:dyDescent="0.15">
      <c r="D670" s="45"/>
      <c r="R670" s="44"/>
      <c r="S670" s="44"/>
      <c r="T670" s="44"/>
    </row>
    <row r="671" spans="4:20" ht="13" x14ac:dyDescent="0.15">
      <c r="D671" s="45"/>
      <c r="R671" s="44"/>
      <c r="S671" s="44"/>
      <c r="T671" s="44"/>
    </row>
    <row r="672" spans="4:20" ht="13" x14ac:dyDescent="0.15">
      <c r="D672" s="45"/>
      <c r="R672" s="44"/>
      <c r="S672" s="44"/>
      <c r="T672" s="44"/>
    </row>
    <row r="673" spans="4:20" ht="13" x14ac:dyDescent="0.15">
      <c r="D673" s="45"/>
      <c r="R673" s="44"/>
      <c r="S673" s="44"/>
      <c r="T673" s="44"/>
    </row>
    <row r="674" spans="4:20" ht="13" x14ac:dyDescent="0.15">
      <c r="D674" s="45"/>
      <c r="R674" s="44"/>
      <c r="S674" s="44"/>
      <c r="T674" s="44"/>
    </row>
    <row r="675" spans="4:20" ht="13" x14ac:dyDescent="0.15">
      <c r="D675" s="45"/>
      <c r="R675" s="44"/>
      <c r="S675" s="44"/>
      <c r="T675" s="44"/>
    </row>
    <row r="676" spans="4:20" ht="13" x14ac:dyDescent="0.15">
      <c r="D676" s="45"/>
      <c r="R676" s="44"/>
      <c r="S676" s="44"/>
      <c r="T676" s="44"/>
    </row>
    <row r="677" spans="4:20" ht="13" x14ac:dyDescent="0.15">
      <c r="D677" s="45"/>
      <c r="R677" s="44"/>
      <c r="S677" s="44"/>
      <c r="T677" s="44"/>
    </row>
    <row r="678" spans="4:20" ht="13" x14ac:dyDescent="0.15">
      <c r="D678" s="45"/>
      <c r="R678" s="44"/>
      <c r="S678" s="44"/>
      <c r="T678" s="44"/>
    </row>
    <row r="679" spans="4:20" ht="13" x14ac:dyDescent="0.15">
      <c r="D679" s="45"/>
      <c r="R679" s="44"/>
      <c r="S679" s="44"/>
      <c r="T679" s="44"/>
    </row>
    <row r="680" spans="4:20" ht="13" x14ac:dyDescent="0.15">
      <c r="D680" s="45"/>
      <c r="R680" s="44"/>
      <c r="S680" s="44"/>
      <c r="T680" s="44"/>
    </row>
    <row r="681" spans="4:20" ht="13" x14ac:dyDescent="0.15">
      <c r="D681" s="45"/>
      <c r="R681" s="44"/>
      <c r="S681" s="44"/>
      <c r="T681" s="44"/>
    </row>
    <row r="682" spans="4:20" ht="13" x14ac:dyDescent="0.15">
      <c r="D682" s="45"/>
      <c r="R682" s="44"/>
      <c r="S682" s="44"/>
      <c r="T682" s="44"/>
    </row>
    <row r="683" spans="4:20" ht="13" x14ac:dyDescent="0.15">
      <c r="D683" s="45"/>
      <c r="R683" s="44"/>
      <c r="S683" s="44"/>
      <c r="T683" s="44"/>
    </row>
    <row r="684" spans="4:20" ht="13" x14ac:dyDescent="0.15">
      <c r="D684" s="45"/>
      <c r="R684" s="44"/>
      <c r="S684" s="44"/>
      <c r="T684" s="44"/>
    </row>
    <row r="685" spans="4:20" ht="13" x14ac:dyDescent="0.15">
      <c r="D685" s="45"/>
      <c r="R685" s="44"/>
      <c r="S685" s="44"/>
      <c r="T685" s="44"/>
    </row>
    <row r="686" spans="4:20" ht="13" x14ac:dyDescent="0.15">
      <c r="D686" s="45"/>
      <c r="R686" s="44"/>
      <c r="S686" s="44"/>
      <c r="T686" s="44"/>
    </row>
    <row r="687" spans="4:20" ht="13" x14ac:dyDescent="0.15">
      <c r="D687" s="45"/>
      <c r="R687" s="44"/>
      <c r="S687" s="44"/>
      <c r="T687" s="44"/>
    </row>
    <row r="688" spans="4:20" ht="13" x14ac:dyDescent="0.15">
      <c r="D688" s="45"/>
      <c r="R688" s="44"/>
      <c r="S688" s="44"/>
      <c r="T688" s="44"/>
    </row>
    <row r="689" spans="4:20" ht="13" x14ac:dyDescent="0.15">
      <c r="D689" s="45"/>
      <c r="R689" s="44"/>
      <c r="S689" s="44"/>
      <c r="T689" s="44"/>
    </row>
    <row r="690" spans="4:20" ht="13" x14ac:dyDescent="0.15">
      <c r="D690" s="45"/>
      <c r="R690" s="44"/>
      <c r="S690" s="44"/>
      <c r="T690" s="44"/>
    </row>
    <row r="691" spans="4:20" ht="13" x14ac:dyDescent="0.15">
      <c r="D691" s="45"/>
      <c r="R691" s="44"/>
      <c r="S691" s="44"/>
      <c r="T691" s="44"/>
    </row>
    <row r="692" spans="4:20" ht="13" x14ac:dyDescent="0.15">
      <c r="D692" s="45"/>
      <c r="R692" s="44"/>
      <c r="S692" s="44"/>
      <c r="T692" s="44"/>
    </row>
    <row r="693" spans="4:20" ht="13" x14ac:dyDescent="0.15">
      <c r="D693" s="45"/>
      <c r="R693" s="44"/>
      <c r="S693" s="44"/>
      <c r="T693" s="44"/>
    </row>
    <row r="694" spans="4:20" ht="13" x14ac:dyDescent="0.15">
      <c r="D694" s="45"/>
      <c r="R694" s="44"/>
      <c r="S694" s="44"/>
      <c r="T694" s="44"/>
    </row>
    <row r="695" spans="4:20" ht="13" x14ac:dyDescent="0.15">
      <c r="D695" s="45"/>
      <c r="R695" s="44"/>
      <c r="S695" s="44"/>
      <c r="T695" s="44"/>
    </row>
    <row r="696" spans="4:20" ht="13" x14ac:dyDescent="0.15">
      <c r="D696" s="45"/>
      <c r="R696" s="44"/>
      <c r="S696" s="44"/>
      <c r="T696" s="44"/>
    </row>
    <row r="697" spans="4:20" ht="13" x14ac:dyDescent="0.15">
      <c r="D697" s="45"/>
      <c r="R697" s="44"/>
      <c r="S697" s="44"/>
      <c r="T697" s="44"/>
    </row>
    <row r="698" spans="4:20" ht="13" x14ac:dyDescent="0.15">
      <c r="D698" s="45"/>
      <c r="R698" s="44"/>
      <c r="S698" s="44"/>
      <c r="T698" s="44"/>
    </row>
    <row r="699" spans="4:20" ht="13" x14ac:dyDescent="0.15">
      <c r="D699" s="45"/>
      <c r="R699" s="44"/>
      <c r="S699" s="44"/>
      <c r="T699" s="44"/>
    </row>
    <row r="700" spans="4:20" ht="13" x14ac:dyDescent="0.15">
      <c r="D700" s="45"/>
      <c r="R700" s="44"/>
      <c r="S700" s="44"/>
      <c r="T700" s="44"/>
    </row>
    <row r="701" spans="4:20" ht="13" x14ac:dyDescent="0.15">
      <c r="D701" s="45"/>
      <c r="R701" s="44"/>
      <c r="S701" s="44"/>
      <c r="T701" s="44"/>
    </row>
    <row r="702" spans="4:20" ht="13" x14ac:dyDescent="0.15">
      <c r="D702" s="45"/>
      <c r="R702" s="44"/>
      <c r="S702" s="44"/>
      <c r="T702" s="44"/>
    </row>
    <row r="703" spans="4:20" ht="13" x14ac:dyDescent="0.15">
      <c r="D703" s="45"/>
      <c r="R703" s="44"/>
      <c r="S703" s="44"/>
      <c r="T703" s="44"/>
    </row>
    <row r="704" spans="4:20" ht="13" x14ac:dyDescent="0.15">
      <c r="D704" s="45"/>
      <c r="R704" s="44"/>
      <c r="S704" s="44"/>
      <c r="T704" s="44"/>
    </row>
    <row r="705" spans="4:20" ht="13" x14ac:dyDescent="0.15">
      <c r="D705" s="45"/>
      <c r="R705" s="44"/>
      <c r="S705" s="44"/>
      <c r="T705" s="44"/>
    </row>
    <row r="706" spans="4:20" ht="13" x14ac:dyDescent="0.15">
      <c r="D706" s="45"/>
      <c r="R706" s="44"/>
      <c r="S706" s="44"/>
      <c r="T706" s="44"/>
    </row>
    <row r="707" spans="4:20" ht="13" x14ac:dyDescent="0.15">
      <c r="D707" s="45"/>
      <c r="R707" s="44"/>
      <c r="S707" s="44"/>
      <c r="T707" s="44"/>
    </row>
    <row r="708" spans="4:20" ht="13" x14ac:dyDescent="0.15">
      <c r="D708" s="45"/>
      <c r="R708" s="44"/>
      <c r="S708" s="44"/>
      <c r="T708" s="44"/>
    </row>
    <row r="709" spans="4:20" ht="13" x14ac:dyDescent="0.15">
      <c r="D709" s="45"/>
      <c r="R709" s="44"/>
      <c r="S709" s="44"/>
      <c r="T709" s="44"/>
    </row>
    <row r="710" spans="4:20" ht="13" x14ac:dyDescent="0.15">
      <c r="D710" s="45"/>
      <c r="R710" s="44"/>
      <c r="S710" s="44"/>
      <c r="T710" s="44"/>
    </row>
    <row r="711" spans="4:20" ht="13" x14ac:dyDescent="0.15">
      <c r="D711" s="45"/>
      <c r="R711" s="44"/>
      <c r="S711" s="44"/>
      <c r="T711" s="44"/>
    </row>
    <row r="712" spans="4:20" ht="13" x14ac:dyDescent="0.15">
      <c r="D712" s="45"/>
      <c r="R712" s="44"/>
      <c r="S712" s="44"/>
      <c r="T712" s="44"/>
    </row>
    <row r="713" spans="4:20" ht="13" x14ac:dyDescent="0.15">
      <c r="D713" s="45"/>
      <c r="R713" s="44"/>
      <c r="S713" s="44"/>
      <c r="T713" s="44"/>
    </row>
    <row r="714" spans="4:20" ht="13" x14ac:dyDescent="0.15">
      <c r="D714" s="45"/>
      <c r="R714" s="44"/>
      <c r="S714" s="44"/>
      <c r="T714" s="44"/>
    </row>
    <row r="715" spans="4:20" ht="13" x14ac:dyDescent="0.15">
      <c r="D715" s="45"/>
      <c r="R715" s="44"/>
      <c r="S715" s="44"/>
      <c r="T715" s="44"/>
    </row>
    <row r="716" spans="4:20" ht="13" x14ac:dyDescent="0.15">
      <c r="D716" s="45"/>
      <c r="R716" s="44"/>
      <c r="S716" s="44"/>
      <c r="T716" s="44"/>
    </row>
    <row r="717" spans="4:20" ht="13" x14ac:dyDescent="0.15">
      <c r="D717" s="45"/>
      <c r="R717" s="44"/>
      <c r="S717" s="44"/>
      <c r="T717" s="44"/>
    </row>
    <row r="718" spans="4:20" ht="13" x14ac:dyDescent="0.15">
      <c r="D718" s="45"/>
      <c r="R718" s="44"/>
      <c r="S718" s="44"/>
      <c r="T718" s="44"/>
    </row>
    <row r="719" spans="4:20" ht="13" x14ac:dyDescent="0.15">
      <c r="D719" s="45"/>
      <c r="R719" s="44"/>
      <c r="S719" s="44"/>
      <c r="T719" s="44"/>
    </row>
    <row r="720" spans="4:20" ht="13" x14ac:dyDescent="0.15">
      <c r="D720" s="45"/>
      <c r="R720" s="44"/>
      <c r="S720" s="44"/>
      <c r="T720" s="44"/>
    </row>
    <row r="721" spans="4:20" ht="13" x14ac:dyDescent="0.15">
      <c r="D721" s="45"/>
      <c r="R721" s="44"/>
      <c r="S721" s="44"/>
      <c r="T721" s="44"/>
    </row>
    <row r="722" spans="4:20" ht="13" x14ac:dyDescent="0.15">
      <c r="D722" s="45"/>
      <c r="R722" s="44"/>
      <c r="S722" s="44"/>
      <c r="T722" s="44"/>
    </row>
    <row r="723" spans="4:20" ht="13" x14ac:dyDescent="0.15">
      <c r="D723" s="45"/>
      <c r="R723" s="44"/>
      <c r="S723" s="44"/>
      <c r="T723" s="44"/>
    </row>
    <row r="724" spans="4:20" ht="13" x14ac:dyDescent="0.15">
      <c r="D724" s="45"/>
      <c r="R724" s="44"/>
      <c r="S724" s="44"/>
      <c r="T724" s="44"/>
    </row>
    <row r="725" spans="4:20" ht="13" x14ac:dyDescent="0.15">
      <c r="D725" s="45"/>
      <c r="R725" s="44"/>
      <c r="S725" s="44"/>
      <c r="T725" s="44"/>
    </row>
    <row r="726" spans="4:20" ht="13" x14ac:dyDescent="0.15">
      <c r="D726" s="45"/>
      <c r="R726" s="44"/>
      <c r="S726" s="44"/>
      <c r="T726" s="44"/>
    </row>
    <row r="727" spans="4:20" ht="13" x14ac:dyDescent="0.15">
      <c r="D727" s="45"/>
      <c r="R727" s="44"/>
      <c r="S727" s="44"/>
      <c r="T727" s="44"/>
    </row>
    <row r="728" spans="4:20" ht="13" x14ac:dyDescent="0.15">
      <c r="D728" s="45"/>
      <c r="R728" s="44"/>
      <c r="S728" s="44"/>
      <c r="T728" s="44"/>
    </row>
    <row r="729" spans="4:20" ht="13" x14ac:dyDescent="0.15">
      <c r="D729" s="45"/>
      <c r="R729" s="44"/>
      <c r="S729" s="44"/>
      <c r="T729" s="44"/>
    </row>
    <row r="730" spans="4:20" ht="13" x14ac:dyDescent="0.15">
      <c r="D730" s="45"/>
      <c r="R730" s="44"/>
      <c r="S730" s="44"/>
      <c r="T730" s="44"/>
    </row>
    <row r="731" spans="4:20" ht="13" x14ac:dyDescent="0.15">
      <c r="D731" s="45"/>
      <c r="R731" s="44"/>
      <c r="S731" s="44"/>
      <c r="T731" s="44"/>
    </row>
    <row r="732" spans="4:20" ht="13" x14ac:dyDescent="0.15">
      <c r="D732" s="45"/>
      <c r="R732" s="44"/>
      <c r="S732" s="44"/>
      <c r="T732" s="44"/>
    </row>
    <row r="733" spans="4:20" ht="13" x14ac:dyDescent="0.15">
      <c r="D733" s="45"/>
      <c r="R733" s="44"/>
      <c r="S733" s="44"/>
      <c r="T733" s="44"/>
    </row>
    <row r="734" spans="4:20" ht="13" x14ac:dyDescent="0.15">
      <c r="D734" s="45"/>
      <c r="R734" s="44"/>
      <c r="S734" s="44"/>
      <c r="T734" s="44"/>
    </row>
    <row r="735" spans="4:20" ht="13" x14ac:dyDescent="0.15">
      <c r="D735" s="45"/>
      <c r="R735" s="44"/>
      <c r="S735" s="44"/>
      <c r="T735" s="44"/>
    </row>
    <row r="736" spans="4:20" ht="13" x14ac:dyDescent="0.15">
      <c r="D736" s="45"/>
      <c r="R736" s="44"/>
      <c r="S736" s="44"/>
      <c r="T736" s="44"/>
    </row>
    <row r="737" spans="4:20" ht="13" x14ac:dyDescent="0.15">
      <c r="D737" s="45"/>
      <c r="R737" s="44"/>
      <c r="S737" s="44"/>
      <c r="T737" s="44"/>
    </row>
    <row r="738" spans="4:20" ht="13" x14ac:dyDescent="0.15">
      <c r="D738" s="45"/>
      <c r="R738" s="44"/>
      <c r="S738" s="44"/>
      <c r="T738" s="44"/>
    </row>
    <row r="739" spans="4:20" ht="13" x14ac:dyDescent="0.15">
      <c r="D739" s="45"/>
      <c r="R739" s="44"/>
      <c r="S739" s="44"/>
      <c r="T739" s="44"/>
    </row>
    <row r="740" spans="4:20" ht="13" x14ac:dyDescent="0.15">
      <c r="D740" s="45"/>
      <c r="R740" s="44"/>
      <c r="S740" s="44"/>
      <c r="T740" s="44"/>
    </row>
    <row r="741" spans="4:20" ht="13" x14ac:dyDescent="0.15">
      <c r="D741" s="45"/>
      <c r="R741" s="44"/>
      <c r="S741" s="44"/>
      <c r="T741" s="44"/>
    </row>
    <row r="742" spans="4:20" ht="13" x14ac:dyDescent="0.15">
      <c r="D742" s="45"/>
      <c r="R742" s="44"/>
      <c r="S742" s="44"/>
      <c r="T742" s="44"/>
    </row>
    <row r="743" spans="4:20" ht="13" x14ac:dyDescent="0.15">
      <c r="D743" s="45"/>
      <c r="R743" s="44"/>
      <c r="S743" s="44"/>
      <c r="T743" s="44"/>
    </row>
    <row r="744" spans="4:20" ht="13" x14ac:dyDescent="0.15">
      <c r="D744" s="45"/>
      <c r="R744" s="44"/>
      <c r="S744" s="44"/>
      <c r="T744" s="44"/>
    </row>
    <row r="745" spans="4:20" ht="13" x14ac:dyDescent="0.15">
      <c r="D745" s="45"/>
      <c r="R745" s="44"/>
      <c r="S745" s="44"/>
      <c r="T745" s="44"/>
    </row>
    <row r="746" spans="4:20" ht="13" x14ac:dyDescent="0.15">
      <c r="D746" s="45"/>
      <c r="R746" s="44"/>
      <c r="S746" s="44"/>
      <c r="T746" s="44"/>
    </row>
    <row r="747" spans="4:20" ht="13" x14ac:dyDescent="0.15">
      <c r="D747" s="45"/>
      <c r="R747" s="44"/>
      <c r="S747" s="44"/>
      <c r="T747" s="44"/>
    </row>
    <row r="748" spans="4:20" ht="13" x14ac:dyDescent="0.15">
      <c r="D748" s="45"/>
      <c r="R748" s="44"/>
      <c r="S748" s="44"/>
      <c r="T748" s="44"/>
    </row>
    <row r="749" spans="4:20" ht="13" x14ac:dyDescent="0.15">
      <c r="D749" s="45"/>
      <c r="R749" s="44"/>
      <c r="S749" s="44"/>
      <c r="T749" s="44"/>
    </row>
    <row r="750" spans="4:20" ht="13" x14ac:dyDescent="0.15">
      <c r="D750" s="45"/>
      <c r="R750" s="44"/>
      <c r="S750" s="44"/>
      <c r="T750" s="44"/>
    </row>
    <row r="751" spans="4:20" ht="13" x14ac:dyDescent="0.15">
      <c r="D751" s="45"/>
      <c r="R751" s="44"/>
      <c r="S751" s="44"/>
      <c r="T751" s="44"/>
    </row>
    <row r="752" spans="4:20" ht="13" x14ac:dyDescent="0.15">
      <c r="D752" s="45"/>
      <c r="R752" s="44"/>
      <c r="S752" s="44"/>
      <c r="T752" s="44"/>
    </row>
    <row r="753" spans="4:20" ht="13" x14ac:dyDescent="0.15">
      <c r="D753" s="45"/>
      <c r="R753" s="44"/>
      <c r="S753" s="44"/>
      <c r="T753" s="44"/>
    </row>
    <row r="754" spans="4:20" ht="13" x14ac:dyDescent="0.15">
      <c r="D754" s="45"/>
      <c r="R754" s="44"/>
      <c r="S754" s="44"/>
      <c r="T754" s="44"/>
    </row>
    <row r="755" spans="4:20" ht="13" x14ac:dyDescent="0.15">
      <c r="D755" s="45"/>
      <c r="R755" s="44"/>
      <c r="S755" s="44"/>
      <c r="T755" s="44"/>
    </row>
    <row r="756" spans="4:20" ht="13" x14ac:dyDescent="0.15">
      <c r="D756" s="45"/>
      <c r="R756" s="44"/>
      <c r="S756" s="44"/>
      <c r="T756" s="44"/>
    </row>
    <row r="757" spans="4:20" ht="13" x14ac:dyDescent="0.15">
      <c r="D757" s="45"/>
      <c r="R757" s="44"/>
      <c r="S757" s="44"/>
      <c r="T757" s="44"/>
    </row>
    <row r="758" spans="4:20" ht="13" x14ac:dyDescent="0.15">
      <c r="D758" s="45"/>
      <c r="R758" s="44"/>
      <c r="S758" s="44"/>
      <c r="T758" s="44"/>
    </row>
    <row r="759" spans="4:20" ht="13" x14ac:dyDescent="0.15">
      <c r="D759" s="45"/>
      <c r="R759" s="44"/>
      <c r="S759" s="44"/>
      <c r="T759" s="44"/>
    </row>
    <row r="760" spans="4:20" ht="13" x14ac:dyDescent="0.15">
      <c r="D760" s="45"/>
      <c r="R760" s="44"/>
      <c r="S760" s="44"/>
      <c r="T760" s="44"/>
    </row>
    <row r="761" spans="4:20" ht="13" x14ac:dyDescent="0.15">
      <c r="D761" s="45"/>
      <c r="R761" s="44"/>
      <c r="S761" s="44"/>
      <c r="T761" s="44"/>
    </row>
    <row r="762" spans="4:20" ht="13" x14ac:dyDescent="0.15">
      <c r="D762" s="45"/>
      <c r="R762" s="44"/>
      <c r="S762" s="44"/>
      <c r="T762" s="44"/>
    </row>
    <row r="763" spans="4:20" ht="13" x14ac:dyDescent="0.15">
      <c r="D763" s="45"/>
      <c r="R763" s="44"/>
      <c r="S763" s="44"/>
      <c r="T763" s="44"/>
    </row>
    <row r="764" spans="4:20" ht="13" x14ac:dyDescent="0.15">
      <c r="D764" s="45"/>
      <c r="R764" s="44"/>
      <c r="S764" s="44"/>
      <c r="T764" s="44"/>
    </row>
    <row r="765" spans="4:20" ht="13" x14ac:dyDescent="0.15">
      <c r="D765" s="45"/>
      <c r="R765" s="44"/>
      <c r="S765" s="44"/>
      <c r="T765" s="44"/>
    </row>
    <row r="766" spans="4:20" ht="13" x14ac:dyDescent="0.15">
      <c r="D766" s="45"/>
      <c r="R766" s="44"/>
      <c r="S766" s="44"/>
      <c r="T766" s="44"/>
    </row>
    <row r="767" spans="4:20" ht="13" x14ac:dyDescent="0.15">
      <c r="D767" s="45"/>
      <c r="R767" s="44"/>
      <c r="S767" s="44"/>
      <c r="T767" s="44"/>
    </row>
    <row r="768" spans="4:20" ht="13" x14ac:dyDescent="0.15">
      <c r="D768" s="45"/>
      <c r="R768" s="44"/>
      <c r="S768" s="44"/>
      <c r="T768" s="44"/>
    </row>
    <row r="769" spans="4:20" ht="13" x14ac:dyDescent="0.15">
      <c r="D769" s="45"/>
      <c r="R769" s="44"/>
      <c r="S769" s="44"/>
      <c r="T769" s="44"/>
    </row>
    <row r="770" spans="4:20" ht="13" x14ac:dyDescent="0.15">
      <c r="D770" s="45"/>
      <c r="R770" s="44"/>
      <c r="S770" s="44"/>
      <c r="T770" s="44"/>
    </row>
    <row r="771" spans="4:20" ht="13" x14ac:dyDescent="0.15">
      <c r="D771" s="45"/>
      <c r="R771" s="44"/>
      <c r="S771" s="44"/>
      <c r="T771" s="44"/>
    </row>
    <row r="772" spans="4:20" ht="13" x14ac:dyDescent="0.15">
      <c r="D772" s="45"/>
      <c r="R772" s="44"/>
      <c r="S772" s="44"/>
      <c r="T772" s="44"/>
    </row>
    <row r="773" spans="4:20" ht="13" x14ac:dyDescent="0.15">
      <c r="D773" s="45"/>
      <c r="R773" s="44"/>
      <c r="S773" s="44"/>
      <c r="T773" s="44"/>
    </row>
    <row r="774" spans="4:20" ht="13" x14ac:dyDescent="0.15">
      <c r="D774" s="45"/>
      <c r="R774" s="44"/>
      <c r="S774" s="44"/>
      <c r="T774" s="44"/>
    </row>
    <row r="775" spans="4:20" ht="13" x14ac:dyDescent="0.15">
      <c r="D775" s="45"/>
      <c r="R775" s="44"/>
      <c r="S775" s="44"/>
      <c r="T775" s="44"/>
    </row>
    <row r="776" spans="4:20" ht="13" x14ac:dyDescent="0.15">
      <c r="D776" s="45"/>
      <c r="R776" s="44"/>
      <c r="S776" s="44"/>
      <c r="T776" s="44"/>
    </row>
    <row r="777" spans="4:20" ht="13" x14ac:dyDescent="0.15">
      <c r="D777" s="45"/>
      <c r="R777" s="44"/>
      <c r="S777" s="44"/>
      <c r="T777" s="44"/>
    </row>
    <row r="778" spans="4:20" ht="13" x14ac:dyDescent="0.15">
      <c r="D778" s="45"/>
      <c r="R778" s="44"/>
      <c r="S778" s="44"/>
      <c r="T778" s="44"/>
    </row>
    <row r="779" spans="4:20" ht="13" x14ac:dyDescent="0.15">
      <c r="D779" s="45"/>
      <c r="R779" s="44"/>
      <c r="S779" s="44"/>
      <c r="T779" s="44"/>
    </row>
    <row r="780" spans="4:20" ht="13" x14ac:dyDescent="0.15">
      <c r="D780" s="45"/>
      <c r="R780" s="44"/>
      <c r="S780" s="44"/>
      <c r="T780" s="44"/>
    </row>
    <row r="781" spans="4:20" ht="13" x14ac:dyDescent="0.15">
      <c r="D781" s="45"/>
      <c r="R781" s="44"/>
      <c r="S781" s="44"/>
      <c r="T781" s="44"/>
    </row>
    <row r="782" spans="4:20" ht="13" x14ac:dyDescent="0.15">
      <c r="D782" s="45"/>
      <c r="R782" s="44"/>
      <c r="S782" s="44"/>
      <c r="T782" s="44"/>
    </row>
    <row r="783" spans="4:20" ht="13" x14ac:dyDescent="0.15">
      <c r="D783" s="45"/>
      <c r="R783" s="44"/>
      <c r="S783" s="44"/>
      <c r="T783" s="44"/>
    </row>
    <row r="784" spans="4:20" ht="13" x14ac:dyDescent="0.15">
      <c r="D784" s="45"/>
      <c r="R784" s="44"/>
      <c r="S784" s="44"/>
      <c r="T784" s="44"/>
    </row>
    <row r="785" spans="4:20" ht="13" x14ac:dyDescent="0.15">
      <c r="D785" s="45"/>
      <c r="R785" s="44"/>
      <c r="S785" s="44"/>
      <c r="T785" s="44"/>
    </row>
    <row r="786" spans="4:20" ht="13" x14ac:dyDescent="0.15">
      <c r="D786" s="45"/>
      <c r="R786" s="44"/>
      <c r="S786" s="44"/>
      <c r="T786" s="44"/>
    </row>
    <row r="787" spans="4:20" ht="13" x14ac:dyDescent="0.15">
      <c r="D787" s="45"/>
      <c r="R787" s="44"/>
      <c r="S787" s="44"/>
      <c r="T787" s="44"/>
    </row>
    <row r="788" spans="4:20" ht="13" x14ac:dyDescent="0.15">
      <c r="D788" s="45"/>
      <c r="R788" s="44"/>
      <c r="S788" s="44"/>
      <c r="T788" s="44"/>
    </row>
    <row r="789" spans="4:20" ht="13" x14ac:dyDescent="0.15">
      <c r="D789" s="45"/>
      <c r="R789" s="44"/>
      <c r="S789" s="44"/>
      <c r="T789" s="44"/>
    </row>
    <row r="790" spans="4:20" ht="13" x14ac:dyDescent="0.15">
      <c r="D790" s="45"/>
      <c r="R790" s="44"/>
      <c r="S790" s="44"/>
      <c r="T790" s="44"/>
    </row>
    <row r="791" spans="4:20" ht="13" x14ac:dyDescent="0.15">
      <c r="D791" s="45"/>
      <c r="R791" s="44"/>
      <c r="S791" s="44"/>
      <c r="T791" s="44"/>
    </row>
    <row r="792" spans="4:20" ht="13" x14ac:dyDescent="0.15">
      <c r="D792" s="45"/>
      <c r="R792" s="44"/>
      <c r="S792" s="44"/>
      <c r="T792" s="44"/>
    </row>
    <row r="793" spans="4:20" ht="13" x14ac:dyDescent="0.15">
      <c r="D793" s="45"/>
      <c r="R793" s="44"/>
      <c r="S793" s="44"/>
      <c r="T793" s="44"/>
    </row>
    <row r="794" spans="4:20" ht="13" x14ac:dyDescent="0.15">
      <c r="D794" s="45"/>
      <c r="R794" s="44"/>
      <c r="S794" s="44"/>
      <c r="T794" s="44"/>
    </row>
    <row r="795" spans="4:20" ht="13" x14ac:dyDescent="0.15">
      <c r="D795" s="45"/>
      <c r="R795" s="44"/>
      <c r="S795" s="44"/>
      <c r="T795" s="44"/>
    </row>
    <row r="796" spans="4:20" ht="13" x14ac:dyDescent="0.15">
      <c r="D796" s="45"/>
      <c r="R796" s="44"/>
      <c r="S796" s="44"/>
      <c r="T796" s="44"/>
    </row>
    <row r="797" spans="4:20" ht="13" x14ac:dyDescent="0.15">
      <c r="D797" s="45"/>
      <c r="R797" s="44"/>
      <c r="S797" s="44"/>
      <c r="T797" s="44"/>
    </row>
    <row r="798" spans="4:20" ht="13" x14ac:dyDescent="0.15">
      <c r="D798" s="45"/>
      <c r="R798" s="44"/>
      <c r="S798" s="44"/>
      <c r="T798" s="44"/>
    </row>
    <row r="799" spans="4:20" ht="13" x14ac:dyDescent="0.15">
      <c r="D799" s="45"/>
      <c r="R799" s="44"/>
      <c r="S799" s="44"/>
      <c r="T799" s="44"/>
    </row>
    <row r="800" spans="4:20" ht="13" x14ac:dyDescent="0.15">
      <c r="D800" s="45"/>
      <c r="R800" s="44"/>
      <c r="S800" s="44"/>
      <c r="T800" s="44"/>
    </row>
    <row r="801" spans="4:20" ht="13" x14ac:dyDescent="0.15">
      <c r="D801" s="45"/>
      <c r="R801" s="44"/>
      <c r="S801" s="44"/>
      <c r="T801" s="44"/>
    </row>
    <row r="802" spans="4:20" ht="13" x14ac:dyDescent="0.15">
      <c r="D802" s="45"/>
      <c r="R802" s="44"/>
      <c r="S802" s="44"/>
      <c r="T802" s="44"/>
    </row>
    <row r="803" spans="4:20" ht="13" x14ac:dyDescent="0.15">
      <c r="D803" s="45"/>
      <c r="R803" s="44"/>
      <c r="S803" s="44"/>
      <c r="T803" s="44"/>
    </row>
    <row r="804" spans="4:20" ht="13" x14ac:dyDescent="0.15">
      <c r="D804" s="45"/>
      <c r="R804" s="44"/>
      <c r="S804" s="44"/>
      <c r="T804" s="44"/>
    </row>
    <row r="805" spans="4:20" ht="13" x14ac:dyDescent="0.15">
      <c r="D805" s="45"/>
      <c r="R805" s="44"/>
      <c r="S805" s="44"/>
      <c r="T805" s="44"/>
    </row>
    <row r="806" spans="4:20" ht="13" x14ac:dyDescent="0.15">
      <c r="D806" s="45"/>
      <c r="R806" s="44"/>
      <c r="S806" s="44"/>
      <c r="T806" s="44"/>
    </row>
    <row r="807" spans="4:20" ht="13" x14ac:dyDescent="0.15">
      <c r="D807" s="45"/>
      <c r="R807" s="44"/>
      <c r="S807" s="44"/>
      <c r="T807" s="44"/>
    </row>
    <row r="808" spans="4:20" ht="13" x14ac:dyDescent="0.15">
      <c r="D808" s="45"/>
      <c r="R808" s="44"/>
      <c r="S808" s="44"/>
      <c r="T808" s="44"/>
    </row>
    <row r="809" spans="4:20" ht="13" x14ac:dyDescent="0.15">
      <c r="D809" s="45"/>
      <c r="R809" s="44"/>
      <c r="S809" s="44"/>
      <c r="T809" s="44"/>
    </row>
    <row r="810" spans="4:20" ht="13" x14ac:dyDescent="0.15">
      <c r="D810" s="45"/>
      <c r="R810" s="44"/>
      <c r="S810" s="44"/>
      <c r="T810" s="44"/>
    </row>
    <row r="811" spans="4:20" ht="13" x14ac:dyDescent="0.15">
      <c r="D811" s="45"/>
      <c r="R811" s="44"/>
      <c r="S811" s="44"/>
      <c r="T811" s="44"/>
    </row>
    <row r="812" spans="4:20" ht="13" x14ac:dyDescent="0.15">
      <c r="D812" s="45"/>
      <c r="R812" s="44"/>
      <c r="S812" s="44"/>
      <c r="T812" s="44"/>
    </row>
    <row r="813" spans="4:20" ht="13" x14ac:dyDescent="0.15">
      <c r="D813" s="45"/>
      <c r="R813" s="44"/>
      <c r="S813" s="44"/>
      <c r="T813" s="44"/>
    </row>
    <row r="814" spans="4:20" ht="13" x14ac:dyDescent="0.15">
      <c r="D814" s="45"/>
      <c r="R814" s="44"/>
      <c r="S814" s="44"/>
      <c r="T814" s="44"/>
    </row>
    <row r="815" spans="4:20" ht="13" x14ac:dyDescent="0.15">
      <c r="D815" s="45"/>
      <c r="R815" s="44"/>
      <c r="S815" s="44"/>
      <c r="T815" s="44"/>
    </row>
    <row r="816" spans="4:20" ht="13" x14ac:dyDescent="0.15">
      <c r="D816" s="45"/>
      <c r="R816" s="44"/>
      <c r="S816" s="44"/>
      <c r="T816" s="44"/>
    </row>
    <row r="817" spans="4:20" ht="13" x14ac:dyDescent="0.15">
      <c r="D817" s="45"/>
      <c r="R817" s="44"/>
      <c r="S817" s="44"/>
      <c r="T817" s="44"/>
    </row>
    <row r="818" spans="4:20" ht="13" x14ac:dyDescent="0.15">
      <c r="D818" s="45"/>
      <c r="R818" s="44"/>
      <c r="S818" s="44"/>
      <c r="T818" s="44"/>
    </row>
    <row r="819" spans="4:20" ht="13" x14ac:dyDescent="0.15">
      <c r="D819" s="45"/>
      <c r="R819" s="44"/>
      <c r="S819" s="44"/>
      <c r="T819" s="44"/>
    </row>
    <row r="820" spans="4:20" ht="13" x14ac:dyDescent="0.15">
      <c r="D820" s="45"/>
      <c r="R820" s="44"/>
      <c r="S820" s="44"/>
      <c r="T820" s="44"/>
    </row>
    <row r="821" spans="4:20" ht="13" x14ac:dyDescent="0.15">
      <c r="D821" s="45"/>
      <c r="R821" s="44"/>
      <c r="S821" s="44"/>
      <c r="T821" s="44"/>
    </row>
    <row r="822" spans="4:20" ht="13" x14ac:dyDescent="0.15">
      <c r="D822" s="45"/>
      <c r="R822" s="44"/>
      <c r="S822" s="44"/>
      <c r="T822" s="44"/>
    </row>
    <row r="823" spans="4:20" ht="13" x14ac:dyDescent="0.15">
      <c r="D823" s="45"/>
      <c r="R823" s="44"/>
      <c r="S823" s="44"/>
      <c r="T823" s="44"/>
    </row>
    <row r="824" spans="4:20" ht="13" x14ac:dyDescent="0.15">
      <c r="D824" s="45"/>
      <c r="R824" s="44"/>
      <c r="S824" s="44"/>
      <c r="T824" s="44"/>
    </row>
    <row r="825" spans="4:20" ht="13" x14ac:dyDescent="0.15">
      <c r="D825" s="45"/>
      <c r="R825" s="44"/>
      <c r="S825" s="44"/>
      <c r="T825" s="44"/>
    </row>
    <row r="826" spans="4:20" ht="13" x14ac:dyDescent="0.15">
      <c r="D826" s="45"/>
      <c r="R826" s="44"/>
      <c r="S826" s="44"/>
      <c r="T826" s="44"/>
    </row>
    <row r="827" spans="4:20" ht="13" x14ac:dyDescent="0.15">
      <c r="D827" s="45"/>
      <c r="R827" s="44"/>
      <c r="S827" s="44"/>
      <c r="T827" s="44"/>
    </row>
    <row r="828" spans="4:20" ht="13" x14ac:dyDescent="0.15">
      <c r="D828" s="45"/>
      <c r="R828" s="44"/>
      <c r="S828" s="44"/>
      <c r="T828" s="44"/>
    </row>
    <row r="829" spans="4:20" ht="13" x14ac:dyDescent="0.15">
      <c r="D829" s="45"/>
      <c r="R829" s="44"/>
      <c r="S829" s="44"/>
      <c r="T829" s="44"/>
    </row>
    <row r="830" spans="4:20" ht="13" x14ac:dyDescent="0.15">
      <c r="D830" s="45"/>
      <c r="R830" s="44"/>
      <c r="S830" s="44"/>
      <c r="T830" s="44"/>
    </row>
    <row r="831" spans="4:20" ht="13" x14ac:dyDescent="0.15">
      <c r="D831" s="45"/>
      <c r="R831" s="44"/>
      <c r="S831" s="44"/>
      <c r="T831" s="44"/>
    </row>
    <row r="832" spans="4:20" ht="13" x14ac:dyDescent="0.15">
      <c r="D832" s="45"/>
      <c r="R832" s="44"/>
      <c r="S832" s="44"/>
      <c r="T832" s="44"/>
    </row>
    <row r="833" spans="4:20" ht="13" x14ac:dyDescent="0.15">
      <c r="D833" s="45"/>
      <c r="R833" s="44"/>
      <c r="S833" s="44"/>
      <c r="T833" s="44"/>
    </row>
    <row r="834" spans="4:20" ht="13" x14ac:dyDescent="0.15">
      <c r="D834" s="45"/>
      <c r="R834" s="44"/>
      <c r="S834" s="44"/>
      <c r="T834" s="44"/>
    </row>
    <row r="835" spans="4:20" ht="13" x14ac:dyDescent="0.15">
      <c r="D835" s="45"/>
      <c r="R835" s="44"/>
      <c r="S835" s="44"/>
      <c r="T835" s="44"/>
    </row>
    <row r="836" spans="4:20" ht="13" x14ac:dyDescent="0.15">
      <c r="D836" s="45"/>
      <c r="R836" s="44"/>
      <c r="S836" s="44"/>
      <c r="T836" s="44"/>
    </row>
    <row r="837" spans="4:20" ht="13" x14ac:dyDescent="0.15">
      <c r="D837" s="45"/>
      <c r="R837" s="44"/>
      <c r="S837" s="44"/>
      <c r="T837" s="44"/>
    </row>
    <row r="838" spans="4:20" ht="13" x14ac:dyDescent="0.15">
      <c r="D838" s="45"/>
      <c r="R838" s="44"/>
      <c r="S838" s="44"/>
      <c r="T838" s="44"/>
    </row>
    <row r="839" spans="4:20" ht="13" x14ac:dyDescent="0.15">
      <c r="D839" s="45"/>
      <c r="R839" s="44"/>
      <c r="S839" s="44"/>
      <c r="T839" s="44"/>
    </row>
    <row r="840" spans="4:20" ht="13" x14ac:dyDescent="0.15">
      <c r="D840" s="45"/>
      <c r="R840" s="44"/>
      <c r="S840" s="44"/>
      <c r="T840" s="44"/>
    </row>
    <row r="841" spans="4:20" ht="13" x14ac:dyDescent="0.15">
      <c r="D841" s="45"/>
      <c r="R841" s="44"/>
      <c r="S841" s="44"/>
      <c r="T841" s="44"/>
    </row>
    <row r="842" spans="4:20" ht="13" x14ac:dyDescent="0.15">
      <c r="D842" s="45"/>
      <c r="R842" s="44"/>
      <c r="S842" s="44"/>
      <c r="T842" s="44"/>
    </row>
    <row r="843" spans="4:20" ht="13" x14ac:dyDescent="0.15">
      <c r="D843" s="45"/>
      <c r="R843" s="44"/>
      <c r="S843" s="44"/>
      <c r="T843" s="44"/>
    </row>
    <row r="844" spans="4:20" ht="13" x14ac:dyDescent="0.15">
      <c r="D844" s="45"/>
      <c r="R844" s="44"/>
      <c r="S844" s="44"/>
      <c r="T844" s="44"/>
    </row>
    <row r="845" spans="4:20" ht="13" x14ac:dyDescent="0.15">
      <c r="D845" s="45"/>
      <c r="R845" s="44"/>
      <c r="S845" s="44"/>
      <c r="T845" s="44"/>
    </row>
    <row r="846" spans="4:20" ht="13" x14ac:dyDescent="0.15">
      <c r="D846" s="45"/>
      <c r="R846" s="44"/>
      <c r="S846" s="44"/>
      <c r="T846" s="44"/>
    </row>
    <row r="847" spans="4:20" ht="13" x14ac:dyDescent="0.15">
      <c r="D847" s="45"/>
      <c r="R847" s="44"/>
      <c r="S847" s="44"/>
      <c r="T847" s="44"/>
    </row>
    <row r="848" spans="4:20" ht="13" x14ac:dyDescent="0.15">
      <c r="D848" s="45"/>
      <c r="R848" s="44"/>
      <c r="S848" s="44"/>
      <c r="T848" s="44"/>
    </row>
    <row r="849" spans="4:20" ht="13" x14ac:dyDescent="0.15">
      <c r="D849" s="45"/>
      <c r="R849" s="44"/>
      <c r="S849" s="44"/>
      <c r="T849" s="44"/>
    </row>
    <row r="850" spans="4:20" ht="13" x14ac:dyDescent="0.15">
      <c r="D850" s="45"/>
      <c r="R850" s="44"/>
      <c r="S850" s="44"/>
      <c r="T850" s="44"/>
    </row>
    <row r="851" spans="4:20" ht="13" x14ac:dyDescent="0.15">
      <c r="D851" s="45"/>
      <c r="R851" s="44"/>
      <c r="S851" s="44"/>
      <c r="T851" s="44"/>
    </row>
    <row r="852" spans="4:20" ht="13" x14ac:dyDescent="0.15">
      <c r="D852" s="45"/>
      <c r="R852" s="44"/>
      <c r="S852" s="44"/>
      <c r="T852" s="44"/>
    </row>
    <row r="853" spans="4:20" ht="13" x14ac:dyDescent="0.15">
      <c r="D853" s="45"/>
      <c r="R853" s="44"/>
      <c r="S853" s="44"/>
      <c r="T853" s="44"/>
    </row>
    <row r="854" spans="4:20" ht="13" x14ac:dyDescent="0.15">
      <c r="D854" s="45"/>
      <c r="R854" s="44"/>
      <c r="S854" s="44"/>
      <c r="T854" s="44"/>
    </row>
    <row r="855" spans="4:20" ht="13" x14ac:dyDescent="0.15">
      <c r="D855" s="45"/>
      <c r="R855" s="44"/>
      <c r="S855" s="44"/>
      <c r="T855" s="44"/>
    </row>
    <row r="856" spans="4:20" ht="13" x14ac:dyDescent="0.15">
      <c r="D856" s="45"/>
      <c r="R856" s="44"/>
      <c r="S856" s="44"/>
      <c r="T856" s="44"/>
    </row>
    <row r="857" spans="4:20" ht="13" x14ac:dyDescent="0.15">
      <c r="D857" s="45"/>
      <c r="R857" s="44"/>
      <c r="S857" s="44"/>
      <c r="T857" s="44"/>
    </row>
    <row r="858" spans="4:20" ht="13" x14ac:dyDescent="0.15">
      <c r="D858" s="45"/>
      <c r="R858" s="44"/>
      <c r="S858" s="44"/>
      <c r="T858" s="44"/>
    </row>
    <row r="859" spans="4:20" ht="13" x14ac:dyDescent="0.15">
      <c r="D859" s="45"/>
      <c r="R859" s="44"/>
      <c r="S859" s="44"/>
      <c r="T859" s="44"/>
    </row>
    <row r="860" spans="4:20" ht="13" x14ac:dyDescent="0.15">
      <c r="D860" s="45"/>
      <c r="R860" s="44"/>
      <c r="S860" s="44"/>
      <c r="T860" s="44"/>
    </row>
    <row r="861" spans="4:20" ht="13" x14ac:dyDescent="0.15">
      <c r="D861" s="45"/>
      <c r="R861" s="44"/>
      <c r="S861" s="44"/>
      <c r="T861" s="44"/>
    </row>
    <row r="862" spans="4:20" ht="13" x14ac:dyDescent="0.15">
      <c r="D862" s="45"/>
      <c r="R862" s="44"/>
      <c r="S862" s="44"/>
      <c r="T862" s="44"/>
    </row>
    <row r="863" spans="4:20" ht="13" x14ac:dyDescent="0.15">
      <c r="D863" s="45"/>
      <c r="R863" s="44"/>
      <c r="S863" s="44"/>
      <c r="T863" s="44"/>
    </row>
    <row r="864" spans="4:20" ht="13" x14ac:dyDescent="0.15">
      <c r="D864" s="45"/>
      <c r="R864" s="44"/>
      <c r="S864" s="44"/>
      <c r="T864" s="44"/>
    </row>
    <row r="865" spans="4:20" ht="13" x14ac:dyDescent="0.15">
      <c r="D865" s="45"/>
      <c r="R865" s="44"/>
      <c r="S865" s="44"/>
      <c r="T865" s="44"/>
    </row>
    <row r="866" spans="4:20" ht="13" x14ac:dyDescent="0.15">
      <c r="D866" s="45"/>
      <c r="R866" s="44"/>
      <c r="S866" s="44"/>
      <c r="T866" s="44"/>
    </row>
    <row r="867" spans="4:20" ht="13" x14ac:dyDescent="0.15">
      <c r="D867" s="45"/>
      <c r="R867" s="44"/>
      <c r="S867" s="44"/>
      <c r="T867" s="44"/>
    </row>
    <row r="868" spans="4:20" ht="13" x14ac:dyDescent="0.15">
      <c r="D868" s="45"/>
      <c r="R868" s="44"/>
      <c r="S868" s="44"/>
      <c r="T868" s="44"/>
    </row>
    <row r="869" spans="4:20" ht="13" x14ac:dyDescent="0.15">
      <c r="D869" s="45"/>
      <c r="R869" s="44"/>
      <c r="S869" s="44"/>
      <c r="T869" s="44"/>
    </row>
    <row r="870" spans="4:20" ht="13" x14ac:dyDescent="0.15">
      <c r="D870" s="45"/>
      <c r="R870" s="44"/>
      <c r="S870" s="44"/>
      <c r="T870" s="44"/>
    </row>
    <row r="871" spans="4:20" ht="13" x14ac:dyDescent="0.15">
      <c r="D871" s="45"/>
      <c r="R871" s="44"/>
      <c r="S871" s="44"/>
      <c r="T871" s="44"/>
    </row>
    <row r="872" spans="4:20" ht="13" x14ac:dyDescent="0.15">
      <c r="D872" s="45"/>
      <c r="R872" s="44"/>
      <c r="S872" s="44"/>
      <c r="T872" s="44"/>
    </row>
    <row r="873" spans="4:20" ht="13" x14ac:dyDescent="0.15">
      <c r="D873" s="45"/>
      <c r="R873" s="44"/>
      <c r="S873" s="44"/>
      <c r="T873" s="44"/>
    </row>
    <row r="874" spans="4:20" ht="13" x14ac:dyDescent="0.15">
      <c r="D874" s="45"/>
      <c r="R874" s="44"/>
      <c r="S874" s="44"/>
      <c r="T874" s="44"/>
    </row>
    <row r="875" spans="4:20" ht="13" x14ac:dyDescent="0.15">
      <c r="D875" s="45"/>
      <c r="R875" s="44"/>
      <c r="S875" s="44"/>
      <c r="T875" s="44"/>
    </row>
    <row r="876" spans="4:20" ht="13" x14ac:dyDescent="0.15">
      <c r="D876" s="45"/>
      <c r="R876" s="44"/>
      <c r="S876" s="44"/>
      <c r="T876" s="44"/>
    </row>
    <row r="877" spans="4:20" ht="13" x14ac:dyDescent="0.15">
      <c r="D877" s="45"/>
      <c r="R877" s="44"/>
      <c r="S877" s="44"/>
      <c r="T877" s="44"/>
    </row>
    <row r="878" spans="4:20" ht="13" x14ac:dyDescent="0.15">
      <c r="D878" s="45"/>
      <c r="R878" s="44"/>
      <c r="S878" s="44"/>
      <c r="T878" s="44"/>
    </row>
    <row r="879" spans="4:20" ht="13" x14ac:dyDescent="0.15">
      <c r="D879" s="45"/>
      <c r="R879" s="44"/>
      <c r="S879" s="44"/>
      <c r="T879" s="44"/>
    </row>
    <row r="880" spans="4:20" ht="13" x14ac:dyDescent="0.15">
      <c r="D880" s="45"/>
      <c r="R880" s="44"/>
      <c r="S880" s="44"/>
      <c r="T880" s="44"/>
    </row>
    <row r="881" spans="4:20" ht="13" x14ac:dyDescent="0.15">
      <c r="D881" s="45"/>
      <c r="R881" s="44"/>
      <c r="S881" s="44"/>
      <c r="T881" s="44"/>
    </row>
    <row r="882" spans="4:20" ht="13" x14ac:dyDescent="0.15">
      <c r="D882" s="45"/>
      <c r="R882" s="44"/>
      <c r="S882" s="44"/>
      <c r="T882" s="44"/>
    </row>
    <row r="883" spans="4:20" ht="13" x14ac:dyDescent="0.15">
      <c r="D883" s="45"/>
      <c r="R883" s="44"/>
      <c r="S883" s="44"/>
      <c r="T883" s="44"/>
    </row>
    <row r="884" spans="4:20" ht="13" x14ac:dyDescent="0.15">
      <c r="D884" s="45"/>
      <c r="R884" s="44"/>
      <c r="S884" s="44"/>
      <c r="T884" s="44"/>
    </row>
    <row r="885" spans="4:20" ht="13" x14ac:dyDescent="0.15">
      <c r="D885" s="45"/>
      <c r="R885" s="44"/>
      <c r="S885" s="44"/>
      <c r="T885" s="44"/>
    </row>
    <row r="886" spans="4:20" ht="13" x14ac:dyDescent="0.15">
      <c r="D886" s="45"/>
      <c r="R886" s="44"/>
      <c r="S886" s="44"/>
      <c r="T886" s="44"/>
    </row>
    <row r="887" spans="4:20" ht="13" x14ac:dyDescent="0.15">
      <c r="D887" s="45"/>
      <c r="R887" s="44"/>
      <c r="S887" s="44"/>
      <c r="T887" s="44"/>
    </row>
    <row r="888" spans="4:20" ht="13" x14ac:dyDescent="0.15">
      <c r="D888" s="45"/>
      <c r="R888" s="44"/>
      <c r="S888" s="44"/>
      <c r="T888" s="44"/>
    </row>
    <row r="889" spans="4:20" ht="13" x14ac:dyDescent="0.15">
      <c r="D889" s="45"/>
      <c r="R889" s="44"/>
      <c r="S889" s="44"/>
      <c r="T889" s="44"/>
    </row>
    <row r="890" spans="4:20" ht="13" x14ac:dyDescent="0.15">
      <c r="D890" s="45"/>
      <c r="R890" s="44"/>
      <c r="S890" s="44"/>
      <c r="T890" s="44"/>
    </row>
    <row r="891" spans="4:20" ht="13" x14ac:dyDescent="0.15">
      <c r="D891" s="45"/>
      <c r="R891" s="44"/>
      <c r="S891" s="44"/>
      <c r="T891" s="44"/>
    </row>
    <row r="892" spans="4:20" ht="13" x14ac:dyDescent="0.15">
      <c r="D892" s="45"/>
      <c r="R892" s="44"/>
      <c r="S892" s="44"/>
      <c r="T892" s="44"/>
    </row>
    <row r="893" spans="4:20" ht="13" x14ac:dyDescent="0.15">
      <c r="D893" s="45"/>
      <c r="R893" s="44"/>
      <c r="S893" s="44"/>
      <c r="T893" s="44"/>
    </row>
    <row r="894" spans="4:20" ht="13" x14ac:dyDescent="0.15">
      <c r="D894" s="45"/>
      <c r="R894" s="44"/>
      <c r="S894" s="44"/>
      <c r="T894" s="44"/>
    </row>
    <row r="895" spans="4:20" ht="13" x14ac:dyDescent="0.15">
      <c r="D895" s="45"/>
      <c r="R895" s="44"/>
      <c r="S895" s="44"/>
      <c r="T895" s="44"/>
    </row>
    <row r="896" spans="4:20" ht="13" x14ac:dyDescent="0.15">
      <c r="D896" s="45"/>
      <c r="R896" s="44"/>
      <c r="S896" s="44"/>
      <c r="T896" s="44"/>
    </row>
    <row r="897" spans="4:20" ht="13" x14ac:dyDescent="0.15">
      <c r="D897" s="45"/>
      <c r="R897" s="44"/>
      <c r="S897" s="44"/>
      <c r="T897" s="44"/>
    </row>
    <row r="898" spans="4:20" ht="13" x14ac:dyDescent="0.15">
      <c r="D898" s="45"/>
      <c r="R898" s="44"/>
      <c r="S898" s="44"/>
      <c r="T898" s="44"/>
    </row>
    <row r="899" spans="4:20" ht="13" x14ac:dyDescent="0.15">
      <c r="D899" s="45"/>
      <c r="R899" s="44"/>
      <c r="S899" s="44"/>
      <c r="T899" s="44"/>
    </row>
    <row r="900" spans="4:20" ht="13" x14ac:dyDescent="0.15">
      <c r="D900" s="45"/>
      <c r="R900" s="44"/>
      <c r="S900" s="44"/>
      <c r="T900" s="44"/>
    </row>
    <row r="901" spans="4:20" ht="13" x14ac:dyDescent="0.15">
      <c r="D901" s="45"/>
      <c r="R901" s="44"/>
      <c r="S901" s="44"/>
      <c r="T901" s="44"/>
    </row>
    <row r="902" spans="4:20" ht="13" x14ac:dyDescent="0.15">
      <c r="D902" s="45"/>
      <c r="R902" s="44"/>
      <c r="S902" s="44"/>
      <c r="T902" s="44"/>
    </row>
    <row r="903" spans="4:20" ht="13" x14ac:dyDescent="0.15">
      <c r="D903" s="45"/>
      <c r="R903" s="44"/>
      <c r="S903" s="44"/>
      <c r="T903" s="44"/>
    </row>
    <row r="904" spans="4:20" ht="13" x14ac:dyDescent="0.15">
      <c r="D904" s="45"/>
      <c r="R904" s="44"/>
      <c r="S904" s="44"/>
      <c r="T904" s="44"/>
    </row>
    <row r="905" spans="4:20" ht="13" x14ac:dyDescent="0.15">
      <c r="D905" s="45"/>
      <c r="R905" s="44"/>
      <c r="S905" s="44"/>
      <c r="T905" s="44"/>
    </row>
    <row r="906" spans="4:20" ht="13" x14ac:dyDescent="0.15">
      <c r="D906" s="45"/>
      <c r="R906" s="44"/>
      <c r="S906" s="44"/>
      <c r="T906" s="44"/>
    </row>
    <row r="907" spans="4:20" ht="13" x14ac:dyDescent="0.15">
      <c r="D907" s="45"/>
      <c r="R907" s="44"/>
      <c r="S907" s="44"/>
      <c r="T907" s="44"/>
    </row>
    <row r="908" spans="4:20" ht="13" x14ac:dyDescent="0.15">
      <c r="D908" s="45"/>
      <c r="R908" s="44"/>
      <c r="S908" s="44"/>
      <c r="T908" s="44"/>
    </row>
    <row r="909" spans="4:20" ht="13" x14ac:dyDescent="0.15">
      <c r="D909" s="45"/>
      <c r="R909" s="44"/>
      <c r="S909" s="44"/>
      <c r="T909" s="44"/>
    </row>
    <row r="910" spans="4:20" ht="13" x14ac:dyDescent="0.15">
      <c r="D910" s="45"/>
      <c r="R910" s="44"/>
      <c r="S910" s="44"/>
      <c r="T910" s="44"/>
    </row>
    <row r="911" spans="4:20" ht="13" x14ac:dyDescent="0.15">
      <c r="D911" s="45"/>
      <c r="R911" s="44"/>
      <c r="S911" s="44"/>
      <c r="T911" s="44"/>
    </row>
    <row r="912" spans="4:20" ht="13" x14ac:dyDescent="0.15">
      <c r="D912" s="45"/>
      <c r="R912" s="44"/>
      <c r="S912" s="44"/>
      <c r="T912" s="44"/>
    </row>
    <row r="913" spans="4:20" ht="13" x14ac:dyDescent="0.15">
      <c r="D913" s="45"/>
      <c r="R913" s="44"/>
      <c r="S913" s="44"/>
      <c r="T913" s="44"/>
    </row>
    <row r="914" spans="4:20" ht="13" x14ac:dyDescent="0.15">
      <c r="D914" s="45"/>
      <c r="R914" s="44"/>
      <c r="S914" s="44"/>
      <c r="T914" s="44"/>
    </row>
    <row r="915" spans="4:20" ht="13" x14ac:dyDescent="0.15">
      <c r="D915" s="45"/>
      <c r="R915" s="44"/>
      <c r="S915" s="44"/>
      <c r="T915" s="44"/>
    </row>
    <row r="916" spans="4:20" ht="13" x14ac:dyDescent="0.15">
      <c r="D916" s="45"/>
      <c r="R916" s="44"/>
      <c r="S916" s="44"/>
      <c r="T916" s="44"/>
    </row>
    <row r="917" spans="4:20" ht="13" x14ac:dyDescent="0.15">
      <c r="D917" s="45"/>
      <c r="R917" s="44"/>
      <c r="S917" s="44"/>
      <c r="T917" s="44"/>
    </row>
    <row r="918" spans="4:20" ht="13" x14ac:dyDescent="0.15">
      <c r="D918" s="45"/>
      <c r="R918" s="44"/>
      <c r="S918" s="44"/>
      <c r="T918" s="44"/>
    </row>
    <row r="919" spans="4:20" ht="13" x14ac:dyDescent="0.15">
      <c r="D919" s="45"/>
      <c r="R919" s="44"/>
      <c r="S919" s="44"/>
      <c r="T919" s="44"/>
    </row>
    <row r="920" spans="4:20" ht="13" x14ac:dyDescent="0.15">
      <c r="D920" s="45"/>
      <c r="R920" s="44"/>
      <c r="S920" s="44"/>
      <c r="T920" s="44"/>
    </row>
    <row r="921" spans="4:20" ht="13" x14ac:dyDescent="0.15">
      <c r="D921" s="45"/>
      <c r="R921" s="44"/>
      <c r="S921" s="44"/>
      <c r="T921" s="44"/>
    </row>
    <row r="922" spans="4:20" ht="13" x14ac:dyDescent="0.15">
      <c r="D922" s="45"/>
      <c r="R922" s="44"/>
      <c r="S922" s="44"/>
      <c r="T922" s="44"/>
    </row>
    <row r="923" spans="4:20" ht="13" x14ac:dyDescent="0.15">
      <c r="D923" s="45"/>
      <c r="R923" s="44"/>
      <c r="S923" s="44"/>
      <c r="T923" s="44"/>
    </row>
    <row r="924" spans="4:20" ht="13" x14ac:dyDescent="0.15">
      <c r="D924" s="45"/>
      <c r="R924" s="44"/>
      <c r="S924" s="44"/>
      <c r="T924" s="44"/>
    </row>
    <row r="925" spans="4:20" ht="13" x14ac:dyDescent="0.15">
      <c r="D925" s="45"/>
      <c r="R925" s="44"/>
      <c r="S925" s="44"/>
      <c r="T925" s="44"/>
    </row>
    <row r="926" spans="4:20" ht="13" x14ac:dyDescent="0.15">
      <c r="D926" s="45"/>
      <c r="R926" s="44"/>
      <c r="S926" s="44"/>
      <c r="T926" s="44"/>
    </row>
    <row r="927" spans="4:20" ht="13" x14ac:dyDescent="0.15">
      <c r="D927" s="45"/>
      <c r="R927" s="44"/>
      <c r="S927" s="44"/>
      <c r="T927" s="44"/>
    </row>
    <row r="928" spans="4:20" ht="13" x14ac:dyDescent="0.15">
      <c r="D928" s="45"/>
      <c r="R928" s="44"/>
      <c r="S928" s="44"/>
      <c r="T928" s="44"/>
    </row>
    <row r="929" spans="4:20" ht="13" x14ac:dyDescent="0.15">
      <c r="D929" s="45"/>
      <c r="R929" s="44"/>
      <c r="S929" s="44"/>
      <c r="T929" s="44"/>
    </row>
    <row r="930" spans="4:20" ht="13" x14ac:dyDescent="0.15">
      <c r="D930" s="45"/>
      <c r="R930" s="44"/>
      <c r="S930" s="44"/>
      <c r="T930" s="44"/>
    </row>
    <row r="931" spans="4:20" ht="13" x14ac:dyDescent="0.15">
      <c r="D931" s="45"/>
      <c r="R931" s="44"/>
      <c r="S931" s="44"/>
      <c r="T931" s="44"/>
    </row>
    <row r="932" spans="4:20" ht="13" x14ac:dyDescent="0.15">
      <c r="D932" s="45"/>
      <c r="R932" s="44"/>
      <c r="S932" s="44"/>
      <c r="T932" s="44"/>
    </row>
    <row r="933" spans="4:20" ht="13" x14ac:dyDescent="0.15">
      <c r="D933" s="45"/>
      <c r="R933" s="44"/>
      <c r="S933" s="44"/>
      <c r="T933" s="44"/>
    </row>
    <row r="934" spans="4:20" ht="13" x14ac:dyDescent="0.15">
      <c r="D934" s="45"/>
      <c r="R934" s="44"/>
      <c r="S934" s="44"/>
      <c r="T934" s="44"/>
    </row>
    <row r="935" spans="4:20" ht="13" x14ac:dyDescent="0.15">
      <c r="D935" s="45"/>
      <c r="R935" s="44"/>
      <c r="S935" s="44"/>
      <c r="T935" s="44"/>
    </row>
    <row r="936" spans="4:20" ht="13" x14ac:dyDescent="0.15">
      <c r="D936" s="45"/>
      <c r="R936" s="44"/>
      <c r="S936" s="44"/>
      <c r="T936" s="44"/>
    </row>
    <row r="937" spans="4:20" ht="13" x14ac:dyDescent="0.15">
      <c r="D937" s="45"/>
      <c r="R937" s="44"/>
      <c r="S937" s="44"/>
      <c r="T937" s="44"/>
    </row>
    <row r="938" spans="4:20" ht="13" x14ac:dyDescent="0.15">
      <c r="D938" s="45"/>
      <c r="R938" s="44"/>
      <c r="S938" s="44"/>
      <c r="T938" s="44"/>
    </row>
    <row r="939" spans="4:20" ht="13" x14ac:dyDescent="0.15">
      <c r="D939" s="45"/>
      <c r="R939" s="44"/>
      <c r="S939" s="44"/>
      <c r="T939" s="44"/>
    </row>
    <row r="940" spans="4:20" ht="13" x14ac:dyDescent="0.15">
      <c r="D940" s="45"/>
      <c r="R940" s="44"/>
      <c r="S940" s="44"/>
      <c r="T940" s="44"/>
    </row>
    <row r="941" spans="4:20" ht="13" x14ac:dyDescent="0.15">
      <c r="D941" s="45"/>
      <c r="R941" s="44"/>
      <c r="S941" s="44"/>
      <c r="T941" s="44"/>
    </row>
    <row r="942" spans="4:20" ht="13" x14ac:dyDescent="0.15">
      <c r="D942" s="45"/>
      <c r="R942" s="44"/>
      <c r="S942" s="44"/>
      <c r="T942" s="44"/>
    </row>
    <row r="943" spans="4:20" ht="13" x14ac:dyDescent="0.15">
      <c r="D943" s="45"/>
      <c r="R943" s="44"/>
      <c r="S943" s="44"/>
      <c r="T943" s="44"/>
    </row>
    <row r="944" spans="4:20" ht="13" x14ac:dyDescent="0.15">
      <c r="D944" s="45"/>
      <c r="R944" s="44"/>
      <c r="S944" s="44"/>
      <c r="T944" s="44"/>
    </row>
    <row r="945" spans="4:20" ht="13" x14ac:dyDescent="0.15">
      <c r="D945" s="45"/>
      <c r="R945" s="44"/>
      <c r="S945" s="44"/>
      <c r="T945" s="44"/>
    </row>
    <row r="946" spans="4:20" ht="13" x14ac:dyDescent="0.15">
      <c r="D946" s="45"/>
      <c r="R946" s="44"/>
      <c r="S946" s="44"/>
      <c r="T946" s="44"/>
    </row>
    <row r="947" spans="4:20" ht="13" x14ac:dyDescent="0.15">
      <c r="D947" s="45"/>
      <c r="R947" s="44"/>
      <c r="S947" s="44"/>
      <c r="T947" s="44"/>
    </row>
    <row r="948" spans="4:20" ht="13" x14ac:dyDescent="0.15">
      <c r="D948" s="45"/>
      <c r="R948" s="44"/>
      <c r="S948" s="44"/>
      <c r="T948" s="44"/>
    </row>
    <row r="949" spans="4:20" ht="13" x14ac:dyDescent="0.15">
      <c r="D949" s="45"/>
      <c r="R949" s="44"/>
      <c r="S949" s="44"/>
      <c r="T949" s="44"/>
    </row>
    <row r="950" spans="4:20" ht="13" x14ac:dyDescent="0.15">
      <c r="D950" s="45"/>
      <c r="R950" s="44"/>
      <c r="S950" s="44"/>
      <c r="T950" s="44"/>
    </row>
    <row r="951" spans="4:20" ht="13" x14ac:dyDescent="0.15">
      <c r="D951" s="45"/>
      <c r="R951" s="44"/>
      <c r="S951" s="44"/>
      <c r="T951" s="44"/>
    </row>
    <row r="952" spans="4:20" ht="13" x14ac:dyDescent="0.15">
      <c r="D952" s="45"/>
      <c r="R952" s="44"/>
      <c r="S952" s="44"/>
      <c r="T952" s="44"/>
    </row>
    <row r="953" spans="4:20" ht="13" x14ac:dyDescent="0.15">
      <c r="D953" s="45"/>
      <c r="R953" s="44"/>
      <c r="S953" s="44"/>
      <c r="T953" s="44"/>
    </row>
    <row r="954" spans="4:20" ht="13" x14ac:dyDescent="0.15">
      <c r="D954" s="45"/>
      <c r="R954" s="44"/>
      <c r="S954" s="44"/>
      <c r="T954" s="44"/>
    </row>
    <row r="955" spans="4:20" ht="13" x14ac:dyDescent="0.15">
      <c r="D955" s="45"/>
      <c r="R955" s="44"/>
      <c r="S955" s="44"/>
      <c r="T955" s="44"/>
    </row>
    <row r="956" spans="4:20" ht="13" x14ac:dyDescent="0.15">
      <c r="D956" s="45"/>
      <c r="R956" s="44"/>
      <c r="S956" s="44"/>
      <c r="T956" s="44"/>
    </row>
    <row r="957" spans="4:20" ht="13" x14ac:dyDescent="0.15">
      <c r="D957" s="45"/>
      <c r="R957" s="44"/>
      <c r="S957" s="44"/>
      <c r="T957" s="44"/>
    </row>
    <row r="958" spans="4:20" ht="13" x14ac:dyDescent="0.15">
      <c r="D958" s="45"/>
      <c r="R958" s="44"/>
      <c r="S958" s="44"/>
      <c r="T958" s="44"/>
    </row>
    <row r="959" spans="4:20" ht="13" x14ac:dyDescent="0.15">
      <c r="D959" s="45"/>
      <c r="R959" s="44"/>
      <c r="S959" s="44"/>
      <c r="T959" s="44"/>
    </row>
    <row r="960" spans="4:20" ht="13" x14ac:dyDescent="0.15">
      <c r="D960" s="45"/>
      <c r="R960" s="44"/>
      <c r="S960" s="44"/>
      <c r="T960" s="44"/>
    </row>
    <row r="961" spans="4:20" ht="13" x14ac:dyDescent="0.15">
      <c r="D961" s="45"/>
      <c r="R961" s="44"/>
      <c r="S961" s="44"/>
      <c r="T961" s="44"/>
    </row>
    <row r="962" spans="4:20" ht="13" x14ac:dyDescent="0.15">
      <c r="D962" s="45"/>
      <c r="R962" s="44"/>
      <c r="S962" s="44"/>
      <c r="T962" s="44"/>
    </row>
    <row r="963" spans="4:20" ht="13" x14ac:dyDescent="0.15">
      <c r="D963" s="45"/>
      <c r="R963" s="44"/>
      <c r="S963" s="44"/>
      <c r="T963" s="44"/>
    </row>
    <row r="964" spans="4:20" ht="13" x14ac:dyDescent="0.15">
      <c r="D964" s="45"/>
      <c r="R964" s="44"/>
      <c r="S964" s="44"/>
      <c r="T964" s="44"/>
    </row>
    <row r="965" spans="4:20" ht="13" x14ac:dyDescent="0.15">
      <c r="D965" s="45"/>
      <c r="R965" s="44"/>
      <c r="S965" s="44"/>
      <c r="T965" s="44"/>
    </row>
    <row r="966" spans="4:20" ht="13" x14ac:dyDescent="0.15">
      <c r="D966" s="45"/>
      <c r="R966" s="44"/>
      <c r="S966" s="44"/>
      <c r="T966" s="44"/>
    </row>
    <row r="967" spans="4:20" ht="13" x14ac:dyDescent="0.15">
      <c r="D967" s="45"/>
      <c r="R967" s="44"/>
      <c r="S967" s="44"/>
      <c r="T967" s="44"/>
    </row>
    <row r="968" spans="4:20" ht="13" x14ac:dyDescent="0.15">
      <c r="D968" s="45"/>
      <c r="R968" s="44"/>
      <c r="S968" s="44"/>
      <c r="T968" s="44"/>
    </row>
    <row r="969" spans="4:20" ht="13" x14ac:dyDescent="0.15">
      <c r="D969" s="45"/>
      <c r="R969" s="44"/>
      <c r="S969" s="44"/>
      <c r="T969" s="44"/>
    </row>
    <row r="970" spans="4:20" ht="13" x14ac:dyDescent="0.15">
      <c r="D970" s="45"/>
      <c r="R970" s="44"/>
      <c r="S970" s="44"/>
      <c r="T970" s="44"/>
    </row>
    <row r="971" spans="4:20" ht="13" x14ac:dyDescent="0.15">
      <c r="D971" s="45"/>
      <c r="R971" s="44"/>
      <c r="S971" s="44"/>
      <c r="T971" s="44"/>
    </row>
    <row r="972" spans="4:20" ht="13" x14ac:dyDescent="0.15">
      <c r="D972" s="45"/>
      <c r="R972" s="44"/>
      <c r="S972" s="44"/>
      <c r="T972" s="44"/>
    </row>
    <row r="973" spans="4:20" ht="13" x14ac:dyDescent="0.15">
      <c r="D973" s="45"/>
      <c r="R973" s="44"/>
      <c r="S973" s="44"/>
      <c r="T973" s="44"/>
    </row>
    <row r="974" spans="4:20" ht="13" x14ac:dyDescent="0.15">
      <c r="D974" s="45"/>
      <c r="R974" s="44"/>
      <c r="S974" s="44"/>
      <c r="T974" s="44"/>
    </row>
    <row r="975" spans="4:20" ht="13" x14ac:dyDescent="0.15">
      <c r="D975" s="45"/>
      <c r="R975" s="44"/>
      <c r="S975" s="44"/>
      <c r="T975" s="44"/>
    </row>
    <row r="976" spans="4:20" ht="13" x14ac:dyDescent="0.15">
      <c r="D976" s="45"/>
      <c r="R976" s="44"/>
      <c r="S976" s="44"/>
      <c r="T976" s="44"/>
    </row>
    <row r="977" spans="4:20" ht="13" x14ac:dyDescent="0.15">
      <c r="D977" s="45"/>
      <c r="R977" s="44"/>
      <c r="S977" s="44"/>
      <c r="T977" s="44"/>
    </row>
    <row r="978" spans="4:20" ht="13" x14ac:dyDescent="0.15">
      <c r="D978" s="45"/>
      <c r="R978" s="44"/>
      <c r="S978" s="44"/>
      <c r="T978" s="44"/>
    </row>
    <row r="979" spans="4:20" ht="13" x14ac:dyDescent="0.15">
      <c r="D979" s="45"/>
      <c r="R979" s="44"/>
      <c r="S979" s="44"/>
      <c r="T979" s="44"/>
    </row>
    <row r="980" spans="4:20" ht="13" x14ac:dyDescent="0.15">
      <c r="D980" s="45"/>
      <c r="R980" s="44"/>
      <c r="S980" s="44"/>
      <c r="T980" s="44"/>
    </row>
    <row r="981" spans="4:20" ht="13" x14ac:dyDescent="0.15">
      <c r="D981" s="45"/>
      <c r="R981" s="44"/>
      <c r="S981" s="44"/>
      <c r="T981" s="44"/>
    </row>
    <row r="982" spans="4:20" ht="13" x14ac:dyDescent="0.15">
      <c r="D982" s="45"/>
      <c r="R982" s="44"/>
      <c r="S982" s="44"/>
      <c r="T982" s="44"/>
    </row>
    <row r="983" spans="4:20" ht="13" x14ac:dyDescent="0.15">
      <c r="D983" s="45"/>
      <c r="R983" s="44"/>
      <c r="S983" s="44"/>
      <c r="T983" s="44"/>
    </row>
    <row r="984" spans="4:20" ht="13" x14ac:dyDescent="0.15">
      <c r="D984" s="45"/>
      <c r="R984" s="44"/>
      <c r="S984" s="44"/>
      <c r="T984" s="44"/>
    </row>
    <row r="985" spans="4:20" ht="13" x14ac:dyDescent="0.15">
      <c r="D985" s="45"/>
      <c r="R985" s="44"/>
      <c r="S985" s="44"/>
      <c r="T985" s="44"/>
    </row>
    <row r="986" spans="4:20" ht="13" x14ac:dyDescent="0.15">
      <c r="D986" s="45"/>
      <c r="R986" s="44"/>
      <c r="S986" s="44"/>
      <c r="T986" s="44"/>
    </row>
    <row r="987" spans="4:20" ht="13" x14ac:dyDescent="0.15">
      <c r="D987" s="45"/>
      <c r="R987" s="44"/>
      <c r="S987" s="44"/>
      <c r="T987" s="44"/>
    </row>
    <row r="988" spans="4:20" ht="13" x14ac:dyDescent="0.15">
      <c r="D988" s="45"/>
      <c r="R988" s="44"/>
      <c r="S988" s="44"/>
      <c r="T988" s="44"/>
    </row>
    <row r="989" spans="4:20" ht="13" x14ac:dyDescent="0.15">
      <c r="D989" s="45"/>
      <c r="R989" s="44"/>
      <c r="S989" s="44"/>
      <c r="T989" s="44"/>
    </row>
    <row r="990" spans="4:20" ht="13" x14ac:dyDescent="0.15">
      <c r="D990" s="45"/>
      <c r="R990" s="44"/>
      <c r="S990" s="44"/>
      <c r="T990" s="44"/>
    </row>
    <row r="991" spans="4:20" ht="13" x14ac:dyDescent="0.15">
      <c r="D991" s="45"/>
      <c r="R991" s="44"/>
      <c r="S991" s="44"/>
      <c r="T991" s="44"/>
    </row>
    <row r="992" spans="4:20" ht="13" x14ac:dyDescent="0.15">
      <c r="D992" s="45"/>
      <c r="R992" s="44"/>
      <c r="S992" s="44"/>
      <c r="T992" s="44"/>
    </row>
    <row r="993" spans="4:20" ht="13" x14ac:dyDescent="0.15">
      <c r="D993" s="45"/>
      <c r="R993" s="44"/>
      <c r="S993" s="44"/>
      <c r="T993" s="44"/>
    </row>
    <row r="994" spans="4:20" ht="13" x14ac:dyDescent="0.15">
      <c r="D994" s="45"/>
      <c r="R994" s="44"/>
      <c r="S994" s="44"/>
      <c r="T994" s="44"/>
    </row>
    <row r="995" spans="4:20" ht="13" x14ac:dyDescent="0.15">
      <c r="D995" s="45"/>
      <c r="R995" s="44"/>
      <c r="S995" s="44"/>
      <c r="T995" s="44"/>
    </row>
    <row r="996" spans="4:20" ht="13" x14ac:dyDescent="0.15">
      <c r="D996" s="45"/>
      <c r="R996" s="44"/>
      <c r="S996" s="44"/>
      <c r="T996" s="44"/>
    </row>
    <row r="997" spans="4:20" ht="13" x14ac:dyDescent="0.15">
      <c r="D997" s="45"/>
      <c r="R997" s="44"/>
      <c r="S997" s="44"/>
      <c r="T997" s="44"/>
    </row>
    <row r="998" spans="4:20" ht="13" x14ac:dyDescent="0.15">
      <c r="D998" s="45"/>
      <c r="R998" s="44"/>
      <c r="S998" s="44"/>
      <c r="T998" s="44"/>
    </row>
    <row r="999" spans="4:20" ht="13" x14ac:dyDescent="0.15">
      <c r="D999" s="45"/>
      <c r="R999" s="44"/>
      <c r="S999" s="44"/>
      <c r="T999" s="44"/>
    </row>
    <row r="1000" spans="4:20" ht="13" x14ac:dyDescent="0.15">
      <c r="D1000" s="45"/>
      <c r="R1000" s="44"/>
      <c r="S1000" s="44"/>
      <c r="T1000" s="44"/>
    </row>
    <row r="1001" spans="4:20" ht="13" x14ac:dyDescent="0.15">
      <c r="D1001" s="45"/>
      <c r="R1001" s="44"/>
      <c r="S1001" s="44"/>
      <c r="T1001" s="44"/>
    </row>
    <row r="1002" spans="4:20" ht="13" x14ac:dyDescent="0.15">
      <c r="D1002" s="45"/>
      <c r="R1002" s="44"/>
      <c r="S1002" s="44"/>
      <c r="T1002" s="44"/>
    </row>
    <row r="1003" spans="4:20" ht="13" x14ac:dyDescent="0.15">
      <c r="D1003" s="45"/>
      <c r="R1003" s="44"/>
      <c r="S1003" s="44"/>
      <c r="T1003" s="44"/>
    </row>
    <row r="1004" spans="4:20" ht="13" x14ac:dyDescent="0.15">
      <c r="D1004" s="45"/>
      <c r="R1004" s="44"/>
      <c r="S1004" s="44"/>
      <c r="T1004" s="44"/>
    </row>
    <row r="1005" spans="4:20" ht="13" x14ac:dyDescent="0.15">
      <c r="D1005" s="45"/>
      <c r="R1005" s="44"/>
      <c r="S1005" s="44"/>
      <c r="T1005" s="44"/>
    </row>
    <row r="1006" spans="4:20" ht="13" x14ac:dyDescent="0.15">
      <c r="D1006" s="45"/>
      <c r="R1006" s="44"/>
      <c r="S1006" s="44"/>
      <c r="T1006" s="44"/>
    </row>
    <row r="1007" spans="4:20" ht="13" x14ac:dyDescent="0.15">
      <c r="D1007" s="45"/>
      <c r="R1007" s="44"/>
      <c r="S1007" s="44"/>
      <c r="T1007" s="44"/>
    </row>
    <row r="1008" spans="4:20" ht="13" x14ac:dyDescent="0.15">
      <c r="D1008" s="45"/>
      <c r="R1008" s="44"/>
      <c r="S1008" s="44"/>
      <c r="T1008" s="44"/>
    </row>
    <row r="1009" spans="4:20" ht="13" x14ac:dyDescent="0.15">
      <c r="D1009" s="45"/>
      <c r="R1009" s="44"/>
      <c r="S1009" s="44"/>
      <c r="T1009" s="44"/>
    </row>
    <row r="1010" spans="4:20" ht="13" x14ac:dyDescent="0.15">
      <c r="D1010" s="45"/>
      <c r="R1010" s="44"/>
      <c r="S1010" s="44"/>
      <c r="T1010" s="44"/>
    </row>
    <row r="1011" spans="4:20" ht="13" x14ac:dyDescent="0.15">
      <c r="D1011" s="45"/>
      <c r="R1011" s="44"/>
      <c r="S1011" s="44"/>
      <c r="T1011" s="44"/>
    </row>
    <row r="1012" spans="4:20" ht="13" x14ac:dyDescent="0.15">
      <c r="D1012" s="45"/>
      <c r="R1012" s="44"/>
      <c r="S1012" s="44"/>
      <c r="T1012" s="44"/>
    </row>
    <row r="1013" spans="4:20" ht="13" x14ac:dyDescent="0.15">
      <c r="D1013" s="45"/>
      <c r="R1013" s="44"/>
      <c r="S1013" s="44"/>
      <c r="T1013" s="44"/>
    </row>
    <row r="1014" spans="4:20" ht="13" x14ac:dyDescent="0.15">
      <c r="D1014" s="45"/>
      <c r="R1014" s="44"/>
      <c r="S1014" s="44"/>
      <c r="T1014" s="44"/>
    </row>
    <row r="1015" spans="4:20" ht="13" x14ac:dyDescent="0.15">
      <c r="D1015" s="45"/>
      <c r="R1015" s="44"/>
      <c r="S1015" s="44"/>
      <c r="T1015" s="44"/>
    </row>
    <row r="1016" spans="4:20" ht="13" x14ac:dyDescent="0.15">
      <c r="D1016" s="45"/>
      <c r="R1016" s="44"/>
      <c r="S1016" s="44"/>
      <c r="T1016" s="44"/>
    </row>
    <row r="1017" spans="4:20" ht="13" x14ac:dyDescent="0.15">
      <c r="D1017" s="45"/>
      <c r="R1017" s="44"/>
      <c r="S1017" s="44"/>
      <c r="T1017" s="44"/>
    </row>
  </sheetData>
  <mergeCells count="3">
    <mergeCell ref="K1:Q1"/>
    <mergeCell ref="K10:Q10"/>
    <mergeCell ref="K16:Q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4"/>
  <sheetViews>
    <sheetView workbookViewId="0"/>
  </sheetViews>
  <sheetFormatPr baseColWidth="10" defaultColWidth="12.6640625" defaultRowHeight="15.75" customHeight="1" x14ac:dyDescent="0.15"/>
  <cols>
    <col min="1" max="1" width="5" customWidth="1"/>
    <col min="2" max="2" width="20.5" customWidth="1"/>
    <col min="3" max="3" width="22" customWidth="1"/>
    <col min="4" max="4" width="24.1640625" customWidth="1"/>
    <col min="5" max="5" width="17.6640625" customWidth="1"/>
    <col min="6" max="6" width="19.83203125" customWidth="1"/>
    <col min="7" max="7" width="32.33203125" customWidth="1"/>
  </cols>
  <sheetData>
    <row r="1" spans="1:8" ht="15.75" customHeight="1" x14ac:dyDescent="0.15">
      <c r="A1" s="77"/>
      <c r="B1" s="77"/>
      <c r="C1" s="6"/>
      <c r="D1" s="6"/>
      <c r="F1" s="77"/>
      <c r="G1" s="77"/>
    </row>
    <row r="2" spans="1:8" ht="15.75" customHeight="1" x14ac:dyDescent="0.15">
      <c r="A2" s="77"/>
      <c r="B2" s="77" t="s">
        <v>3</v>
      </c>
      <c r="C2" s="6" t="s">
        <v>4</v>
      </c>
      <c r="D2" s="6" t="s">
        <v>5</v>
      </c>
      <c r="F2" s="77"/>
      <c r="G2" s="78" t="s">
        <v>95</v>
      </c>
    </row>
    <row r="3" spans="1:8" ht="15.75" customHeight="1" x14ac:dyDescent="0.15">
      <c r="A3" s="5"/>
      <c r="B3" s="5" t="s">
        <v>17</v>
      </c>
      <c r="C3" s="79">
        <v>4990</v>
      </c>
      <c r="D3" s="79">
        <v>3990</v>
      </c>
      <c r="E3" s="77"/>
      <c r="F3" s="80"/>
      <c r="G3" s="81" t="s">
        <v>96</v>
      </c>
      <c r="H3" s="77"/>
    </row>
    <row r="4" spans="1:8" ht="15.75" customHeight="1" x14ac:dyDescent="0.15">
      <c r="A4" s="5"/>
      <c r="B4" s="5" t="s">
        <v>22</v>
      </c>
      <c r="C4" s="45" t="s">
        <v>23</v>
      </c>
      <c r="D4" s="45" t="s">
        <v>24</v>
      </c>
      <c r="F4" s="80"/>
      <c r="G4" s="81" t="s">
        <v>97</v>
      </c>
    </row>
    <row r="5" spans="1:8" ht="15.75" customHeight="1" x14ac:dyDescent="0.15">
      <c r="A5" s="5"/>
      <c r="B5" s="5" t="s">
        <v>31</v>
      </c>
      <c r="C5" s="45" t="s">
        <v>32</v>
      </c>
      <c r="D5" s="45" t="s">
        <v>33</v>
      </c>
      <c r="F5" s="80"/>
      <c r="G5" s="81" t="s">
        <v>98</v>
      </c>
    </row>
    <row r="6" spans="1:8" ht="15.75" customHeight="1" x14ac:dyDescent="0.15">
      <c r="A6" s="5"/>
      <c r="B6" s="5" t="s">
        <v>38</v>
      </c>
      <c r="C6" s="45" t="s">
        <v>39</v>
      </c>
      <c r="D6" s="45" t="s">
        <v>40</v>
      </c>
      <c r="F6" s="82"/>
      <c r="G6" s="83" t="s">
        <v>99</v>
      </c>
    </row>
    <row r="7" spans="1:8" ht="15.75" customHeight="1" x14ac:dyDescent="0.15">
      <c r="A7" s="5"/>
      <c r="B7" s="5" t="s">
        <v>44</v>
      </c>
      <c r="C7" s="45" t="s">
        <v>45</v>
      </c>
      <c r="D7" s="45" t="s">
        <v>46</v>
      </c>
    </row>
    <row r="8" spans="1:8" ht="15.75" customHeight="1" x14ac:dyDescent="0.15">
      <c r="A8" s="77"/>
      <c r="B8" s="77" t="s">
        <v>50</v>
      </c>
      <c r="C8" s="45" t="s">
        <v>51</v>
      </c>
      <c r="D8" s="84" t="s">
        <v>52</v>
      </c>
    </row>
    <row r="9" spans="1:8" ht="15.75" customHeight="1" x14ac:dyDescent="0.15">
      <c r="A9" s="77"/>
      <c r="B9" s="77" t="s">
        <v>57</v>
      </c>
      <c r="C9" s="45" t="s">
        <v>58</v>
      </c>
      <c r="D9" s="45" t="s">
        <v>58</v>
      </c>
    </row>
    <row r="10" spans="1:8" ht="15.75" customHeight="1" x14ac:dyDescent="0.15">
      <c r="A10" s="77"/>
      <c r="B10" s="77" t="s">
        <v>59</v>
      </c>
      <c r="C10" s="45" t="s">
        <v>60</v>
      </c>
      <c r="D10" s="45" t="s">
        <v>62</v>
      </c>
    </row>
    <row r="11" spans="1:8" ht="15.75" customHeight="1" x14ac:dyDescent="0.15">
      <c r="A11" s="85"/>
      <c r="B11" s="86" t="s">
        <v>100</v>
      </c>
      <c r="C11" s="87">
        <v>0.31</v>
      </c>
      <c r="D11" s="87">
        <v>0.32</v>
      </c>
    </row>
    <row r="13" spans="1:8" ht="15.75" customHeight="1" x14ac:dyDescent="0.15">
      <c r="B13" s="77"/>
      <c r="C13" s="77"/>
    </row>
    <row r="14" spans="1:8" ht="15.75" customHeight="1" x14ac:dyDescent="0.15">
      <c r="B14" s="77"/>
      <c r="C14" s="77" t="s">
        <v>101</v>
      </c>
    </row>
    <row r="15" spans="1:8" ht="15.75" customHeight="1" x14ac:dyDescent="0.15">
      <c r="A15" s="77"/>
      <c r="B15" s="5" t="s">
        <v>102</v>
      </c>
      <c r="C15" s="45" t="s">
        <v>103</v>
      </c>
      <c r="E15" s="45"/>
    </row>
    <row r="16" spans="1:8" ht="15.75" customHeight="1" x14ac:dyDescent="0.15">
      <c r="A16" s="5"/>
      <c r="B16" s="5" t="s">
        <v>104</v>
      </c>
      <c r="C16" s="45" t="s">
        <v>105</v>
      </c>
      <c r="E16" s="84"/>
    </row>
    <row r="17" spans="1:5" ht="15.75" customHeight="1" x14ac:dyDescent="0.15">
      <c r="A17" s="5"/>
      <c r="B17" s="5" t="s">
        <v>83</v>
      </c>
      <c r="C17" s="84" t="s">
        <v>52</v>
      </c>
      <c r="E17" s="45"/>
    </row>
    <row r="18" spans="1:5" ht="15.75" customHeight="1" x14ac:dyDescent="0.15">
      <c r="A18" s="5"/>
      <c r="B18" s="5" t="s">
        <v>57</v>
      </c>
      <c r="C18" s="45" t="s">
        <v>87</v>
      </c>
      <c r="E18" s="45"/>
    </row>
    <row r="19" spans="1:5" ht="15.75" customHeight="1" x14ac:dyDescent="0.15">
      <c r="A19" s="5"/>
      <c r="B19" s="5" t="s">
        <v>106</v>
      </c>
      <c r="C19" s="84" t="s">
        <v>107</v>
      </c>
      <c r="E19" s="84"/>
    </row>
    <row r="20" spans="1:5" ht="15.75" customHeight="1" x14ac:dyDescent="0.15">
      <c r="A20" s="5"/>
      <c r="B20" s="5" t="s">
        <v>108</v>
      </c>
      <c r="C20" s="84" t="s">
        <v>109</v>
      </c>
      <c r="E20" s="45"/>
    </row>
    <row r="21" spans="1:5" ht="15.75" customHeight="1" x14ac:dyDescent="0.15">
      <c r="A21" s="5"/>
      <c r="B21" s="5" t="s">
        <v>59</v>
      </c>
      <c r="C21" s="84" t="s">
        <v>110</v>
      </c>
      <c r="E21" s="84"/>
    </row>
    <row r="22" spans="1:5" ht="15.75" customHeight="1" x14ac:dyDescent="0.15">
      <c r="A22" s="5"/>
      <c r="B22" s="5" t="s">
        <v>111</v>
      </c>
      <c r="C22" s="84" t="s">
        <v>112</v>
      </c>
      <c r="E22" s="84"/>
    </row>
    <row r="23" spans="1:5" ht="15.75" customHeight="1" x14ac:dyDescent="0.15">
      <c r="A23" s="5"/>
      <c r="B23" s="5" t="s">
        <v>113</v>
      </c>
      <c r="C23" s="63">
        <v>2990</v>
      </c>
      <c r="E23" s="45"/>
    </row>
    <row r="24" spans="1:5" ht="15.75" customHeight="1" x14ac:dyDescent="0.15">
      <c r="B24" s="5" t="s">
        <v>114</v>
      </c>
      <c r="E24" s="84"/>
    </row>
    <row r="25" spans="1:5" ht="15.75" customHeight="1" x14ac:dyDescent="0.15">
      <c r="B25" s="77"/>
      <c r="C25" s="45"/>
      <c r="D25" s="84"/>
    </row>
    <row r="26" spans="1:5" ht="15.75" customHeight="1" x14ac:dyDescent="0.15">
      <c r="D26" s="45"/>
    </row>
    <row r="27" spans="1:5" ht="15.75" customHeight="1" x14ac:dyDescent="0.15">
      <c r="D27" s="45"/>
    </row>
    <row r="28" spans="1:5" ht="15.75" customHeight="1" x14ac:dyDescent="0.15">
      <c r="D28" s="84"/>
    </row>
    <row r="29" spans="1:5" ht="15.75" customHeight="1" x14ac:dyDescent="0.15">
      <c r="D29" s="45"/>
    </row>
    <row r="30" spans="1:5" ht="15.75" customHeight="1" x14ac:dyDescent="0.15">
      <c r="D30" s="84"/>
    </row>
    <row r="31" spans="1:5" ht="15.75" customHeight="1" x14ac:dyDescent="0.15">
      <c r="D31" s="84"/>
    </row>
    <row r="32" spans="1:5" ht="15.75" customHeight="1" x14ac:dyDescent="0.15">
      <c r="D32" s="45"/>
    </row>
    <row r="33" spans="3:4" ht="15.75" customHeight="1" x14ac:dyDescent="0.15">
      <c r="D33" s="84"/>
    </row>
    <row r="34" spans="3:4" ht="15.75" customHeight="1" x14ac:dyDescent="0.15">
      <c r="C34" s="45"/>
      <c r="D34" s="45"/>
    </row>
    <row r="35" spans="3:4" ht="15.75" customHeight="1" x14ac:dyDescent="0.15">
      <c r="C35" s="45"/>
      <c r="D35" s="45"/>
    </row>
    <row r="36" spans="3:4" ht="15.75" customHeight="1" x14ac:dyDescent="0.15">
      <c r="C36" s="45"/>
      <c r="D36" s="45"/>
    </row>
    <row r="37" spans="3:4" ht="15.75" customHeight="1" x14ac:dyDescent="0.15">
      <c r="C37" s="45"/>
      <c r="D37" s="45"/>
    </row>
    <row r="38" spans="3:4" ht="15.75" customHeight="1" x14ac:dyDescent="0.15">
      <c r="C38" s="45"/>
      <c r="D38" s="45"/>
    </row>
    <row r="39" spans="3:4" ht="15.75" customHeight="1" x14ac:dyDescent="0.15">
      <c r="C39" s="45"/>
      <c r="D39" s="45"/>
    </row>
    <row r="40" spans="3:4" ht="15.75" customHeight="1" x14ac:dyDescent="0.15">
      <c r="C40" s="45"/>
      <c r="D40" s="45"/>
    </row>
    <row r="41" spans="3:4" ht="15.75" customHeight="1" x14ac:dyDescent="0.15">
      <c r="C41" s="45"/>
      <c r="D41" s="45"/>
    </row>
    <row r="42" spans="3:4" ht="15.75" customHeight="1" x14ac:dyDescent="0.15">
      <c r="C42" s="45"/>
      <c r="D42" s="45"/>
    </row>
    <row r="43" spans="3:4" ht="15.75" customHeight="1" x14ac:dyDescent="0.15">
      <c r="C43" s="45"/>
      <c r="D43" s="45"/>
    </row>
    <row r="44" spans="3:4" ht="15.75" customHeight="1" x14ac:dyDescent="0.15">
      <c r="C44" s="45"/>
      <c r="D44" s="45"/>
    </row>
    <row r="45" spans="3:4" ht="15.75" customHeight="1" x14ac:dyDescent="0.15">
      <c r="C45" s="45"/>
      <c r="D45" s="45"/>
    </row>
    <row r="46" spans="3:4" ht="15.75" customHeight="1" x14ac:dyDescent="0.15">
      <c r="C46" s="45"/>
      <c r="D46" s="45"/>
    </row>
    <row r="47" spans="3:4" ht="15.75" customHeight="1" x14ac:dyDescent="0.15">
      <c r="C47" s="45"/>
      <c r="D47" s="45"/>
    </row>
    <row r="48" spans="3:4" ht="15.75" customHeight="1" x14ac:dyDescent="0.15">
      <c r="C48" s="45"/>
      <c r="D48" s="45"/>
    </row>
    <row r="49" spans="3:4" ht="15.75" customHeight="1" x14ac:dyDescent="0.15">
      <c r="C49" s="45"/>
      <c r="D49" s="45"/>
    </row>
    <row r="50" spans="3:4" ht="15.75" customHeight="1" x14ac:dyDescent="0.15">
      <c r="C50" s="45"/>
      <c r="D50" s="45"/>
    </row>
    <row r="51" spans="3:4" ht="15.75" customHeight="1" x14ac:dyDescent="0.15">
      <c r="C51" s="45"/>
      <c r="D51" s="45"/>
    </row>
    <row r="52" spans="3:4" ht="15.75" customHeight="1" x14ac:dyDescent="0.15">
      <c r="C52" s="45"/>
      <c r="D52" s="45"/>
    </row>
    <row r="53" spans="3:4" ht="15.75" customHeight="1" x14ac:dyDescent="0.15">
      <c r="C53" s="45"/>
      <c r="D53" s="45"/>
    </row>
    <row r="54" spans="3:4" ht="15.75" customHeight="1" x14ac:dyDescent="0.15">
      <c r="C54" s="45"/>
      <c r="D54" s="45"/>
    </row>
    <row r="55" spans="3:4" ht="15.75" customHeight="1" x14ac:dyDescent="0.15">
      <c r="C55" s="45"/>
      <c r="D55" s="45"/>
    </row>
    <row r="56" spans="3:4" ht="15.75" customHeight="1" x14ac:dyDescent="0.15">
      <c r="C56" s="45"/>
      <c r="D56" s="45"/>
    </row>
    <row r="57" spans="3:4" ht="15.75" customHeight="1" x14ac:dyDescent="0.15">
      <c r="C57" s="45"/>
      <c r="D57" s="45"/>
    </row>
    <row r="58" spans="3:4" ht="15.75" customHeight="1" x14ac:dyDescent="0.15">
      <c r="C58" s="45"/>
      <c r="D58" s="45"/>
    </row>
    <row r="59" spans="3:4" ht="13" x14ac:dyDescent="0.15">
      <c r="C59" s="45"/>
      <c r="D59" s="45"/>
    </row>
    <row r="60" spans="3:4" ht="13" x14ac:dyDescent="0.15">
      <c r="C60" s="45"/>
      <c r="D60" s="45"/>
    </row>
    <row r="61" spans="3:4" ht="13" x14ac:dyDescent="0.15">
      <c r="C61" s="45"/>
      <c r="D61" s="45"/>
    </row>
    <row r="62" spans="3:4" ht="13" x14ac:dyDescent="0.15">
      <c r="C62" s="45"/>
      <c r="D62" s="45"/>
    </row>
    <row r="63" spans="3:4" ht="13" x14ac:dyDescent="0.15">
      <c r="C63" s="45"/>
      <c r="D63" s="45"/>
    </row>
    <row r="64" spans="3:4" ht="13" x14ac:dyDescent="0.15">
      <c r="C64" s="45"/>
      <c r="D64" s="45"/>
    </row>
    <row r="65" spans="3:4" ht="13" x14ac:dyDescent="0.15">
      <c r="C65" s="45"/>
      <c r="D65" s="45"/>
    </row>
    <row r="66" spans="3:4" ht="13" x14ac:dyDescent="0.15">
      <c r="C66" s="45"/>
      <c r="D66" s="45"/>
    </row>
    <row r="67" spans="3:4" ht="13" x14ac:dyDescent="0.15">
      <c r="C67" s="45"/>
      <c r="D67" s="45"/>
    </row>
    <row r="68" spans="3:4" ht="13" x14ac:dyDescent="0.15">
      <c r="C68" s="45"/>
      <c r="D68" s="45"/>
    </row>
    <row r="69" spans="3:4" ht="13" x14ac:dyDescent="0.15">
      <c r="C69" s="45"/>
      <c r="D69" s="45"/>
    </row>
    <row r="70" spans="3:4" ht="13" x14ac:dyDescent="0.15">
      <c r="C70" s="45"/>
      <c r="D70" s="45"/>
    </row>
    <row r="71" spans="3:4" ht="13" x14ac:dyDescent="0.15">
      <c r="C71" s="45"/>
      <c r="D71" s="45"/>
    </row>
    <row r="72" spans="3:4" ht="13" x14ac:dyDescent="0.15">
      <c r="C72" s="45"/>
      <c r="D72" s="45"/>
    </row>
    <row r="73" spans="3:4" ht="13" x14ac:dyDescent="0.15">
      <c r="C73" s="45"/>
      <c r="D73" s="45"/>
    </row>
    <row r="74" spans="3:4" ht="13" x14ac:dyDescent="0.15">
      <c r="C74" s="45"/>
      <c r="D74" s="45"/>
    </row>
    <row r="75" spans="3:4" ht="13" x14ac:dyDescent="0.15">
      <c r="C75" s="45"/>
      <c r="D75" s="45"/>
    </row>
    <row r="76" spans="3:4" ht="13" x14ac:dyDescent="0.15">
      <c r="C76" s="45"/>
      <c r="D76" s="45"/>
    </row>
    <row r="77" spans="3:4" ht="13" x14ac:dyDescent="0.15">
      <c r="C77" s="45"/>
      <c r="D77" s="45"/>
    </row>
    <row r="78" spans="3:4" ht="13" x14ac:dyDescent="0.15">
      <c r="C78" s="45"/>
      <c r="D78" s="45"/>
    </row>
    <row r="79" spans="3:4" ht="13" x14ac:dyDescent="0.15">
      <c r="C79" s="45"/>
      <c r="D79" s="45"/>
    </row>
    <row r="80" spans="3:4" ht="13" x14ac:dyDescent="0.15">
      <c r="C80" s="45"/>
      <c r="D80" s="45"/>
    </row>
    <row r="81" spans="3:4" ht="13" x14ac:dyDescent="0.15">
      <c r="C81" s="45"/>
      <c r="D81" s="45"/>
    </row>
    <row r="82" spans="3:4" ht="13" x14ac:dyDescent="0.15">
      <c r="C82" s="45"/>
      <c r="D82" s="45"/>
    </row>
    <row r="83" spans="3:4" ht="13" x14ac:dyDescent="0.15">
      <c r="C83" s="45"/>
      <c r="D83" s="45"/>
    </row>
    <row r="84" spans="3:4" ht="13" x14ac:dyDescent="0.15">
      <c r="C84" s="45"/>
      <c r="D84" s="45"/>
    </row>
    <row r="85" spans="3:4" ht="13" x14ac:dyDescent="0.15">
      <c r="C85" s="45"/>
      <c r="D85" s="45"/>
    </row>
    <row r="86" spans="3:4" ht="13" x14ac:dyDescent="0.15">
      <c r="C86" s="45"/>
      <c r="D86" s="45"/>
    </row>
    <row r="87" spans="3:4" ht="13" x14ac:dyDescent="0.15">
      <c r="C87" s="45"/>
      <c r="D87" s="45"/>
    </row>
    <row r="88" spans="3:4" ht="13" x14ac:dyDescent="0.15">
      <c r="C88" s="45"/>
      <c r="D88" s="45"/>
    </row>
    <row r="89" spans="3:4" ht="13" x14ac:dyDescent="0.15">
      <c r="C89" s="45"/>
      <c r="D89" s="45"/>
    </row>
    <row r="90" spans="3:4" ht="13" x14ac:dyDescent="0.15">
      <c r="C90" s="45"/>
      <c r="D90" s="45"/>
    </row>
    <row r="91" spans="3:4" ht="13" x14ac:dyDescent="0.15">
      <c r="C91" s="45"/>
      <c r="D91" s="45"/>
    </row>
    <row r="92" spans="3:4" ht="13" x14ac:dyDescent="0.15">
      <c r="C92" s="45"/>
      <c r="D92" s="45"/>
    </row>
    <row r="93" spans="3:4" ht="13" x14ac:dyDescent="0.15">
      <c r="C93" s="45"/>
      <c r="D93" s="45"/>
    </row>
    <row r="94" spans="3:4" ht="13" x14ac:dyDescent="0.15">
      <c r="C94" s="45"/>
      <c r="D94" s="45"/>
    </row>
    <row r="95" spans="3:4" ht="13" x14ac:dyDescent="0.15">
      <c r="C95" s="45"/>
      <c r="D95" s="45"/>
    </row>
    <row r="96" spans="3:4" ht="13" x14ac:dyDescent="0.15">
      <c r="C96" s="45"/>
      <c r="D96" s="45"/>
    </row>
    <row r="97" spans="3:4" ht="13" x14ac:dyDescent="0.15">
      <c r="C97" s="45"/>
      <c r="D97" s="45"/>
    </row>
    <row r="98" spans="3:4" ht="13" x14ac:dyDescent="0.15">
      <c r="C98" s="45"/>
      <c r="D98" s="45"/>
    </row>
    <row r="99" spans="3:4" ht="13" x14ac:dyDescent="0.15">
      <c r="C99" s="45"/>
      <c r="D99" s="45"/>
    </row>
    <row r="100" spans="3:4" ht="13" x14ac:dyDescent="0.15">
      <c r="C100" s="45"/>
      <c r="D100" s="45"/>
    </row>
    <row r="101" spans="3:4" ht="13" x14ac:dyDescent="0.15">
      <c r="C101" s="45"/>
      <c r="D101" s="45"/>
    </row>
    <row r="102" spans="3:4" ht="13" x14ac:dyDescent="0.15">
      <c r="C102" s="45"/>
      <c r="D102" s="45"/>
    </row>
    <row r="103" spans="3:4" ht="13" x14ac:dyDescent="0.15">
      <c r="C103" s="45"/>
      <c r="D103" s="45"/>
    </row>
    <row r="104" spans="3:4" ht="13" x14ac:dyDescent="0.15">
      <c r="C104" s="45"/>
      <c r="D104" s="45"/>
    </row>
    <row r="105" spans="3:4" ht="13" x14ac:dyDescent="0.15">
      <c r="C105" s="45"/>
      <c r="D105" s="45"/>
    </row>
    <row r="106" spans="3:4" ht="13" x14ac:dyDescent="0.15">
      <c r="C106" s="45"/>
      <c r="D106" s="45"/>
    </row>
    <row r="107" spans="3:4" ht="13" x14ac:dyDescent="0.15">
      <c r="C107" s="45"/>
      <c r="D107" s="45"/>
    </row>
    <row r="108" spans="3:4" ht="13" x14ac:dyDescent="0.15">
      <c r="C108" s="45"/>
      <c r="D108" s="45"/>
    </row>
    <row r="109" spans="3:4" ht="13" x14ac:dyDescent="0.15">
      <c r="C109" s="45"/>
      <c r="D109" s="45"/>
    </row>
    <row r="110" spans="3:4" ht="13" x14ac:dyDescent="0.15">
      <c r="C110" s="45"/>
      <c r="D110" s="45"/>
    </row>
    <row r="111" spans="3:4" ht="13" x14ac:dyDescent="0.15">
      <c r="C111" s="45"/>
      <c r="D111" s="45"/>
    </row>
    <row r="112" spans="3:4" ht="13" x14ac:dyDescent="0.15">
      <c r="C112" s="45"/>
      <c r="D112" s="45"/>
    </row>
    <row r="113" spans="3:4" ht="13" x14ac:dyDescent="0.15">
      <c r="C113" s="45"/>
      <c r="D113" s="45"/>
    </row>
    <row r="114" spans="3:4" ht="13" x14ac:dyDescent="0.15">
      <c r="C114" s="45"/>
      <c r="D114" s="45"/>
    </row>
    <row r="115" spans="3:4" ht="13" x14ac:dyDescent="0.15">
      <c r="C115" s="45"/>
      <c r="D115" s="45"/>
    </row>
    <row r="116" spans="3:4" ht="13" x14ac:dyDescent="0.15">
      <c r="C116" s="45"/>
      <c r="D116" s="45"/>
    </row>
    <row r="117" spans="3:4" ht="13" x14ac:dyDescent="0.15">
      <c r="C117" s="45"/>
      <c r="D117" s="45"/>
    </row>
    <row r="118" spans="3:4" ht="13" x14ac:dyDescent="0.15">
      <c r="C118" s="45"/>
      <c r="D118" s="45"/>
    </row>
    <row r="119" spans="3:4" ht="13" x14ac:dyDescent="0.15">
      <c r="C119" s="45"/>
      <c r="D119" s="45"/>
    </row>
    <row r="120" spans="3:4" ht="13" x14ac:dyDescent="0.15">
      <c r="C120" s="45"/>
      <c r="D120" s="45"/>
    </row>
    <row r="121" spans="3:4" ht="13" x14ac:dyDescent="0.15">
      <c r="C121" s="45"/>
      <c r="D121" s="45"/>
    </row>
    <row r="122" spans="3:4" ht="13" x14ac:dyDescent="0.15">
      <c r="C122" s="45"/>
      <c r="D122" s="45"/>
    </row>
    <row r="123" spans="3:4" ht="13" x14ac:dyDescent="0.15">
      <c r="C123" s="45"/>
      <c r="D123" s="45"/>
    </row>
    <row r="124" spans="3:4" ht="13" x14ac:dyDescent="0.15">
      <c r="C124" s="45"/>
      <c r="D124" s="45"/>
    </row>
    <row r="125" spans="3:4" ht="13" x14ac:dyDescent="0.15">
      <c r="C125" s="45"/>
      <c r="D125" s="45"/>
    </row>
    <row r="126" spans="3:4" ht="13" x14ac:dyDescent="0.15">
      <c r="C126" s="45"/>
      <c r="D126" s="45"/>
    </row>
    <row r="127" spans="3:4" ht="13" x14ac:dyDescent="0.15">
      <c r="C127" s="45"/>
      <c r="D127" s="45"/>
    </row>
    <row r="128" spans="3:4" ht="13" x14ac:dyDescent="0.15">
      <c r="C128" s="45"/>
      <c r="D128" s="45"/>
    </row>
    <row r="129" spans="3:4" ht="13" x14ac:dyDescent="0.15">
      <c r="C129" s="45"/>
      <c r="D129" s="45"/>
    </row>
    <row r="130" spans="3:4" ht="13" x14ac:dyDescent="0.15">
      <c r="C130" s="45"/>
      <c r="D130" s="45"/>
    </row>
    <row r="131" spans="3:4" ht="13" x14ac:dyDescent="0.15">
      <c r="C131" s="45"/>
      <c r="D131" s="45"/>
    </row>
    <row r="132" spans="3:4" ht="13" x14ac:dyDescent="0.15">
      <c r="C132" s="45"/>
      <c r="D132" s="45"/>
    </row>
    <row r="133" spans="3:4" ht="13" x14ac:dyDescent="0.15">
      <c r="C133" s="45"/>
      <c r="D133" s="45"/>
    </row>
    <row r="134" spans="3:4" ht="13" x14ac:dyDescent="0.15">
      <c r="C134" s="45"/>
      <c r="D134" s="45"/>
    </row>
    <row r="135" spans="3:4" ht="13" x14ac:dyDescent="0.15">
      <c r="C135" s="45"/>
      <c r="D135" s="45"/>
    </row>
    <row r="136" spans="3:4" ht="13" x14ac:dyDescent="0.15">
      <c r="C136" s="45"/>
      <c r="D136" s="45"/>
    </row>
    <row r="137" spans="3:4" ht="13" x14ac:dyDescent="0.15">
      <c r="C137" s="45"/>
      <c r="D137" s="45"/>
    </row>
    <row r="138" spans="3:4" ht="13" x14ac:dyDescent="0.15">
      <c r="C138" s="45"/>
      <c r="D138" s="45"/>
    </row>
    <row r="139" spans="3:4" ht="13" x14ac:dyDescent="0.15">
      <c r="C139" s="45"/>
      <c r="D139" s="45"/>
    </row>
    <row r="140" spans="3:4" ht="13" x14ac:dyDescent="0.15">
      <c r="C140" s="45"/>
      <c r="D140" s="45"/>
    </row>
    <row r="141" spans="3:4" ht="13" x14ac:dyDescent="0.15">
      <c r="C141" s="45"/>
      <c r="D141" s="45"/>
    </row>
    <row r="142" spans="3:4" ht="13" x14ac:dyDescent="0.15">
      <c r="C142" s="45"/>
      <c r="D142" s="45"/>
    </row>
    <row r="143" spans="3:4" ht="13" x14ac:dyDescent="0.15">
      <c r="C143" s="45"/>
      <c r="D143" s="45"/>
    </row>
    <row r="144" spans="3:4" ht="13" x14ac:dyDescent="0.15">
      <c r="C144" s="45"/>
      <c r="D144" s="45"/>
    </row>
    <row r="145" spans="3:4" ht="13" x14ac:dyDescent="0.15">
      <c r="C145" s="45"/>
      <c r="D145" s="45"/>
    </row>
    <row r="146" spans="3:4" ht="13" x14ac:dyDescent="0.15">
      <c r="C146" s="45"/>
      <c r="D146" s="45"/>
    </row>
    <row r="147" spans="3:4" ht="13" x14ac:dyDescent="0.15">
      <c r="C147" s="45"/>
      <c r="D147" s="45"/>
    </row>
    <row r="148" spans="3:4" ht="13" x14ac:dyDescent="0.15">
      <c r="C148" s="45"/>
      <c r="D148" s="45"/>
    </row>
    <row r="149" spans="3:4" ht="13" x14ac:dyDescent="0.15">
      <c r="C149" s="45"/>
      <c r="D149" s="45"/>
    </row>
    <row r="150" spans="3:4" ht="13" x14ac:dyDescent="0.15">
      <c r="C150" s="45"/>
      <c r="D150" s="45"/>
    </row>
    <row r="151" spans="3:4" ht="13" x14ac:dyDescent="0.15">
      <c r="C151" s="45"/>
      <c r="D151" s="45"/>
    </row>
    <row r="152" spans="3:4" ht="13" x14ac:dyDescent="0.15">
      <c r="C152" s="45"/>
      <c r="D152" s="45"/>
    </row>
    <row r="153" spans="3:4" ht="13" x14ac:dyDescent="0.15">
      <c r="C153" s="45"/>
      <c r="D153" s="45"/>
    </row>
    <row r="154" spans="3:4" ht="13" x14ac:dyDescent="0.15">
      <c r="C154" s="45"/>
      <c r="D154" s="45"/>
    </row>
    <row r="155" spans="3:4" ht="13" x14ac:dyDescent="0.15">
      <c r="C155" s="45"/>
      <c r="D155" s="45"/>
    </row>
    <row r="156" spans="3:4" ht="13" x14ac:dyDescent="0.15">
      <c r="C156" s="45"/>
      <c r="D156" s="45"/>
    </row>
    <row r="157" spans="3:4" ht="13" x14ac:dyDescent="0.15">
      <c r="C157" s="45"/>
      <c r="D157" s="45"/>
    </row>
    <row r="158" spans="3:4" ht="13" x14ac:dyDescent="0.15">
      <c r="C158" s="45"/>
      <c r="D158" s="45"/>
    </row>
    <row r="159" spans="3:4" ht="13" x14ac:dyDescent="0.15">
      <c r="C159" s="45"/>
      <c r="D159" s="45"/>
    </row>
    <row r="160" spans="3:4" ht="13" x14ac:dyDescent="0.15">
      <c r="C160" s="45"/>
      <c r="D160" s="45"/>
    </row>
    <row r="161" spans="3:4" ht="13" x14ac:dyDescent="0.15">
      <c r="C161" s="45"/>
      <c r="D161" s="45"/>
    </row>
    <row r="162" spans="3:4" ht="13" x14ac:dyDescent="0.15">
      <c r="C162" s="45"/>
      <c r="D162" s="45"/>
    </row>
    <row r="163" spans="3:4" ht="13" x14ac:dyDescent="0.15">
      <c r="C163" s="45"/>
      <c r="D163" s="45"/>
    </row>
    <row r="164" spans="3:4" ht="13" x14ac:dyDescent="0.15">
      <c r="C164" s="45"/>
      <c r="D164" s="45"/>
    </row>
    <row r="165" spans="3:4" ht="13" x14ac:dyDescent="0.15">
      <c r="C165" s="45"/>
      <c r="D165" s="45"/>
    </row>
    <row r="166" spans="3:4" ht="13" x14ac:dyDescent="0.15">
      <c r="C166" s="45"/>
      <c r="D166" s="45"/>
    </row>
    <row r="167" spans="3:4" ht="13" x14ac:dyDescent="0.15">
      <c r="C167" s="45"/>
      <c r="D167" s="45"/>
    </row>
    <row r="168" spans="3:4" ht="13" x14ac:dyDescent="0.15">
      <c r="C168" s="45"/>
      <c r="D168" s="45"/>
    </row>
    <row r="169" spans="3:4" ht="13" x14ac:dyDescent="0.15">
      <c r="C169" s="45"/>
      <c r="D169" s="45"/>
    </row>
    <row r="170" spans="3:4" ht="13" x14ac:dyDescent="0.15">
      <c r="C170" s="45"/>
      <c r="D170" s="45"/>
    </row>
    <row r="171" spans="3:4" ht="13" x14ac:dyDescent="0.15">
      <c r="C171" s="45"/>
      <c r="D171" s="45"/>
    </row>
    <row r="172" spans="3:4" ht="13" x14ac:dyDescent="0.15">
      <c r="C172" s="45"/>
      <c r="D172" s="45"/>
    </row>
    <row r="173" spans="3:4" ht="13" x14ac:dyDescent="0.15">
      <c r="C173" s="45"/>
      <c r="D173" s="45"/>
    </row>
    <row r="174" spans="3:4" ht="13" x14ac:dyDescent="0.15">
      <c r="C174" s="45"/>
      <c r="D174" s="45"/>
    </row>
    <row r="175" spans="3:4" ht="13" x14ac:dyDescent="0.15">
      <c r="C175" s="45"/>
      <c r="D175" s="45"/>
    </row>
    <row r="176" spans="3:4" ht="13" x14ac:dyDescent="0.15">
      <c r="C176" s="45"/>
      <c r="D176" s="45"/>
    </row>
    <row r="177" spans="3:4" ht="13" x14ac:dyDescent="0.15">
      <c r="C177" s="45"/>
      <c r="D177" s="45"/>
    </row>
    <row r="178" spans="3:4" ht="13" x14ac:dyDescent="0.15">
      <c r="C178" s="45"/>
      <c r="D178" s="45"/>
    </row>
    <row r="179" spans="3:4" ht="13" x14ac:dyDescent="0.15">
      <c r="C179" s="45"/>
      <c r="D179" s="45"/>
    </row>
    <row r="180" spans="3:4" ht="13" x14ac:dyDescent="0.15">
      <c r="C180" s="45"/>
      <c r="D180" s="45"/>
    </row>
    <row r="181" spans="3:4" ht="13" x14ac:dyDescent="0.15">
      <c r="C181" s="45"/>
      <c r="D181" s="45"/>
    </row>
    <row r="182" spans="3:4" ht="13" x14ac:dyDescent="0.15">
      <c r="C182" s="45"/>
      <c r="D182" s="45"/>
    </row>
    <row r="183" spans="3:4" ht="13" x14ac:dyDescent="0.15">
      <c r="C183" s="45"/>
      <c r="D183" s="45"/>
    </row>
    <row r="184" spans="3:4" ht="13" x14ac:dyDescent="0.15">
      <c r="C184" s="45"/>
      <c r="D184" s="45"/>
    </row>
    <row r="185" spans="3:4" ht="13" x14ac:dyDescent="0.15">
      <c r="C185" s="45"/>
      <c r="D185" s="45"/>
    </row>
    <row r="186" spans="3:4" ht="13" x14ac:dyDescent="0.15">
      <c r="C186" s="45"/>
      <c r="D186" s="45"/>
    </row>
    <row r="187" spans="3:4" ht="13" x14ac:dyDescent="0.15">
      <c r="C187" s="45"/>
      <c r="D187" s="45"/>
    </row>
    <row r="188" spans="3:4" ht="13" x14ac:dyDescent="0.15">
      <c r="C188" s="45"/>
      <c r="D188" s="45"/>
    </row>
    <row r="189" spans="3:4" ht="13" x14ac:dyDescent="0.15">
      <c r="C189" s="45"/>
      <c r="D189" s="45"/>
    </row>
    <row r="190" spans="3:4" ht="13" x14ac:dyDescent="0.15">
      <c r="C190" s="45"/>
      <c r="D190" s="45"/>
    </row>
    <row r="191" spans="3:4" ht="13" x14ac:dyDescent="0.15">
      <c r="C191" s="45"/>
      <c r="D191" s="45"/>
    </row>
    <row r="192" spans="3:4" ht="13" x14ac:dyDescent="0.15">
      <c r="C192" s="45"/>
      <c r="D192" s="45"/>
    </row>
    <row r="193" spans="3:4" ht="13" x14ac:dyDescent="0.15">
      <c r="C193" s="45"/>
      <c r="D193" s="45"/>
    </row>
    <row r="194" spans="3:4" ht="13" x14ac:dyDescent="0.15">
      <c r="C194" s="45"/>
      <c r="D194" s="45"/>
    </row>
    <row r="195" spans="3:4" ht="13" x14ac:dyDescent="0.15">
      <c r="C195" s="45"/>
      <c r="D195" s="45"/>
    </row>
    <row r="196" spans="3:4" ht="13" x14ac:dyDescent="0.15">
      <c r="C196" s="45"/>
      <c r="D196" s="45"/>
    </row>
    <row r="197" spans="3:4" ht="13" x14ac:dyDescent="0.15">
      <c r="C197" s="45"/>
      <c r="D197" s="45"/>
    </row>
    <row r="198" spans="3:4" ht="13" x14ac:dyDescent="0.15">
      <c r="C198" s="45"/>
      <c r="D198" s="45"/>
    </row>
    <row r="199" spans="3:4" ht="13" x14ac:dyDescent="0.15">
      <c r="C199" s="45"/>
      <c r="D199" s="45"/>
    </row>
    <row r="200" spans="3:4" ht="13" x14ac:dyDescent="0.15">
      <c r="C200" s="45"/>
      <c r="D200" s="45"/>
    </row>
    <row r="201" spans="3:4" ht="13" x14ac:dyDescent="0.15">
      <c r="C201" s="45"/>
      <c r="D201" s="45"/>
    </row>
    <row r="202" spans="3:4" ht="13" x14ac:dyDescent="0.15">
      <c r="C202" s="45"/>
      <c r="D202" s="45"/>
    </row>
    <row r="203" spans="3:4" ht="13" x14ac:dyDescent="0.15">
      <c r="C203" s="45"/>
      <c r="D203" s="45"/>
    </row>
    <row r="204" spans="3:4" ht="13" x14ac:dyDescent="0.15">
      <c r="C204" s="45"/>
      <c r="D204" s="45"/>
    </row>
    <row r="205" spans="3:4" ht="13" x14ac:dyDescent="0.15">
      <c r="C205" s="45"/>
      <c r="D205" s="45"/>
    </row>
    <row r="206" spans="3:4" ht="13" x14ac:dyDescent="0.15">
      <c r="C206" s="45"/>
      <c r="D206" s="45"/>
    </row>
    <row r="207" spans="3:4" ht="13" x14ac:dyDescent="0.15">
      <c r="C207" s="45"/>
      <c r="D207" s="45"/>
    </row>
    <row r="208" spans="3:4" ht="13" x14ac:dyDescent="0.15">
      <c r="C208" s="45"/>
      <c r="D208" s="45"/>
    </row>
    <row r="209" spans="3:4" ht="13" x14ac:dyDescent="0.15">
      <c r="C209" s="45"/>
      <c r="D209" s="45"/>
    </row>
    <row r="210" spans="3:4" ht="13" x14ac:dyDescent="0.15">
      <c r="C210" s="45"/>
      <c r="D210" s="45"/>
    </row>
    <row r="211" spans="3:4" ht="13" x14ac:dyDescent="0.15">
      <c r="C211" s="45"/>
      <c r="D211" s="45"/>
    </row>
    <row r="212" spans="3:4" ht="13" x14ac:dyDescent="0.15">
      <c r="C212" s="45"/>
      <c r="D212" s="45"/>
    </row>
    <row r="213" spans="3:4" ht="13" x14ac:dyDescent="0.15">
      <c r="C213" s="45"/>
      <c r="D213" s="45"/>
    </row>
    <row r="214" spans="3:4" ht="13" x14ac:dyDescent="0.15">
      <c r="C214" s="45"/>
      <c r="D214" s="45"/>
    </row>
    <row r="215" spans="3:4" ht="13" x14ac:dyDescent="0.15">
      <c r="C215" s="45"/>
      <c r="D215" s="45"/>
    </row>
    <row r="216" spans="3:4" ht="13" x14ac:dyDescent="0.15">
      <c r="C216" s="45"/>
      <c r="D216" s="45"/>
    </row>
    <row r="217" spans="3:4" ht="13" x14ac:dyDescent="0.15">
      <c r="C217" s="45"/>
      <c r="D217" s="45"/>
    </row>
    <row r="218" spans="3:4" ht="13" x14ac:dyDescent="0.15">
      <c r="C218" s="45"/>
      <c r="D218" s="45"/>
    </row>
    <row r="219" spans="3:4" ht="13" x14ac:dyDescent="0.15">
      <c r="C219" s="45"/>
      <c r="D219" s="45"/>
    </row>
    <row r="220" spans="3:4" ht="13" x14ac:dyDescent="0.15">
      <c r="C220" s="45"/>
      <c r="D220" s="45"/>
    </row>
    <row r="221" spans="3:4" ht="13" x14ac:dyDescent="0.15">
      <c r="C221" s="45"/>
      <c r="D221" s="45"/>
    </row>
    <row r="222" spans="3:4" ht="13" x14ac:dyDescent="0.15">
      <c r="C222" s="45"/>
      <c r="D222" s="45"/>
    </row>
    <row r="223" spans="3:4" ht="13" x14ac:dyDescent="0.15">
      <c r="C223" s="45"/>
      <c r="D223" s="45"/>
    </row>
    <row r="224" spans="3:4" ht="13" x14ac:dyDescent="0.15">
      <c r="C224" s="45"/>
      <c r="D224" s="45"/>
    </row>
    <row r="225" spans="3:4" ht="13" x14ac:dyDescent="0.15">
      <c r="C225" s="45"/>
      <c r="D225" s="45"/>
    </row>
    <row r="226" spans="3:4" ht="13" x14ac:dyDescent="0.15">
      <c r="C226" s="45"/>
      <c r="D226" s="45"/>
    </row>
    <row r="227" spans="3:4" ht="13" x14ac:dyDescent="0.15">
      <c r="C227" s="45"/>
      <c r="D227" s="45"/>
    </row>
    <row r="228" spans="3:4" ht="13" x14ac:dyDescent="0.15">
      <c r="C228" s="45"/>
      <c r="D228" s="45"/>
    </row>
    <row r="229" spans="3:4" ht="13" x14ac:dyDescent="0.15">
      <c r="C229" s="45"/>
      <c r="D229" s="45"/>
    </row>
    <row r="230" spans="3:4" ht="13" x14ac:dyDescent="0.15">
      <c r="C230" s="45"/>
      <c r="D230" s="45"/>
    </row>
    <row r="231" spans="3:4" ht="13" x14ac:dyDescent="0.15">
      <c r="C231" s="45"/>
      <c r="D231" s="45"/>
    </row>
    <row r="232" spans="3:4" ht="13" x14ac:dyDescent="0.15">
      <c r="C232" s="45"/>
      <c r="D232" s="45"/>
    </row>
    <row r="233" spans="3:4" ht="13" x14ac:dyDescent="0.15">
      <c r="C233" s="45"/>
      <c r="D233" s="45"/>
    </row>
    <row r="234" spans="3:4" ht="13" x14ac:dyDescent="0.15">
      <c r="C234" s="45"/>
      <c r="D234" s="45"/>
    </row>
    <row r="235" spans="3:4" ht="13" x14ac:dyDescent="0.15">
      <c r="C235" s="45"/>
      <c r="D235" s="45"/>
    </row>
    <row r="236" spans="3:4" ht="13" x14ac:dyDescent="0.15">
      <c r="C236" s="45"/>
      <c r="D236" s="45"/>
    </row>
    <row r="237" spans="3:4" ht="13" x14ac:dyDescent="0.15">
      <c r="C237" s="45"/>
      <c r="D237" s="45"/>
    </row>
    <row r="238" spans="3:4" ht="13" x14ac:dyDescent="0.15">
      <c r="C238" s="45"/>
      <c r="D238" s="45"/>
    </row>
    <row r="239" spans="3:4" ht="13" x14ac:dyDescent="0.15">
      <c r="C239" s="45"/>
      <c r="D239" s="45"/>
    </row>
    <row r="240" spans="3:4" ht="13" x14ac:dyDescent="0.15">
      <c r="C240" s="45"/>
      <c r="D240" s="45"/>
    </row>
    <row r="241" spans="3:4" ht="13" x14ac:dyDescent="0.15">
      <c r="C241" s="45"/>
      <c r="D241" s="45"/>
    </row>
    <row r="242" spans="3:4" ht="13" x14ac:dyDescent="0.15">
      <c r="C242" s="45"/>
      <c r="D242" s="45"/>
    </row>
    <row r="243" spans="3:4" ht="13" x14ac:dyDescent="0.15">
      <c r="C243" s="45"/>
      <c r="D243" s="45"/>
    </row>
    <row r="244" spans="3:4" ht="13" x14ac:dyDescent="0.15">
      <c r="C244" s="45"/>
      <c r="D244" s="45"/>
    </row>
    <row r="245" spans="3:4" ht="13" x14ac:dyDescent="0.15">
      <c r="C245" s="45"/>
      <c r="D245" s="45"/>
    </row>
    <row r="246" spans="3:4" ht="13" x14ac:dyDescent="0.15">
      <c r="C246" s="45"/>
      <c r="D246" s="45"/>
    </row>
    <row r="247" spans="3:4" ht="13" x14ac:dyDescent="0.15">
      <c r="C247" s="45"/>
      <c r="D247" s="45"/>
    </row>
    <row r="248" spans="3:4" ht="13" x14ac:dyDescent="0.15">
      <c r="C248" s="45"/>
      <c r="D248" s="45"/>
    </row>
    <row r="249" spans="3:4" ht="13" x14ac:dyDescent="0.15">
      <c r="C249" s="45"/>
      <c r="D249" s="45"/>
    </row>
    <row r="250" spans="3:4" ht="13" x14ac:dyDescent="0.15">
      <c r="C250" s="45"/>
      <c r="D250" s="45"/>
    </row>
    <row r="251" spans="3:4" ht="13" x14ac:dyDescent="0.15">
      <c r="C251" s="45"/>
      <c r="D251" s="45"/>
    </row>
    <row r="252" spans="3:4" ht="13" x14ac:dyDescent="0.15">
      <c r="C252" s="45"/>
      <c r="D252" s="45"/>
    </row>
    <row r="253" spans="3:4" ht="13" x14ac:dyDescent="0.15">
      <c r="C253" s="45"/>
      <c r="D253" s="45"/>
    </row>
    <row r="254" spans="3:4" ht="13" x14ac:dyDescent="0.15">
      <c r="C254" s="45"/>
      <c r="D254" s="45"/>
    </row>
    <row r="255" spans="3:4" ht="13" x14ac:dyDescent="0.15">
      <c r="C255" s="45"/>
      <c r="D255" s="45"/>
    </row>
    <row r="256" spans="3:4" ht="13" x14ac:dyDescent="0.15">
      <c r="C256" s="45"/>
      <c r="D256" s="45"/>
    </row>
    <row r="257" spans="3:4" ht="13" x14ac:dyDescent="0.15">
      <c r="C257" s="45"/>
      <c r="D257" s="45"/>
    </row>
    <row r="258" spans="3:4" ht="13" x14ac:dyDescent="0.15">
      <c r="C258" s="45"/>
      <c r="D258" s="45"/>
    </row>
    <row r="259" spans="3:4" ht="13" x14ac:dyDescent="0.15">
      <c r="C259" s="45"/>
      <c r="D259" s="45"/>
    </row>
    <row r="260" spans="3:4" ht="13" x14ac:dyDescent="0.15">
      <c r="C260" s="45"/>
      <c r="D260" s="45"/>
    </row>
    <row r="261" spans="3:4" ht="13" x14ac:dyDescent="0.15">
      <c r="C261" s="45"/>
      <c r="D261" s="45"/>
    </row>
    <row r="262" spans="3:4" ht="13" x14ac:dyDescent="0.15">
      <c r="C262" s="45"/>
      <c r="D262" s="45"/>
    </row>
    <row r="263" spans="3:4" ht="13" x14ac:dyDescent="0.15">
      <c r="C263" s="45"/>
      <c r="D263" s="45"/>
    </row>
    <row r="264" spans="3:4" ht="13" x14ac:dyDescent="0.15">
      <c r="C264" s="45"/>
      <c r="D264" s="45"/>
    </row>
    <row r="265" spans="3:4" ht="13" x14ac:dyDescent="0.15">
      <c r="C265" s="45"/>
      <c r="D265" s="45"/>
    </row>
    <row r="266" spans="3:4" ht="13" x14ac:dyDescent="0.15">
      <c r="C266" s="45"/>
      <c r="D266" s="45"/>
    </row>
    <row r="267" spans="3:4" ht="13" x14ac:dyDescent="0.15">
      <c r="C267" s="45"/>
      <c r="D267" s="45"/>
    </row>
    <row r="268" spans="3:4" ht="13" x14ac:dyDescent="0.15">
      <c r="C268" s="45"/>
      <c r="D268" s="45"/>
    </row>
    <row r="269" spans="3:4" ht="13" x14ac:dyDescent="0.15">
      <c r="C269" s="45"/>
      <c r="D269" s="45"/>
    </row>
    <row r="270" spans="3:4" ht="13" x14ac:dyDescent="0.15">
      <c r="C270" s="45"/>
      <c r="D270" s="45"/>
    </row>
    <row r="271" spans="3:4" ht="13" x14ac:dyDescent="0.15">
      <c r="C271" s="45"/>
      <c r="D271" s="45"/>
    </row>
    <row r="272" spans="3:4" ht="13" x14ac:dyDescent="0.15">
      <c r="C272" s="45"/>
      <c r="D272" s="45"/>
    </row>
    <row r="273" spans="3:4" ht="13" x14ac:dyDescent="0.15">
      <c r="C273" s="45"/>
      <c r="D273" s="45"/>
    </row>
    <row r="274" spans="3:4" ht="13" x14ac:dyDescent="0.15">
      <c r="C274" s="45"/>
      <c r="D274" s="45"/>
    </row>
    <row r="275" spans="3:4" ht="13" x14ac:dyDescent="0.15">
      <c r="C275" s="45"/>
      <c r="D275" s="45"/>
    </row>
    <row r="276" spans="3:4" ht="13" x14ac:dyDescent="0.15">
      <c r="C276" s="45"/>
      <c r="D276" s="45"/>
    </row>
    <row r="277" spans="3:4" ht="13" x14ac:dyDescent="0.15">
      <c r="C277" s="45"/>
      <c r="D277" s="45"/>
    </row>
    <row r="278" spans="3:4" ht="13" x14ac:dyDescent="0.15">
      <c r="C278" s="45"/>
      <c r="D278" s="45"/>
    </row>
    <row r="279" spans="3:4" ht="13" x14ac:dyDescent="0.15">
      <c r="C279" s="45"/>
      <c r="D279" s="45"/>
    </row>
    <row r="280" spans="3:4" ht="13" x14ac:dyDescent="0.15">
      <c r="C280" s="45"/>
      <c r="D280" s="45"/>
    </row>
    <row r="281" spans="3:4" ht="13" x14ac:dyDescent="0.15">
      <c r="C281" s="45"/>
      <c r="D281" s="45"/>
    </row>
    <row r="282" spans="3:4" ht="13" x14ac:dyDescent="0.15">
      <c r="C282" s="45"/>
      <c r="D282" s="45"/>
    </row>
    <row r="283" spans="3:4" ht="13" x14ac:dyDescent="0.15">
      <c r="C283" s="45"/>
      <c r="D283" s="45"/>
    </row>
    <row r="284" spans="3:4" ht="13" x14ac:dyDescent="0.15">
      <c r="C284" s="45"/>
      <c r="D284" s="45"/>
    </row>
    <row r="285" spans="3:4" ht="13" x14ac:dyDescent="0.15">
      <c r="C285" s="45"/>
      <c r="D285" s="45"/>
    </row>
    <row r="286" spans="3:4" ht="13" x14ac:dyDescent="0.15">
      <c r="C286" s="45"/>
      <c r="D286" s="45"/>
    </row>
    <row r="287" spans="3:4" ht="13" x14ac:dyDescent="0.15">
      <c r="C287" s="45"/>
      <c r="D287" s="45"/>
    </row>
    <row r="288" spans="3:4" ht="13" x14ac:dyDescent="0.15">
      <c r="C288" s="45"/>
      <c r="D288" s="45"/>
    </row>
    <row r="289" spans="3:4" ht="13" x14ac:dyDescent="0.15">
      <c r="C289" s="45"/>
      <c r="D289" s="45"/>
    </row>
    <row r="290" spans="3:4" ht="13" x14ac:dyDescent="0.15">
      <c r="C290" s="45"/>
      <c r="D290" s="45"/>
    </row>
    <row r="291" spans="3:4" ht="13" x14ac:dyDescent="0.15">
      <c r="C291" s="45"/>
      <c r="D291" s="45"/>
    </row>
    <row r="292" spans="3:4" ht="13" x14ac:dyDescent="0.15">
      <c r="C292" s="45"/>
      <c r="D292" s="45"/>
    </row>
    <row r="293" spans="3:4" ht="13" x14ac:dyDescent="0.15">
      <c r="C293" s="45"/>
      <c r="D293" s="45"/>
    </row>
    <row r="294" spans="3:4" ht="13" x14ac:dyDescent="0.15">
      <c r="C294" s="45"/>
      <c r="D294" s="45"/>
    </row>
    <row r="295" spans="3:4" ht="13" x14ac:dyDescent="0.15">
      <c r="C295" s="45"/>
      <c r="D295" s="45"/>
    </row>
    <row r="296" spans="3:4" ht="13" x14ac:dyDescent="0.15">
      <c r="C296" s="45"/>
      <c r="D296" s="45"/>
    </row>
    <row r="297" spans="3:4" ht="13" x14ac:dyDescent="0.15">
      <c r="C297" s="45"/>
      <c r="D297" s="45"/>
    </row>
    <row r="298" spans="3:4" ht="13" x14ac:dyDescent="0.15">
      <c r="C298" s="45"/>
      <c r="D298" s="45"/>
    </row>
    <row r="299" spans="3:4" ht="13" x14ac:dyDescent="0.15">
      <c r="C299" s="45"/>
      <c r="D299" s="45"/>
    </row>
    <row r="300" spans="3:4" ht="13" x14ac:dyDescent="0.15">
      <c r="C300" s="45"/>
      <c r="D300" s="45"/>
    </row>
    <row r="301" spans="3:4" ht="13" x14ac:dyDescent="0.15">
      <c r="C301" s="45"/>
      <c r="D301" s="45"/>
    </row>
    <row r="302" spans="3:4" ht="13" x14ac:dyDescent="0.15">
      <c r="C302" s="45"/>
      <c r="D302" s="45"/>
    </row>
    <row r="303" spans="3:4" ht="13" x14ac:dyDescent="0.15">
      <c r="C303" s="45"/>
      <c r="D303" s="45"/>
    </row>
    <row r="304" spans="3:4" ht="13" x14ac:dyDescent="0.15">
      <c r="C304" s="45"/>
      <c r="D304" s="45"/>
    </row>
    <row r="305" spans="3:4" ht="13" x14ac:dyDescent="0.15">
      <c r="C305" s="45"/>
      <c r="D305" s="45"/>
    </row>
    <row r="306" spans="3:4" ht="13" x14ac:dyDescent="0.15">
      <c r="C306" s="45"/>
      <c r="D306" s="45"/>
    </row>
    <row r="307" spans="3:4" ht="13" x14ac:dyDescent="0.15">
      <c r="C307" s="45"/>
      <c r="D307" s="45"/>
    </row>
    <row r="308" spans="3:4" ht="13" x14ac:dyDescent="0.15">
      <c r="C308" s="45"/>
      <c r="D308" s="45"/>
    </row>
    <row r="309" spans="3:4" ht="13" x14ac:dyDescent="0.15">
      <c r="C309" s="45"/>
      <c r="D309" s="45"/>
    </row>
    <row r="310" spans="3:4" ht="13" x14ac:dyDescent="0.15">
      <c r="C310" s="45"/>
      <c r="D310" s="45"/>
    </row>
    <row r="311" spans="3:4" ht="13" x14ac:dyDescent="0.15">
      <c r="C311" s="45"/>
      <c r="D311" s="45"/>
    </row>
    <row r="312" spans="3:4" ht="13" x14ac:dyDescent="0.15">
      <c r="C312" s="45"/>
      <c r="D312" s="45"/>
    </row>
    <row r="313" spans="3:4" ht="13" x14ac:dyDescent="0.15">
      <c r="C313" s="45"/>
      <c r="D313" s="45"/>
    </row>
    <row r="314" spans="3:4" ht="13" x14ac:dyDescent="0.15">
      <c r="C314" s="45"/>
      <c r="D314" s="45"/>
    </row>
    <row r="315" spans="3:4" ht="13" x14ac:dyDescent="0.15">
      <c r="C315" s="45"/>
      <c r="D315" s="45"/>
    </row>
    <row r="316" spans="3:4" ht="13" x14ac:dyDescent="0.15">
      <c r="C316" s="45"/>
      <c r="D316" s="45"/>
    </row>
    <row r="317" spans="3:4" ht="13" x14ac:dyDescent="0.15">
      <c r="C317" s="45"/>
      <c r="D317" s="45"/>
    </row>
    <row r="318" spans="3:4" ht="13" x14ac:dyDescent="0.15">
      <c r="C318" s="45"/>
      <c r="D318" s="45"/>
    </row>
    <row r="319" spans="3:4" ht="13" x14ac:dyDescent="0.15">
      <c r="C319" s="45"/>
      <c r="D319" s="45"/>
    </row>
    <row r="320" spans="3:4" ht="13" x14ac:dyDescent="0.15">
      <c r="C320" s="45"/>
      <c r="D320" s="45"/>
    </row>
    <row r="321" spans="3:4" ht="13" x14ac:dyDescent="0.15">
      <c r="C321" s="45"/>
      <c r="D321" s="45"/>
    </row>
    <row r="322" spans="3:4" ht="13" x14ac:dyDescent="0.15">
      <c r="C322" s="45"/>
      <c r="D322" s="45"/>
    </row>
    <row r="323" spans="3:4" ht="13" x14ac:dyDescent="0.15">
      <c r="C323" s="45"/>
      <c r="D323" s="45"/>
    </row>
    <row r="324" spans="3:4" ht="13" x14ac:dyDescent="0.15">
      <c r="C324" s="45"/>
      <c r="D324" s="45"/>
    </row>
    <row r="325" spans="3:4" ht="13" x14ac:dyDescent="0.15">
      <c r="C325" s="45"/>
      <c r="D325" s="45"/>
    </row>
    <row r="326" spans="3:4" ht="13" x14ac:dyDescent="0.15">
      <c r="C326" s="45"/>
      <c r="D326" s="45"/>
    </row>
    <row r="327" spans="3:4" ht="13" x14ac:dyDescent="0.15">
      <c r="C327" s="45"/>
      <c r="D327" s="45"/>
    </row>
    <row r="328" spans="3:4" ht="13" x14ac:dyDescent="0.15">
      <c r="C328" s="45"/>
      <c r="D328" s="45"/>
    </row>
    <row r="329" spans="3:4" ht="13" x14ac:dyDescent="0.15">
      <c r="C329" s="45"/>
      <c r="D329" s="45"/>
    </row>
    <row r="330" spans="3:4" ht="13" x14ac:dyDescent="0.15">
      <c r="C330" s="45"/>
      <c r="D330" s="45"/>
    </row>
    <row r="331" spans="3:4" ht="13" x14ac:dyDescent="0.15">
      <c r="C331" s="45"/>
      <c r="D331" s="45"/>
    </row>
    <row r="332" spans="3:4" ht="13" x14ac:dyDescent="0.15">
      <c r="C332" s="45"/>
      <c r="D332" s="45"/>
    </row>
    <row r="333" spans="3:4" ht="13" x14ac:dyDescent="0.15">
      <c r="C333" s="45"/>
      <c r="D333" s="45"/>
    </row>
    <row r="334" spans="3:4" ht="13" x14ac:dyDescent="0.15">
      <c r="C334" s="45"/>
      <c r="D334" s="45"/>
    </row>
    <row r="335" spans="3:4" ht="13" x14ac:dyDescent="0.15">
      <c r="C335" s="45"/>
      <c r="D335" s="45"/>
    </row>
    <row r="336" spans="3:4" ht="13" x14ac:dyDescent="0.15">
      <c r="C336" s="45"/>
      <c r="D336" s="45"/>
    </row>
    <row r="337" spans="3:4" ht="13" x14ac:dyDescent="0.15">
      <c r="C337" s="45"/>
      <c r="D337" s="45"/>
    </row>
    <row r="338" spans="3:4" ht="13" x14ac:dyDescent="0.15">
      <c r="C338" s="45"/>
      <c r="D338" s="45"/>
    </row>
    <row r="339" spans="3:4" ht="13" x14ac:dyDescent="0.15">
      <c r="C339" s="45"/>
      <c r="D339" s="45"/>
    </row>
    <row r="340" spans="3:4" ht="13" x14ac:dyDescent="0.15">
      <c r="C340" s="45"/>
      <c r="D340" s="45"/>
    </row>
    <row r="341" spans="3:4" ht="13" x14ac:dyDescent="0.15">
      <c r="C341" s="45"/>
      <c r="D341" s="45"/>
    </row>
    <row r="342" spans="3:4" ht="13" x14ac:dyDescent="0.15">
      <c r="C342" s="45"/>
      <c r="D342" s="45"/>
    </row>
    <row r="343" spans="3:4" ht="13" x14ac:dyDescent="0.15">
      <c r="C343" s="45"/>
      <c r="D343" s="45"/>
    </row>
    <row r="344" spans="3:4" ht="13" x14ac:dyDescent="0.15">
      <c r="C344" s="45"/>
      <c r="D344" s="45"/>
    </row>
    <row r="345" spans="3:4" ht="13" x14ac:dyDescent="0.15">
      <c r="C345" s="45"/>
      <c r="D345" s="45"/>
    </row>
    <row r="346" spans="3:4" ht="13" x14ac:dyDescent="0.15">
      <c r="C346" s="45"/>
      <c r="D346" s="45"/>
    </row>
    <row r="347" spans="3:4" ht="13" x14ac:dyDescent="0.15">
      <c r="C347" s="45"/>
      <c r="D347" s="45"/>
    </row>
    <row r="348" spans="3:4" ht="13" x14ac:dyDescent="0.15">
      <c r="C348" s="45"/>
      <c r="D348" s="45"/>
    </row>
    <row r="349" spans="3:4" ht="13" x14ac:dyDescent="0.15">
      <c r="C349" s="45"/>
      <c r="D349" s="45"/>
    </row>
    <row r="350" spans="3:4" ht="13" x14ac:dyDescent="0.15">
      <c r="C350" s="45"/>
      <c r="D350" s="45"/>
    </row>
    <row r="351" spans="3:4" ht="13" x14ac:dyDescent="0.15">
      <c r="C351" s="45"/>
      <c r="D351" s="45"/>
    </row>
    <row r="352" spans="3:4" ht="13" x14ac:dyDescent="0.15">
      <c r="C352" s="45"/>
      <c r="D352" s="45"/>
    </row>
    <row r="353" spans="3:4" ht="13" x14ac:dyDescent="0.15">
      <c r="C353" s="45"/>
      <c r="D353" s="45"/>
    </row>
    <row r="354" spans="3:4" ht="13" x14ac:dyDescent="0.15">
      <c r="C354" s="45"/>
      <c r="D354" s="45"/>
    </row>
    <row r="355" spans="3:4" ht="13" x14ac:dyDescent="0.15">
      <c r="C355" s="45"/>
      <c r="D355" s="45"/>
    </row>
    <row r="356" spans="3:4" ht="13" x14ac:dyDescent="0.15">
      <c r="C356" s="45"/>
      <c r="D356" s="45"/>
    </row>
    <row r="357" spans="3:4" ht="13" x14ac:dyDescent="0.15">
      <c r="C357" s="45"/>
      <c r="D357" s="45"/>
    </row>
    <row r="358" spans="3:4" ht="13" x14ac:dyDescent="0.15">
      <c r="C358" s="45"/>
      <c r="D358" s="45"/>
    </row>
    <row r="359" spans="3:4" ht="13" x14ac:dyDescent="0.15">
      <c r="C359" s="45"/>
      <c r="D359" s="45"/>
    </row>
    <row r="360" spans="3:4" ht="13" x14ac:dyDescent="0.15">
      <c r="C360" s="45"/>
      <c r="D360" s="45"/>
    </row>
    <row r="361" spans="3:4" ht="13" x14ac:dyDescent="0.15">
      <c r="C361" s="45"/>
      <c r="D361" s="45"/>
    </row>
    <row r="362" spans="3:4" ht="13" x14ac:dyDescent="0.15">
      <c r="C362" s="45"/>
      <c r="D362" s="45"/>
    </row>
    <row r="363" spans="3:4" ht="13" x14ac:dyDescent="0.15">
      <c r="C363" s="45"/>
      <c r="D363" s="45"/>
    </row>
    <row r="364" spans="3:4" ht="13" x14ac:dyDescent="0.15">
      <c r="C364" s="45"/>
      <c r="D364" s="45"/>
    </row>
    <row r="365" spans="3:4" ht="13" x14ac:dyDescent="0.15">
      <c r="C365" s="45"/>
      <c r="D365" s="45"/>
    </row>
    <row r="366" spans="3:4" ht="13" x14ac:dyDescent="0.15">
      <c r="C366" s="45"/>
      <c r="D366" s="45"/>
    </row>
    <row r="367" spans="3:4" ht="13" x14ac:dyDescent="0.15">
      <c r="C367" s="45"/>
      <c r="D367" s="45"/>
    </row>
    <row r="368" spans="3:4" ht="13" x14ac:dyDescent="0.15">
      <c r="C368" s="45"/>
      <c r="D368" s="45"/>
    </row>
    <row r="369" spans="3:4" ht="13" x14ac:dyDescent="0.15">
      <c r="C369" s="45"/>
      <c r="D369" s="45"/>
    </row>
    <row r="370" spans="3:4" ht="13" x14ac:dyDescent="0.15">
      <c r="C370" s="45"/>
      <c r="D370" s="45"/>
    </row>
    <row r="371" spans="3:4" ht="13" x14ac:dyDescent="0.15">
      <c r="C371" s="45"/>
      <c r="D371" s="45"/>
    </row>
    <row r="372" spans="3:4" ht="13" x14ac:dyDescent="0.15">
      <c r="C372" s="45"/>
      <c r="D372" s="45"/>
    </row>
    <row r="373" spans="3:4" ht="13" x14ac:dyDescent="0.15">
      <c r="C373" s="45"/>
      <c r="D373" s="45"/>
    </row>
    <row r="374" spans="3:4" ht="13" x14ac:dyDescent="0.15">
      <c r="C374" s="45"/>
      <c r="D374" s="45"/>
    </row>
    <row r="375" spans="3:4" ht="13" x14ac:dyDescent="0.15">
      <c r="C375" s="45"/>
      <c r="D375" s="45"/>
    </row>
    <row r="376" spans="3:4" ht="13" x14ac:dyDescent="0.15">
      <c r="C376" s="45"/>
      <c r="D376" s="45"/>
    </row>
    <row r="377" spans="3:4" ht="13" x14ac:dyDescent="0.15">
      <c r="C377" s="45"/>
      <c r="D377" s="45"/>
    </row>
    <row r="378" spans="3:4" ht="13" x14ac:dyDescent="0.15">
      <c r="C378" s="45"/>
      <c r="D378" s="45"/>
    </row>
    <row r="379" spans="3:4" ht="13" x14ac:dyDescent="0.15">
      <c r="C379" s="45"/>
      <c r="D379" s="45"/>
    </row>
    <row r="380" spans="3:4" ht="13" x14ac:dyDescent="0.15">
      <c r="C380" s="45"/>
      <c r="D380" s="45"/>
    </row>
    <row r="381" spans="3:4" ht="13" x14ac:dyDescent="0.15">
      <c r="C381" s="45"/>
      <c r="D381" s="45"/>
    </row>
    <row r="382" spans="3:4" ht="13" x14ac:dyDescent="0.15">
      <c r="C382" s="45"/>
      <c r="D382" s="45"/>
    </row>
    <row r="383" spans="3:4" ht="13" x14ac:dyDescent="0.15">
      <c r="C383" s="45"/>
      <c r="D383" s="45"/>
    </row>
    <row r="384" spans="3:4" ht="13" x14ac:dyDescent="0.15">
      <c r="C384" s="45"/>
      <c r="D384" s="45"/>
    </row>
    <row r="385" spans="3:4" ht="13" x14ac:dyDescent="0.15">
      <c r="C385" s="45"/>
      <c r="D385" s="45"/>
    </row>
    <row r="386" spans="3:4" ht="13" x14ac:dyDescent="0.15">
      <c r="C386" s="45"/>
      <c r="D386" s="45"/>
    </row>
    <row r="387" spans="3:4" ht="13" x14ac:dyDescent="0.15">
      <c r="C387" s="45"/>
      <c r="D387" s="45"/>
    </row>
    <row r="388" spans="3:4" ht="13" x14ac:dyDescent="0.15">
      <c r="C388" s="45"/>
      <c r="D388" s="45"/>
    </row>
    <row r="389" spans="3:4" ht="13" x14ac:dyDescent="0.15">
      <c r="C389" s="45"/>
      <c r="D389" s="45"/>
    </row>
    <row r="390" spans="3:4" ht="13" x14ac:dyDescent="0.15">
      <c r="C390" s="45"/>
      <c r="D390" s="45"/>
    </row>
    <row r="391" spans="3:4" ht="13" x14ac:dyDescent="0.15">
      <c r="C391" s="45"/>
      <c r="D391" s="45"/>
    </row>
    <row r="392" spans="3:4" ht="13" x14ac:dyDescent="0.15">
      <c r="C392" s="45"/>
      <c r="D392" s="45"/>
    </row>
    <row r="393" spans="3:4" ht="13" x14ac:dyDescent="0.15">
      <c r="C393" s="45"/>
      <c r="D393" s="45"/>
    </row>
    <row r="394" spans="3:4" ht="13" x14ac:dyDescent="0.15">
      <c r="C394" s="45"/>
      <c r="D394" s="45"/>
    </row>
    <row r="395" spans="3:4" ht="13" x14ac:dyDescent="0.15">
      <c r="C395" s="45"/>
      <c r="D395" s="45"/>
    </row>
    <row r="396" spans="3:4" ht="13" x14ac:dyDescent="0.15">
      <c r="C396" s="45"/>
      <c r="D396" s="45"/>
    </row>
    <row r="397" spans="3:4" ht="13" x14ac:dyDescent="0.15">
      <c r="C397" s="45"/>
      <c r="D397" s="45"/>
    </row>
    <row r="398" spans="3:4" ht="13" x14ac:dyDescent="0.15">
      <c r="C398" s="45"/>
      <c r="D398" s="45"/>
    </row>
    <row r="399" spans="3:4" ht="13" x14ac:dyDescent="0.15">
      <c r="C399" s="45"/>
      <c r="D399" s="45"/>
    </row>
    <row r="400" spans="3:4" ht="13" x14ac:dyDescent="0.15">
      <c r="C400" s="45"/>
      <c r="D400" s="45"/>
    </row>
    <row r="401" spans="3:4" ht="13" x14ac:dyDescent="0.15">
      <c r="C401" s="45"/>
      <c r="D401" s="45"/>
    </row>
    <row r="402" spans="3:4" ht="13" x14ac:dyDescent="0.15">
      <c r="C402" s="45"/>
      <c r="D402" s="45"/>
    </row>
    <row r="403" spans="3:4" ht="13" x14ac:dyDescent="0.15">
      <c r="C403" s="45"/>
      <c r="D403" s="45"/>
    </row>
    <row r="404" spans="3:4" ht="13" x14ac:dyDescent="0.15">
      <c r="C404" s="45"/>
      <c r="D404" s="45"/>
    </row>
    <row r="405" spans="3:4" ht="13" x14ac:dyDescent="0.15">
      <c r="C405" s="45"/>
      <c r="D405" s="45"/>
    </row>
    <row r="406" spans="3:4" ht="13" x14ac:dyDescent="0.15">
      <c r="C406" s="45"/>
      <c r="D406" s="45"/>
    </row>
    <row r="407" spans="3:4" ht="13" x14ac:dyDescent="0.15">
      <c r="C407" s="45"/>
      <c r="D407" s="45"/>
    </row>
    <row r="408" spans="3:4" ht="13" x14ac:dyDescent="0.15">
      <c r="C408" s="45"/>
      <c r="D408" s="45"/>
    </row>
    <row r="409" spans="3:4" ht="13" x14ac:dyDescent="0.15">
      <c r="C409" s="45"/>
      <c r="D409" s="45"/>
    </row>
    <row r="410" spans="3:4" ht="13" x14ac:dyDescent="0.15">
      <c r="C410" s="45"/>
      <c r="D410" s="45"/>
    </row>
    <row r="411" spans="3:4" ht="13" x14ac:dyDescent="0.15">
      <c r="C411" s="45"/>
      <c r="D411" s="45"/>
    </row>
    <row r="412" spans="3:4" ht="13" x14ac:dyDescent="0.15">
      <c r="C412" s="45"/>
      <c r="D412" s="45"/>
    </row>
    <row r="413" spans="3:4" ht="13" x14ac:dyDescent="0.15">
      <c r="C413" s="45"/>
      <c r="D413" s="45"/>
    </row>
    <row r="414" spans="3:4" ht="13" x14ac:dyDescent="0.15">
      <c r="C414" s="45"/>
      <c r="D414" s="45"/>
    </row>
    <row r="415" spans="3:4" ht="13" x14ac:dyDescent="0.15">
      <c r="C415" s="45"/>
      <c r="D415" s="45"/>
    </row>
    <row r="416" spans="3:4" ht="13" x14ac:dyDescent="0.15">
      <c r="C416" s="45"/>
      <c r="D416" s="45"/>
    </row>
    <row r="417" spans="3:4" ht="13" x14ac:dyDescent="0.15">
      <c r="C417" s="45"/>
      <c r="D417" s="45"/>
    </row>
    <row r="418" spans="3:4" ht="13" x14ac:dyDescent="0.15">
      <c r="C418" s="45"/>
      <c r="D418" s="45"/>
    </row>
    <row r="419" spans="3:4" ht="13" x14ac:dyDescent="0.15">
      <c r="C419" s="45"/>
      <c r="D419" s="45"/>
    </row>
    <row r="420" spans="3:4" ht="13" x14ac:dyDescent="0.15">
      <c r="C420" s="45"/>
      <c r="D420" s="45"/>
    </row>
    <row r="421" spans="3:4" ht="13" x14ac:dyDescent="0.15">
      <c r="C421" s="45"/>
      <c r="D421" s="45"/>
    </row>
    <row r="422" spans="3:4" ht="13" x14ac:dyDescent="0.15">
      <c r="C422" s="45"/>
      <c r="D422" s="45"/>
    </row>
    <row r="423" spans="3:4" ht="13" x14ac:dyDescent="0.15">
      <c r="C423" s="45"/>
      <c r="D423" s="45"/>
    </row>
    <row r="424" spans="3:4" ht="13" x14ac:dyDescent="0.15">
      <c r="C424" s="45"/>
      <c r="D424" s="45"/>
    </row>
    <row r="425" spans="3:4" ht="13" x14ac:dyDescent="0.15">
      <c r="C425" s="45"/>
      <c r="D425" s="45"/>
    </row>
    <row r="426" spans="3:4" ht="13" x14ac:dyDescent="0.15">
      <c r="C426" s="45"/>
      <c r="D426" s="45"/>
    </row>
    <row r="427" spans="3:4" ht="13" x14ac:dyDescent="0.15">
      <c r="C427" s="45"/>
      <c r="D427" s="45"/>
    </row>
    <row r="428" spans="3:4" ht="13" x14ac:dyDescent="0.15">
      <c r="C428" s="45"/>
      <c r="D428" s="45"/>
    </row>
    <row r="429" spans="3:4" ht="13" x14ac:dyDescent="0.15">
      <c r="C429" s="45"/>
      <c r="D429" s="45"/>
    </row>
    <row r="430" spans="3:4" ht="13" x14ac:dyDescent="0.15">
      <c r="C430" s="45"/>
      <c r="D430" s="45"/>
    </row>
    <row r="431" spans="3:4" ht="13" x14ac:dyDescent="0.15">
      <c r="C431" s="45"/>
      <c r="D431" s="45"/>
    </row>
    <row r="432" spans="3:4" ht="13" x14ac:dyDescent="0.15">
      <c r="C432" s="45"/>
      <c r="D432" s="45"/>
    </row>
    <row r="433" spans="3:4" ht="13" x14ac:dyDescent="0.15">
      <c r="C433" s="45"/>
      <c r="D433" s="45"/>
    </row>
    <row r="434" spans="3:4" ht="13" x14ac:dyDescent="0.15">
      <c r="C434" s="45"/>
      <c r="D434" s="45"/>
    </row>
    <row r="435" spans="3:4" ht="13" x14ac:dyDescent="0.15">
      <c r="C435" s="45"/>
      <c r="D435" s="45"/>
    </row>
    <row r="436" spans="3:4" ht="13" x14ac:dyDescent="0.15">
      <c r="C436" s="45"/>
      <c r="D436" s="45"/>
    </row>
    <row r="437" spans="3:4" ht="13" x14ac:dyDescent="0.15">
      <c r="C437" s="45"/>
      <c r="D437" s="45"/>
    </row>
    <row r="438" spans="3:4" ht="13" x14ac:dyDescent="0.15">
      <c r="C438" s="45"/>
      <c r="D438" s="45"/>
    </row>
    <row r="439" spans="3:4" ht="13" x14ac:dyDescent="0.15">
      <c r="C439" s="45"/>
      <c r="D439" s="45"/>
    </row>
    <row r="440" spans="3:4" ht="13" x14ac:dyDescent="0.15">
      <c r="C440" s="45"/>
      <c r="D440" s="45"/>
    </row>
    <row r="441" spans="3:4" ht="13" x14ac:dyDescent="0.15">
      <c r="C441" s="45"/>
      <c r="D441" s="45"/>
    </row>
    <row r="442" spans="3:4" ht="13" x14ac:dyDescent="0.15">
      <c r="C442" s="45"/>
      <c r="D442" s="45"/>
    </row>
    <row r="443" spans="3:4" ht="13" x14ac:dyDescent="0.15">
      <c r="C443" s="45"/>
      <c r="D443" s="45"/>
    </row>
    <row r="444" spans="3:4" ht="13" x14ac:dyDescent="0.15">
      <c r="C444" s="45"/>
      <c r="D444" s="45"/>
    </row>
    <row r="445" spans="3:4" ht="13" x14ac:dyDescent="0.15">
      <c r="C445" s="45"/>
      <c r="D445" s="45"/>
    </row>
    <row r="446" spans="3:4" ht="13" x14ac:dyDescent="0.15">
      <c r="C446" s="45"/>
      <c r="D446" s="45"/>
    </row>
    <row r="447" spans="3:4" ht="13" x14ac:dyDescent="0.15">
      <c r="C447" s="45"/>
      <c r="D447" s="45"/>
    </row>
    <row r="448" spans="3:4" ht="13" x14ac:dyDescent="0.15">
      <c r="C448" s="45"/>
      <c r="D448" s="45"/>
    </row>
    <row r="449" spans="3:4" ht="13" x14ac:dyDescent="0.15">
      <c r="C449" s="45"/>
      <c r="D449" s="45"/>
    </row>
    <row r="450" spans="3:4" ht="13" x14ac:dyDescent="0.15">
      <c r="C450" s="45"/>
      <c r="D450" s="45"/>
    </row>
    <row r="451" spans="3:4" ht="13" x14ac:dyDescent="0.15">
      <c r="C451" s="45"/>
      <c r="D451" s="45"/>
    </row>
    <row r="452" spans="3:4" ht="13" x14ac:dyDescent="0.15">
      <c r="C452" s="45"/>
      <c r="D452" s="45"/>
    </row>
    <row r="453" spans="3:4" ht="13" x14ac:dyDescent="0.15">
      <c r="C453" s="45"/>
      <c r="D453" s="45"/>
    </row>
    <row r="454" spans="3:4" ht="13" x14ac:dyDescent="0.15">
      <c r="C454" s="45"/>
      <c r="D454" s="45"/>
    </row>
    <row r="455" spans="3:4" ht="13" x14ac:dyDescent="0.15">
      <c r="C455" s="45"/>
      <c r="D455" s="45"/>
    </row>
    <row r="456" spans="3:4" ht="13" x14ac:dyDescent="0.15">
      <c r="C456" s="45"/>
      <c r="D456" s="45"/>
    </row>
    <row r="457" spans="3:4" ht="13" x14ac:dyDescent="0.15">
      <c r="C457" s="45"/>
      <c r="D457" s="45"/>
    </row>
    <row r="458" spans="3:4" ht="13" x14ac:dyDescent="0.15">
      <c r="C458" s="45"/>
      <c r="D458" s="45"/>
    </row>
    <row r="459" spans="3:4" ht="13" x14ac:dyDescent="0.15">
      <c r="C459" s="45"/>
      <c r="D459" s="45"/>
    </row>
    <row r="460" spans="3:4" ht="13" x14ac:dyDescent="0.15">
      <c r="C460" s="45"/>
      <c r="D460" s="45"/>
    </row>
    <row r="461" spans="3:4" ht="13" x14ac:dyDescent="0.15">
      <c r="C461" s="45"/>
      <c r="D461" s="45"/>
    </row>
    <row r="462" spans="3:4" ht="13" x14ac:dyDescent="0.15">
      <c r="C462" s="45"/>
      <c r="D462" s="45"/>
    </row>
    <row r="463" spans="3:4" ht="13" x14ac:dyDescent="0.15">
      <c r="C463" s="45"/>
      <c r="D463" s="45"/>
    </row>
    <row r="464" spans="3:4" ht="13" x14ac:dyDescent="0.15">
      <c r="C464" s="45"/>
      <c r="D464" s="45"/>
    </row>
    <row r="465" spans="3:4" ht="13" x14ac:dyDescent="0.15">
      <c r="C465" s="45"/>
      <c r="D465" s="45"/>
    </row>
    <row r="466" spans="3:4" ht="13" x14ac:dyDescent="0.15">
      <c r="C466" s="45"/>
      <c r="D466" s="45"/>
    </row>
    <row r="467" spans="3:4" ht="13" x14ac:dyDescent="0.15">
      <c r="C467" s="45"/>
      <c r="D467" s="45"/>
    </row>
    <row r="468" spans="3:4" ht="13" x14ac:dyDescent="0.15">
      <c r="C468" s="45"/>
      <c r="D468" s="45"/>
    </row>
    <row r="469" spans="3:4" ht="13" x14ac:dyDescent="0.15">
      <c r="C469" s="45"/>
      <c r="D469" s="45"/>
    </row>
    <row r="470" spans="3:4" ht="13" x14ac:dyDescent="0.15">
      <c r="C470" s="45"/>
      <c r="D470" s="45"/>
    </row>
    <row r="471" spans="3:4" ht="13" x14ac:dyDescent="0.15">
      <c r="C471" s="45"/>
      <c r="D471" s="45"/>
    </row>
    <row r="472" spans="3:4" ht="13" x14ac:dyDescent="0.15">
      <c r="C472" s="45"/>
      <c r="D472" s="45"/>
    </row>
    <row r="473" spans="3:4" ht="13" x14ac:dyDescent="0.15">
      <c r="C473" s="45"/>
      <c r="D473" s="45"/>
    </row>
    <row r="474" spans="3:4" ht="13" x14ac:dyDescent="0.15">
      <c r="C474" s="45"/>
      <c r="D474" s="45"/>
    </row>
    <row r="475" spans="3:4" ht="13" x14ac:dyDescent="0.15">
      <c r="C475" s="45"/>
      <c r="D475" s="45"/>
    </row>
    <row r="476" spans="3:4" ht="13" x14ac:dyDescent="0.15">
      <c r="C476" s="45"/>
      <c r="D476" s="45"/>
    </row>
    <row r="477" spans="3:4" ht="13" x14ac:dyDescent="0.15">
      <c r="C477" s="45"/>
      <c r="D477" s="45"/>
    </row>
    <row r="478" spans="3:4" ht="13" x14ac:dyDescent="0.15">
      <c r="C478" s="45"/>
      <c r="D478" s="45"/>
    </row>
    <row r="479" spans="3:4" ht="13" x14ac:dyDescent="0.15">
      <c r="C479" s="45"/>
      <c r="D479" s="45"/>
    </row>
    <row r="480" spans="3:4" ht="13" x14ac:dyDescent="0.15">
      <c r="C480" s="45"/>
      <c r="D480" s="45"/>
    </row>
    <row r="481" spans="3:4" ht="13" x14ac:dyDescent="0.15">
      <c r="C481" s="45"/>
      <c r="D481" s="45"/>
    </row>
    <row r="482" spans="3:4" ht="13" x14ac:dyDescent="0.15">
      <c r="C482" s="45"/>
      <c r="D482" s="45"/>
    </row>
    <row r="483" spans="3:4" ht="13" x14ac:dyDescent="0.15">
      <c r="C483" s="45"/>
      <c r="D483" s="45"/>
    </row>
    <row r="484" spans="3:4" ht="13" x14ac:dyDescent="0.15">
      <c r="C484" s="45"/>
      <c r="D484" s="45"/>
    </row>
    <row r="485" spans="3:4" ht="13" x14ac:dyDescent="0.15">
      <c r="C485" s="45"/>
      <c r="D485" s="45"/>
    </row>
    <row r="486" spans="3:4" ht="13" x14ac:dyDescent="0.15">
      <c r="C486" s="45"/>
      <c r="D486" s="45"/>
    </row>
    <row r="487" spans="3:4" ht="13" x14ac:dyDescent="0.15">
      <c r="C487" s="45"/>
      <c r="D487" s="45"/>
    </row>
    <row r="488" spans="3:4" ht="13" x14ac:dyDescent="0.15">
      <c r="C488" s="45"/>
      <c r="D488" s="45"/>
    </row>
    <row r="489" spans="3:4" ht="13" x14ac:dyDescent="0.15">
      <c r="C489" s="45"/>
      <c r="D489" s="45"/>
    </row>
    <row r="490" spans="3:4" ht="13" x14ac:dyDescent="0.15">
      <c r="C490" s="45"/>
      <c r="D490" s="45"/>
    </row>
    <row r="491" spans="3:4" ht="13" x14ac:dyDescent="0.15">
      <c r="C491" s="45"/>
      <c r="D491" s="45"/>
    </row>
    <row r="492" spans="3:4" ht="13" x14ac:dyDescent="0.15">
      <c r="C492" s="45"/>
      <c r="D492" s="45"/>
    </row>
    <row r="493" spans="3:4" ht="13" x14ac:dyDescent="0.15">
      <c r="C493" s="45"/>
      <c r="D493" s="45"/>
    </row>
    <row r="494" spans="3:4" ht="13" x14ac:dyDescent="0.15">
      <c r="C494" s="45"/>
      <c r="D494" s="45"/>
    </row>
    <row r="495" spans="3:4" ht="13" x14ac:dyDescent="0.15">
      <c r="C495" s="45"/>
      <c r="D495" s="45"/>
    </row>
    <row r="496" spans="3:4" ht="13" x14ac:dyDescent="0.15">
      <c r="C496" s="45"/>
      <c r="D496" s="45"/>
    </row>
    <row r="497" spans="3:4" ht="13" x14ac:dyDescent="0.15">
      <c r="C497" s="45"/>
      <c r="D497" s="45"/>
    </row>
    <row r="498" spans="3:4" ht="13" x14ac:dyDescent="0.15">
      <c r="C498" s="45"/>
      <c r="D498" s="45"/>
    </row>
    <row r="499" spans="3:4" ht="13" x14ac:dyDescent="0.15">
      <c r="C499" s="45"/>
      <c r="D499" s="45"/>
    </row>
    <row r="500" spans="3:4" ht="13" x14ac:dyDescent="0.15">
      <c r="C500" s="45"/>
      <c r="D500" s="45"/>
    </row>
    <row r="501" spans="3:4" ht="13" x14ac:dyDescent="0.15">
      <c r="C501" s="45"/>
      <c r="D501" s="45"/>
    </row>
    <row r="502" spans="3:4" ht="13" x14ac:dyDescent="0.15">
      <c r="C502" s="45"/>
      <c r="D502" s="45"/>
    </row>
    <row r="503" spans="3:4" ht="13" x14ac:dyDescent="0.15">
      <c r="C503" s="45"/>
      <c r="D503" s="45"/>
    </row>
    <row r="504" spans="3:4" ht="13" x14ac:dyDescent="0.15">
      <c r="C504" s="45"/>
      <c r="D504" s="45"/>
    </row>
    <row r="505" spans="3:4" ht="13" x14ac:dyDescent="0.15">
      <c r="C505" s="45"/>
      <c r="D505" s="45"/>
    </row>
    <row r="506" spans="3:4" ht="13" x14ac:dyDescent="0.15">
      <c r="C506" s="45"/>
      <c r="D506" s="45"/>
    </row>
    <row r="507" spans="3:4" ht="13" x14ac:dyDescent="0.15">
      <c r="C507" s="45"/>
      <c r="D507" s="45"/>
    </row>
    <row r="508" spans="3:4" ht="13" x14ac:dyDescent="0.15">
      <c r="C508" s="45"/>
      <c r="D508" s="45"/>
    </row>
    <row r="509" spans="3:4" ht="13" x14ac:dyDescent="0.15">
      <c r="C509" s="45"/>
      <c r="D509" s="45"/>
    </row>
    <row r="510" spans="3:4" ht="13" x14ac:dyDescent="0.15">
      <c r="C510" s="45"/>
      <c r="D510" s="45"/>
    </row>
    <row r="511" spans="3:4" ht="13" x14ac:dyDescent="0.15">
      <c r="C511" s="45"/>
      <c r="D511" s="45"/>
    </row>
    <row r="512" spans="3:4" ht="13" x14ac:dyDescent="0.15">
      <c r="C512" s="45"/>
      <c r="D512" s="45"/>
    </row>
    <row r="513" spans="3:4" ht="13" x14ac:dyDescent="0.15">
      <c r="C513" s="45"/>
      <c r="D513" s="45"/>
    </row>
    <row r="514" spans="3:4" ht="13" x14ac:dyDescent="0.15">
      <c r="C514" s="45"/>
      <c r="D514" s="45"/>
    </row>
    <row r="515" spans="3:4" ht="13" x14ac:dyDescent="0.15">
      <c r="C515" s="45"/>
      <c r="D515" s="45"/>
    </row>
    <row r="516" spans="3:4" ht="13" x14ac:dyDescent="0.15">
      <c r="C516" s="45"/>
      <c r="D516" s="45"/>
    </row>
    <row r="517" spans="3:4" ht="13" x14ac:dyDescent="0.15">
      <c r="C517" s="45"/>
      <c r="D517" s="45"/>
    </row>
    <row r="518" spans="3:4" ht="13" x14ac:dyDescent="0.15">
      <c r="C518" s="45"/>
      <c r="D518" s="45"/>
    </row>
    <row r="519" spans="3:4" ht="13" x14ac:dyDescent="0.15">
      <c r="C519" s="45"/>
      <c r="D519" s="45"/>
    </row>
    <row r="520" spans="3:4" ht="13" x14ac:dyDescent="0.15">
      <c r="C520" s="45"/>
      <c r="D520" s="45"/>
    </row>
    <row r="521" spans="3:4" ht="13" x14ac:dyDescent="0.15">
      <c r="C521" s="45"/>
      <c r="D521" s="45"/>
    </row>
    <row r="522" spans="3:4" ht="13" x14ac:dyDescent="0.15">
      <c r="C522" s="45"/>
      <c r="D522" s="45"/>
    </row>
    <row r="523" spans="3:4" ht="13" x14ac:dyDescent="0.15">
      <c r="C523" s="45"/>
      <c r="D523" s="45"/>
    </row>
    <row r="524" spans="3:4" ht="13" x14ac:dyDescent="0.15">
      <c r="C524" s="45"/>
      <c r="D524" s="45"/>
    </row>
    <row r="525" spans="3:4" ht="13" x14ac:dyDescent="0.15">
      <c r="C525" s="45"/>
      <c r="D525" s="45"/>
    </row>
    <row r="526" spans="3:4" ht="13" x14ac:dyDescent="0.15">
      <c r="C526" s="45"/>
      <c r="D526" s="45"/>
    </row>
    <row r="527" spans="3:4" ht="13" x14ac:dyDescent="0.15">
      <c r="C527" s="45"/>
      <c r="D527" s="45"/>
    </row>
    <row r="528" spans="3:4" ht="13" x14ac:dyDescent="0.15">
      <c r="C528" s="45"/>
      <c r="D528" s="45"/>
    </row>
    <row r="529" spans="3:4" ht="13" x14ac:dyDescent="0.15">
      <c r="C529" s="45"/>
      <c r="D529" s="45"/>
    </row>
    <row r="530" spans="3:4" ht="13" x14ac:dyDescent="0.15">
      <c r="C530" s="45"/>
      <c r="D530" s="45"/>
    </row>
    <row r="531" spans="3:4" ht="13" x14ac:dyDescent="0.15">
      <c r="C531" s="45"/>
      <c r="D531" s="45"/>
    </row>
    <row r="532" spans="3:4" ht="13" x14ac:dyDescent="0.15">
      <c r="C532" s="45"/>
      <c r="D532" s="45"/>
    </row>
    <row r="533" spans="3:4" ht="13" x14ac:dyDescent="0.15">
      <c r="C533" s="45"/>
      <c r="D533" s="45"/>
    </row>
    <row r="534" spans="3:4" ht="13" x14ac:dyDescent="0.15">
      <c r="C534" s="45"/>
      <c r="D534" s="45"/>
    </row>
    <row r="535" spans="3:4" ht="13" x14ac:dyDescent="0.15">
      <c r="C535" s="45"/>
      <c r="D535" s="45"/>
    </row>
    <row r="536" spans="3:4" ht="13" x14ac:dyDescent="0.15">
      <c r="C536" s="45"/>
      <c r="D536" s="45"/>
    </row>
    <row r="537" spans="3:4" ht="13" x14ac:dyDescent="0.15">
      <c r="C537" s="45"/>
      <c r="D537" s="45"/>
    </row>
    <row r="538" spans="3:4" ht="13" x14ac:dyDescent="0.15">
      <c r="C538" s="45"/>
      <c r="D538" s="45"/>
    </row>
    <row r="539" spans="3:4" ht="13" x14ac:dyDescent="0.15">
      <c r="C539" s="45"/>
      <c r="D539" s="45"/>
    </row>
    <row r="540" spans="3:4" ht="13" x14ac:dyDescent="0.15">
      <c r="C540" s="45"/>
      <c r="D540" s="45"/>
    </row>
    <row r="541" spans="3:4" ht="13" x14ac:dyDescent="0.15">
      <c r="C541" s="45"/>
      <c r="D541" s="45"/>
    </row>
    <row r="542" spans="3:4" ht="13" x14ac:dyDescent="0.15">
      <c r="C542" s="45"/>
      <c r="D542" s="45"/>
    </row>
    <row r="543" spans="3:4" ht="13" x14ac:dyDescent="0.15">
      <c r="C543" s="45"/>
      <c r="D543" s="45"/>
    </row>
    <row r="544" spans="3:4" ht="13" x14ac:dyDescent="0.15">
      <c r="C544" s="45"/>
      <c r="D544" s="45"/>
    </row>
    <row r="545" spans="3:4" ht="13" x14ac:dyDescent="0.15">
      <c r="C545" s="45"/>
      <c r="D545" s="45"/>
    </row>
    <row r="546" spans="3:4" ht="13" x14ac:dyDescent="0.15">
      <c r="C546" s="45"/>
      <c r="D546" s="45"/>
    </row>
    <row r="547" spans="3:4" ht="13" x14ac:dyDescent="0.15">
      <c r="C547" s="45"/>
      <c r="D547" s="45"/>
    </row>
    <row r="548" spans="3:4" ht="13" x14ac:dyDescent="0.15">
      <c r="C548" s="45"/>
      <c r="D548" s="45"/>
    </row>
    <row r="549" spans="3:4" ht="13" x14ac:dyDescent="0.15">
      <c r="C549" s="45"/>
      <c r="D549" s="45"/>
    </row>
    <row r="550" spans="3:4" ht="13" x14ac:dyDescent="0.15">
      <c r="C550" s="45"/>
      <c r="D550" s="45"/>
    </row>
    <row r="551" spans="3:4" ht="13" x14ac:dyDescent="0.15">
      <c r="C551" s="45"/>
      <c r="D551" s="45"/>
    </row>
    <row r="552" spans="3:4" ht="13" x14ac:dyDescent="0.15">
      <c r="C552" s="45"/>
      <c r="D552" s="45"/>
    </row>
    <row r="553" spans="3:4" ht="13" x14ac:dyDescent="0.15">
      <c r="C553" s="45"/>
      <c r="D553" s="45"/>
    </row>
    <row r="554" spans="3:4" ht="13" x14ac:dyDescent="0.15">
      <c r="C554" s="45"/>
      <c r="D554" s="45"/>
    </row>
    <row r="555" spans="3:4" ht="13" x14ac:dyDescent="0.15">
      <c r="C555" s="45"/>
      <c r="D555" s="45"/>
    </row>
    <row r="556" spans="3:4" ht="13" x14ac:dyDescent="0.15">
      <c r="C556" s="45"/>
      <c r="D556" s="45"/>
    </row>
    <row r="557" spans="3:4" ht="13" x14ac:dyDescent="0.15">
      <c r="C557" s="45"/>
      <c r="D557" s="45"/>
    </row>
    <row r="558" spans="3:4" ht="13" x14ac:dyDescent="0.15">
      <c r="C558" s="45"/>
      <c r="D558" s="45"/>
    </row>
    <row r="559" spans="3:4" ht="13" x14ac:dyDescent="0.15">
      <c r="C559" s="45"/>
      <c r="D559" s="45"/>
    </row>
    <row r="560" spans="3:4" ht="13" x14ac:dyDescent="0.15">
      <c r="C560" s="45"/>
      <c r="D560" s="45"/>
    </row>
    <row r="561" spans="3:4" ht="13" x14ac:dyDescent="0.15">
      <c r="C561" s="45"/>
      <c r="D561" s="45"/>
    </row>
    <row r="562" spans="3:4" ht="13" x14ac:dyDescent="0.15">
      <c r="C562" s="45"/>
      <c r="D562" s="45"/>
    </row>
    <row r="563" spans="3:4" ht="13" x14ac:dyDescent="0.15">
      <c r="C563" s="45"/>
      <c r="D563" s="45"/>
    </row>
    <row r="564" spans="3:4" ht="13" x14ac:dyDescent="0.15">
      <c r="C564" s="45"/>
      <c r="D564" s="45"/>
    </row>
    <row r="565" spans="3:4" ht="13" x14ac:dyDescent="0.15">
      <c r="C565" s="45"/>
      <c r="D565" s="45"/>
    </row>
    <row r="566" spans="3:4" ht="13" x14ac:dyDescent="0.15">
      <c r="C566" s="45"/>
      <c r="D566" s="45"/>
    </row>
    <row r="567" spans="3:4" ht="13" x14ac:dyDescent="0.15">
      <c r="C567" s="45"/>
      <c r="D567" s="45"/>
    </row>
    <row r="568" spans="3:4" ht="13" x14ac:dyDescent="0.15">
      <c r="C568" s="45"/>
      <c r="D568" s="45"/>
    </row>
    <row r="569" spans="3:4" ht="13" x14ac:dyDescent="0.15">
      <c r="C569" s="45"/>
      <c r="D569" s="45"/>
    </row>
    <row r="570" spans="3:4" ht="13" x14ac:dyDescent="0.15">
      <c r="C570" s="45"/>
      <c r="D570" s="45"/>
    </row>
    <row r="571" spans="3:4" ht="13" x14ac:dyDescent="0.15">
      <c r="C571" s="45"/>
      <c r="D571" s="45"/>
    </row>
    <row r="572" spans="3:4" ht="13" x14ac:dyDescent="0.15">
      <c r="C572" s="45"/>
      <c r="D572" s="45"/>
    </row>
    <row r="573" spans="3:4" ht="13" x14ac:dyDescent="0.15">
      <c r="C573" s="45"/>
      <c r="D573" s="45"/>
    </row>
    <row r="574" spans="3:4" ht="13" x14ac:dyDescent="0.15">
      <c r="C574" s="45"/>
      <c r="D574" s="45"/>
    </row>
    <row r="575" spans="3:4" ht="13" x14ac:dyDescent="0.15">
      <c r="C575" s="45"/>
      <c r="D575" s="45"/>
    </row>
    <row r="576" spans="3:4" ht="13" x14ac:dyDescent="0.15">
      <c r="C576" s="45"/>
      <c r="D576" s="45"/>
    </row>
    <row r="577" spans="3:4" ht="13" x14ac:dyDescent="0.15">
      <c r="C577" s="45"/>
      <c r="D577" s="45"/>
    </row>
    <row r="578" spans="3:4" ht="13" x14ac:dyDescent="0.15">
      <c r="C578" s="45"/>
      <c r="D578" s="45"/>
    </row>
    <row r="579" spans="3:4" ht="13" x14ac:dyDescent="0.15">
      <c r="C579" s="45"/>
      <c r="D579" s="45"/>
    </row>
    <row r="580" spans="3:4" ht="13" x14ac:dyDescent="0.15">
      <c r="C580" s="45"/>
      <c r="D580" s="45"/>
    </row>
    <row r="581" spans="3:4" ht="13" x14ac:dyDescent="0.15">
      <c r="C581" s="45"/>
      <c r="D581" s="45"/>
    </row>
    <row r="582" spans="3:4" ht="13" x14ac:dyDescent="0.15">
      <c r="C582" s="45"/>
      <c r="D582" s="45"/>
    </row>
    <row r="583" spans="3:4" ht="13" x14ac:dyDescent="0.15">
      <c r="C583" s="45"/>
      <c r="D583" s="45"/>
    </row>
    <row r="584" spans="3:4" ht="13" x14ac:dyDescent="0.15">
      <c r="C584" s="45"/>
      <c r="D584" s="45"/>
    </row>
    <row r="585" spans="3:4" ht="13" x14ac:dyDescent="0.15">
      <c r="C585" s="45"/>
      <c r="D585" s="45"/>
    </row>
    <row r="586" spans="3:4" ht="13" x14ac:dyDescent="0.15">
      <c r="C586" s="45"/>
      <c r="D586" s="45"/>
    </row>
    <row r="587" spans="3:4" ht="13" x14ac:dyDescent="0.15">
      <c r="C587" s="45"/>
      <c r="D587" s="45"/>
    </row>
    <row r="588" spans="3:4" ht="13" x14ac:dyDescent="0.15">
      <c r="C588" s="45"/>
      <c r="D588" s="45"/>
    </row>
    <row r="589" spans="3:4" ht="13" x14ac:dyDescent="0.15">
      <c r="C589" s="45"/>
      <c r="D589" s="45"/>
    </row>
    <row r="590" spans="3:4" ht="13" x14ac:dyDescent="0.15">
      <c r="C590" s="45"/>
      <c r="D590" s="45"/>
    </row>
    <row r="591" spans="3:4" ht="13" x14ac:dyDescent="0.15">
      <c r="C591" s="45"/>
      <c r="D591" s="45"/>
    </row>
    <row r="592" spans="3:4" ht="13" x14ac:dyDescent="0.15">
      <c r="C592" s="45"/>
      <c r="D592" s="45"/>
    </row>
    <row r="593" spans="3:4" ht="13" x14ac:dyDescent="0.15">
      <c r="C593" s="45"/>
      <c r="D593" s="45"/>
    </row>
    <row r="594" spans="3:4" ht="13" x14ac:dyDescent="0.15">
      <c r="C594" s="45"/>
      <c r="D594" s="45"/>
    </row>
    <row r="595" spans="3:4" ht="13" x14ac:dyDescent="0.15">
      <c r="C595" s="45"/>
      <c r="D595" s="45"/>
    </row>
    <row r="596" spans="3:4" ht="13" x14ac:dyDescent="0.15">
      <c r="C596" s="45"/>
      <c r="D596" s="45"/>
    </row>
    <row r="597" spans="3:4" ht="13" x14ac:dyDescent="0.15">
      <c r="C597" s="45"/>
      <c r="D597" s="45"/>
    </row>
    <row r="598" spans="3:4" ht="13" x14ac:dyDescent="0.15">
      <c r="C598" s="45"/>
      <c r="D598" s="45"/>
    </row>
    <row r="599" spans="3:4" ht="13" x14ac:dyDescent="0.15">
      <c r="C599" s="45"/>
      <c r="D599" s="45"/>
    </row>
    <row r="600" spans="3:4" ht="13" x14ac:dyDescent="0.15">
      <c r="C600" s="45"/>
      <c r="D600" s="45"/>
    </row>
    <row r="601" spans="3:4" ht="13" x14ac:dyDescent="0.15">
      <c r="C601" s="45"/>
      <c r="D601" s="45"/>
    </row>
    <row r="602" spans="3:4" ht="13" x14ac:dyDescent="0.15">
      <c r="C602" s="45"/>
      <c r="D602" s="45"/>
    </row>
    <row r="603" spans="3:4" ht="13" x14ac:dyDescent="0.15">
      <c r="C603" s="45"/>
      <c r="D603" s="45"/>
    </row>
    <row r="604" spans="3:4" ht="13" x14ac:dyDescent="0.15">
      <c r="C604" s="45"/>
      <c r="D604" s="45"/>
    </row>
    <row r="605" spans="3:4" ht="13" x14ac:dyDescent="0.15">
      <c r="C605" s="45"/>
      <c r="D605" s="45"/>
    </row>
    <row r="606" spans="3:4" ht="13" x14ac:dyDescent="0.15">
      <c r="C606" s="45"/>
      <c r="D606" s="45"/>
    </row>
    <row r="607" spans="3:4" ht="13" x14ac:dyDescent="0.15">
      <c r="C607" s="45"/>
      <c r="D607" s="45"/>
    </row>
    <row r="608" spans="3:4" ht="13" x14ac:dyDescent="0.15">
      <c r="C608" s="45"/>
      <c r="D608" s="45"/>
    </row>
    <row r="609" spans="3:4" ht="13" x14ac:dyDescent="0.15">
      <c r="C609" s="45"/>
      <c r="D609" s="45"/>
    </row>
    <row r="610" spans="3:4" ht="13" x14ac:dyDescent="0.15">
      <c r="C610" s="45"/>
      <c r="D610" s="45"/>
    </row>
    <row r="611" spans="3:4" ht="13" x14ac:dyDescent="0.15">
      <c r="C611" s="45"/>
      <c r="D611" s="45"/>
    </row>
    <row r="612" spans="3:4" ht="13" x14ac:dyDescent="0.15">
      <c r="C612" s="45"/>
      <c r="D612" s="45"/>
    </row>
    <row r="613" spans="3:4" ht="13" x14ac:dyDescent="0.15">
      <c r="C613" s="45"/>
      <c r="D613" s="45"/>
    </row>
    <row r="614" spans="3:4" ht="13" x14ac:dyDescent="0.15">
      <c r="C614" s="45"/>
      <c r="D614" s="45"/>
    </row>
    <row r="615" spans="3:4" ht="13" x14ac:dyDescent="0.15">
      <c r="C615" s="45"/>
      <c r="D615" s="45"/>
    </row>
    <row r="616" spans="3:4" ht="13" x14ac:dyDescent="0.15">
      <c r="C616" s="45"/>
      <c r="D616" s="45"/>
    </row>
    <row r="617" spans="3:4" ht="13" x14ac:dyDescent="0.15">
      <c r="C617" s="45"/>
      <c r="D617" s="45"/>
    </row>
    <row r="618" spans="3:4" ht="13" x14ac:dyDescent="0.15">
      <c r="C618" s="45"/>
      <c r="D618" s="45"/>
    </row>
    <row r="619" spans="3:4" ht="13" x14ac:dyDescent="0.15">
      <c r="C619" s="45"/>
      <c r="D619" s="45"/>
    </row>
    <row r="620" spans="3:4" ht="13" x14ac:dyDescent="0.15">
      <c r="C620" s="45"/>
      <c r="D620" s="45"/>
    </row>
    <row r="621" spans="3:4" ht="13" x14ac:dyDescent="0.15">
      <c r="C621" s="45"/>
      <c r="D621" s="45"/>
    </row>
    <row r="622" spans="3:4" ht="13" x14ac:dyDescent="0.15">
      <c r="C622" s="45"/>
      <c r="D622" s="45"/>
    </row>
    <row r="623" spans="3:4" ht="13" x14ac:dyDescent="0.15">
      <c r="C623" s="45"/>
      <c r="D623" s="45"/>
    </row>
    <row r="624" spans="3:4" ht="13" x14ac:dyDescent="0.15">
      <c r="C624" s="45"/>
      <c r="D624" s="45"/>
    </row>
    <row r="625" spans="3:4" ht="13" x14ac:dyDescent="0.15">
      <c r="C625" s="45"/>
      <c r="D625" s="45"/>
    </row>
    <row r="626" spans="3:4" ht="13" x14ac:dyDescent="0.15">
      <c r="C626" s="45"/>
      <c r="D626" s="45"/>
    </row>
    <row r="627" spans="3:4" ht="13" x14ac:dyDescent="0.15">
      <c r="C627" s="45"/>
      <c r="D627" s="45"/>
    </row>
    <row r="628" spans="3:4" ht="13" x14ac:dyDescent="0.15">
      <c r="C628" s="45"/>
      <c r="D628" s="45"/>
    </row>
    <row r="629" spans="3:4" ht="13" x14ac:dyDescent="0.15">
      <c r="C629" s="45"/>
      <c r="D629" s="45"/>
    </row>
    <row r="630" spans="3:4" ht="13" x14ac:dyDescent="0.15">
      <c r="C630" s="45"/>
      <c r="D630" s="45"/>
    </row>
    <row r="631" spans="3:4" ht="13" x14ac:dyDescent="0.15">
      <c r="C631" s="45"/>
      <c r="D631" s="45"/>
    </row>
    <row r="632" spans="3:4" ht="13" x14ac:dyDescent="0.15">
      <c r="C632" s="45"/>
      <c r="D632" s="45"/>
    </row>
    <row r="633" spans="3:4" ht="13" x14ac:dyDescent="0.15">
      <c r="C633" s="45"/>
      <c r="D633" s="45"/>
    </row>
    <row r="634" spans="3:4" ht="13" x14ac:dyDescent="0.15">
      <c r="C634" s="45"/>
      <c r="D634" s="45"/>
    </row>
    <row r="635" spans="3:4" ht="13" x14ac:dyDescent="0.15">
      <c r="C635" s="45"/>
      <c r="D635" s="45"/>
    </row>
    <row r="636" spans="3:4" ht="13" x14ac:dyDescent="0.15">
      <c r="C636" s="45"/>
      <c r="D636" s="45"/>
    </row>
    <row r="637" spans="3:4" ht="13" x14ac:dyDescent="0.15">
      <c r="C637" s="45"/>
      <c r="D637" s="45"/>
    </row>
    <row r="638" spans="3:4" ht="13" x14ac:dyDescent="0.15">
      <c r="C638" s="45"/>
      <c r="D638" s="45"/>
    </row>
    <row r="639" spans="3:4" ht="13" x14ac:dyDescent="0.15">
      <c r="C639" s="45"/>
      <c r="D639" s="45"/>
    </row>
    <row r="640" spans="3:4" ht="13" x14ac:dyDescent="0.15">
      <c r="C640" s="45"/>
      <c r="D640" s="45"/>
    </row>
    <row r="641" spans="3:4" ht="13" x14ac:dyDescent="0.15">
      <c r="C641" s="45"/>
      <c r="D641" s="45"/>
    </row>
    <row r="642" spans="3:4" ht="13" x14ac:dyDescent="0.15">
      <c r="C642" s="45"/>
      <c r="D642" s="45"/>
    </row>
    <row r="643" spans="3:4" ht="13" x14ac:dyDescent="0.15">
      <c r="C643" s="45"/>
      <c r="D643" s="45"/>
    </row>
    <row r="644" spans="3:4" ht="13" x14ac:dyDescent="0.15">
      <c r="C644" s="45"/>
      <c r="D644" s="45"/>
    </row>
    <row r="645" spans="3:4" ht="13" x14ac:dyDescent="0.15">
      <c r="C645" s="45"/>
      <c r="D645" s="45"/>
    </row>
    <row r="646" spans="3:4" ht="13" x14ac:dyDescent="0.15">
      <c r="C646" s="45"/>
      <c r="D646" s="45"/>
    </row>
    <row r="647" spans="3:4" ht="13" x14ac:dyDescent="0.15">
      <c r="C647" s="45"/>
      <c r="D647" s="45"/>
    </row>
    <row r="648" spans="3:4" ht="13" x14ac:dyDescent="0.15">
      <c r="C648" s="45"/>
      <c r="D648" s="45"/>
    </row>
    <row r="649" spans="3:4" ht="13" x14ac:dyDescent="0.15">
      <c r="C649" s="45"/>
      <c r="D649" s="45"/>
    </row>
    <row r="650" spans="3:4" ht="13" x14ac:dyDescent="0.15">
      <c r="C650" s="45"/>
      <c r="D650" s="45"/>
    </row>
    <row r="651" spans="3:4" ht="13" x14ac:dyDescent="0.15">
      <c r="C651" s="45"/>
      <c r="D651" s="45"/>
    </row>
    <row r="652" spans="3:4" ht="13" x14ac:dyDescent="0.15">
      <c r="C652" s="45"/>
      <c r="D652" s="45"/>
    </row>
    <row r="653" spans="3:4" ht="13" x14ac:dyDescent="0.15">
      <c r="C653" s="45"/>
      <c r="D653" s="45"/>
    </row>
    <row r="654" spans="3:4" ht="13" x14ac:dyDescent="0.15">
      <c r="C654" s="45"/>
      <c r="D654" s="45"/>
    </row>
    <row r="655" spans="3:4" ht="13" x14ac:dyDescent="0.15">
      <c r="C655" s="45"/>
      <c r="D655" s="45"/>
    </row>
    <row r="656" spans="3:4" ht="13" x14ac:dyDescent="0.15">
      <c r="C656" s="45"/>
      <c r="D656" s="45"/>
    </row>
    <row r="657" spans="3:4" ht="13" x14ac:dyDescent="0.15">
      <c r="C657" s="45"/>
      <c r="D657" s="45"/>
    </row>
    <row r="658" spans="3:4" ht="13" x14ac:dyDescent="0.15">
      <c r="C658" s="45"/>
      <c r="D658" s="45"/>
    </row>
    <row r="659" spans="3:4" ht="13" x14ac:dyDescent="0.15">
      <c r="C659" s="45"/>
      <c r="D659" s="45"/>
    </row>
    <row r="660" spans="3:4" ht="13" x14ac:dyDescent="0.15">
      <c r="C660" s="45"/>
      <c r="D660" s="45"/>
    </row>
    <row r="661" spans="3:4" ht="13" x14ac:dyDescent="0.15">
      <c r="C661" s="45"/>
      <c r="D661" s="45"/>
    </row>
    <row r="662" spans="3:4" ht="13" x14ac:dyDescent="0.15">
      <c r="C662" s="45"/>
      <c r="D662" s="45"/>
    </row>
    <row r="663" spans="3:4" ht="13" x14ac:dyDescent="0.15">
      <c r="C663" s="45"/>
      <c r="D663" s="45"/>
    </row>
    <row r="664" spans="3:4" ht="13" x14ac:dyDescent="0.15">
      <c r="C664" s="45"/>
      <c r="D664" s="45"/>
    </row>
    <row r="665" spans="3:4" ht="13" x14ac:dyDescent="0.15">
      <c r="C665" s="45"/>
      <c r="D665" s="45"/>
    </row>
    <row r="666" spans="3:4" ht="13" x14ac:dyDescent="0.15">
      <c r="C666" s="45"/>
      <c r="D666" s="45"/>
    </row>
    <row r="667" spans="3:4" ht="13" x14ac:dyDescent="0.15">
      <c r="C667" s="45"/>
      <c r="D667" s="45"/>
    </row>
    <row r="668" spans="3:4" ht="13" x14ac:dyDescent="0.15">
      <c r="C668" s="45"/>
      <c r="D668" s="45"/>
    </row>
    <row r="669" spans="3:4" ht="13" x14ac:dyDescent="0.15">
      <c r="C669" s="45"/>
      <c r="D669" s="45"/>
    </row>
    <row r="670" spans="3:4" ht="13" x14ac:dyDescent="0.15">
      <c r="C670" s="45"/>
      <c r="D670" s="45"/>
    </row>
    <row r="671" spans="3:4" ht="13" x14ac:dyDescent="0.15">
      <c r="C671" s="45"/>
      <c r="D671" s="45"/>
    </row>
    <row r="672" spans="3:4" ht="13" x14ac:dyDescent="0.15">
      <c r="C672" s="45"/>
      <c r="D672" s="45"/>
    </row>
    <row r="673" spans="3:4" ht="13" x14ac:dyDescent="0.15">
      <c r="C673" s="45"/>
      <c r="D673" s="45"/>
    </row>
    <row r="674" spans="3:4" ht="13" x14ac:dyDescent="0.15">
      <c r="C674" s="45"/>
      <c r="D674" s="45"/>
    </row>
    <row r="675" spans="3:4" ht="13" x14ac:dyDescent="0.15">
      <c r="C675" s="45"/>
      <c r="D675" s="45"/>
    </row>
    <row r="676" spans="3:4" ht="13" x14ac:dyDescent="0.15">
      <c r="C676" s="45"/>
      <c r="D676" s="45"/>
    </row>
    <row r="677" spans="3:4" ht="13" x14ac:dyDescent="0.15">
      <c r="C677" s="45"/>
      <c r="D677" s="45"/>
    </row>
    <row r="678" spans="3:4" ht="13" x14ac:dyDescent="0.15">
      <c r="C678" s="45"/>
      <c r="D678" s="45"/>
    </row>
    <row r="679" spans="3:4" ht="13" x14ac:dyDescent="0.15">
      <c r="C679" s="45"/>
      <c r="D679" s="45"/>
    </row>
    <row r="680" spans="3:4" ht="13" x14ac:dyDescent="0.15">
      <c r="C680" s="45"/>
      <c r="D680" s="45"/>
    </row>
    <row r="681" spans="3:4" ht="13" x14ac:dyDescent="0.15">
      <c r="C681" s="45"/>
      <c r="D681" s="45"/>
    </row>
    <row r="682" spans="3:4" ht="13" x14ac:dyDescent="0.15">
      <c r="C682" s="45"/>
      <c r="D682" s="45"/>
    </row>
    <row r="683" spans="3:4" ht="13" x14ac:dyDescent="0.15">
      <c r="C683" s="45"/>
      <c r="D683" s="45"/>
    </row>
    <row r="684" spans="3:4" ht="13" x14ac:dyDescent="0.15">
      <c r="C684" s="45"/>
      <c r="D684" s="45"/>
    </row>
    <row r="685" spans="3:4" ht="13" x14ac:dyDescent="0.15">
      <c r="C685" s="45"/>
      <c r="D685" s="45"/>
    </row>
    <row r="686" spans="3:4" ht="13" x14ac:dyDescent="0.15">
      <c r="C686" s="45"/>
      <c r="D686" s="45"/>
    </row>
    <row r="687" spans="3:4" ht="13" x14ac:dyDescent="0.15">
      <c r="C687" s="45"/>
      <c r="D687" s="45"/>
    </row>
    <row r="688" spans="3:4" ht="13" x14ac:dyDescent="0.15">
      <c r="C688" s="45"/>
      <c r="D688" s="45"/>
    </row>
    <row r="689" spans="3:4" ht="13" x14ac:dyDescent="0.15">
      <c r="C689" s="45"/>
      <c r="D689" s="45"/>
    </row>
    <row r="690" spans="3:4" ht="13" x14ac:dyDescent="0.15">
      <c r="C690" s="45"/>
      <c r="D690" s="45"/>
    </row>
    <row r="691" spans="3:4" ht="13" x14ac:dyDescent="0.15">
      <c r="C691" s="45"/>
      <c r="D691" s="45"/>
    </row>
    <row r="692" spans="3:4" ht="13" x14ac:dyDescent="0.15">
      <c r="C692" s="45"/>
      <c r="D692" s="45"/>
    </row>
    <row r="693" spans="3:4" ht="13" x14ac:dyDescent="0.15">
      <c r="C693" s="45"/>
      <c r="D693" s="45"/>
    </row>
    <row r="694" spans="3:4" ht="13" x14ac:dyDescent="0.15">
      <c r="C694" s="45"/>
      <c r="D694" s="45"/>
    </row>
    <row r="695" spans="3:4" ht="13" x14ac:dyDescent="0.15">
      <c r="C695" s="45"/>
      <c r="D695" s="45"/>
    </row>
    <row r="696" spans="3:4" ht="13" x14ac:dyDescent="0.15">
      <c r="C696" s="45"/>
      <c r="D696" s="45"/>
    </row>
    <row r="697" spans="3:4" ht="13" x14ac:dyDescent="0.15">
      <c r="C697" s="45"/>
      <c r="D697" s="45"/>
    </row>
    <row r="698" spans="3:4" ht="13" x14ac:dyDescent="0.15">
      <c r="C698" s="45"/>
      <c r="D698" s="45"/>
    </row>
    <row r="699" spans="3:4" ht="13" x14ac:dyDescent="0.15">
      <c r="C699" s="45"/>
      <c r="D699" s="45"/>
    </row>
    <row r="700" spans="3:4" ht="13" x14ac:dyDescent="0.15">
      <c r="C700" s="45"/>
      <c r="D700" s="45"/>
    </row>
    <row r="701" spans="3:4" ht="13" x14ac:dyDescent="0.15">
      <c r="C701" s="45"/>
      <c r="D701" s="45"/>
    </row>
    <row r="702" spans="3:4" ht="13" x14ac:dyDescent="0.15">
      <c r="C702" s="45"/>
      <c r="D702" s="45"/>
    </row>
    <row r="703" spans="3:4" ht="13" x14ac:dyDescent="0.15">
      <c r="C703" s="45"/>
      <c r="D703" s="45"/>
    </row>
    <row r="704" spans="3:4" ht="13" x14ac:dyDescent="0.15">
      <c r="C704" s="45"/>
      <c r="D704" s="45"/>
    </row>
    <row r="705" spans="3:4" ht="13" x14ac:dyDescent="0.15">
      <c r="C705" s="45"/>
      <c r="D705" s="45"/>
    </row>
    <row r="706" spans="3:4" ht="13" x14ac:dyDescent="0.15">
      <c r="C706" s="45"/>
      <c r="D706" s="45"/>
    </row>
    <row r="707" spans="3:4" ht="13" x14ac:dyDescent="0.15">
      <c r="C707" s="45"/>
      <c r="D707" s="45"/>
    </row>
    <row r="708" spans="3:4" ht="13" x14ac:dyDescent="0.15">
      <c r="C708" s="45"/>
      <c r="D708" s="45"/>
    </row>
    <row r="709" spans="3:4" ht="13" x14ac:dyDescent="0.15">
      <c r="C709" s="45"/>
      <c r="D709" s="45"/>
    </row>
    <row r="710" spans="3:4" ht="13" x14ac:dyDescent="0.15">
      <c r="C710" s="45"/>
      <c r="D710" s="45"/>
    </row>
    <row r="711" spans="3:4" ht="13" x14ac:dyDescent="0.15">
      <c r="C711" s="45"/>
      <c r="D711" s="45"/>
    </row>
    <row r="712" spans="3:4" ht="13" x14ac:dyDescent="0.15">
      <c r="C712" s="45"/>
      <c r="D712" s="45"/>
    </row>
    <row r="713" spans="3:4" ht="13" x14ac:dyDescent="0.15">
      <c r="C713" s="45"/>
      <c r="D713" s="45"/>
    </row>
    <row r="714" spans="3:4" ht="13" x14ac:dyDescent="0.15">
      <c r="C714" s="45"/>
      <c r="D714" s="45"/>
    </row>
    <row r="715" spans="3:4" ht="13" x14ac:dyDescent="0.15">
      <c r="C715" s="45"/>
      <c r="D715" s="45"/>
    </row>
    <row r="716" spans="3:4" ht="13" x14ac:dyDescent="0.15">
      <c r="C716" s="45"/>
      <c r="D716" s="45"/>
    </row>
    <row r="717" spans="3:4" ht="13" x14ac:dyDescent="0.15">
      <c r="C717" s="45"/>
      <c r="D717" s="45"/>
    </row>
    <row r="718" spans="3:4" ht="13" x14ac:dyDescent="0.15">
      <c r="C718" s="45"/>
      <c r="D718" s="45"/>
    </row>
    <row r="719" spans="3:4" ht="13" x14ac:dyDescent="0.15">
      <c r="C719" s="45"/>
      <c r="D719" s="45"/>
    </row>
    <row r="720" spans="3:4" ht="13" x14ac:dyDescent="0.15">
      <c r="C720" s="45"/>
      <c r="D720" s="45"/>
    </row>
    <row r="721" spans="3:4" ht="13" x14ac:dyDescent="0.15">
      <c r="C721" s="45"/>
      <c r="D721" s="45"/>
    </row>
    <row r="722" spans="3:4" ht="13" x14ac:dyDescent="0.15">
      <c r="C722" s="45"/>
      <c r="D722" s="45"/>
    </row>
    <row r="723" spans="3:4" ht="13" x14ac:dyDescent="0.15">
      <c r="C723" s="45"/>
      <c r="D723" s="45"/>
    </row>
    <row r="724" spans="3:4" ht="13" x14ac:dyDescent="0.15">
      <c r="C724" s="45"/>
      <c r="D724" s="45"/>
    </row>
    <row r="725" spans="3:4" ht="13" x14ac:dyDescent="0.15">
      <c r="C725" s="45"/>
      <c r="D725" s="45"/>
    </row>
    <row r="726" spans="3:4" ht="13" x14ac:dyDescent="0.15">
      <c r="C726" s="45"/>
      <c r="D726" s="45"/>
    </row>
    <row r="727" spans="3:4" ht="13" x14ac:dyDescent="0.15">
      <c r="C727" s="45"/>
      <c r="D727" s="45"/>
    </row>
    <row r="728" spans="3:4" ht="13" x14ac:dyDescent="0.15">
      <c r="C728" s="45"/>
      <c r="D728" s="45"/>
    </row>
    <row r="729" spans="3:4" ht="13" x14ac:dyDescent="0.15">
      <c r="C729" s="45"/>
      <c r="D729" s="45"/>
    </row>
    <row r="730" spans="3:4" ht="13" x14ac:dyDescent="0.15">
      <c r="C730" s="45"/>
      <c r="D730" s="45"/>
    </row>
    <row r="731" spans="3:4" ht="13" x14ac:dyDescent="0.15">
      <c r="C731" s="45"/>
      <c r="D731" s="45"/>
    </row>
    <row r="732" spans="3:4" ht="13" x14ac:dyDescent="0.15">
      <c r="C732" s="45"/>
      <c r="D732" s="45"/>
    </row>
    <row r="733" spans="3:4" ht="13" x14ac:dyDescent="0.15">
      <c r="C733" s="45"/>
      <c r="D733" s="45"/>
    </row>
    <row r="734" spans="3:4" ht="13" x14ac:dyDescent="0.15">
      <c r="C734" s="45"/>
      <c r="D734" s="45"/>
    </row>
    <row r="735" spans="3:4" ht="13" x14ac:dyDescent="0.15">
      <c r="C735" s="45"/>
      <c r="D735" s="45"/>
    </row>
    <row r="736" spans="3:4" ht="13" x14ac:dyDescent="0.15">
      <c r="C736" s="45"/>
      <c r="D736" s="45"/>
    </row>
    <row r="737" spans="3:4" ht="13" x14ac:dyDescent="0.15">
      <c r="C737" s="45"/>
      <c r="D737" s="45"/>
    </row>
    <row r="738" spans="3:4" ht="13" x14ac:dyDescent="0.15">
      <c r="C738" s="45"/>
      <c r="D738" s="45"/>
    </row>
    <row r="739" spans="3:4" ht="13" x14ac:dyDescent="0.15">
      <c r="C739" s="45"/>
      <c r="D739" s="45"/>
    </row>
    <row r="740" spans="3:4" ht="13" x14ac:dyDescent="0.15">
      <c r="C740" s="45"/>
      <c r="D740" s="45"/>
    </row>
    <row r="741" spans="3:4" ht="13" x14ac:dyDescent="0.15">
      <c r="C741" s="45"/>
      <c r="D741" s="45"/>
    </row>
    <row r="742" spans="3:4" ht="13" x14ac:dyDescent="0.15">
      <c r="C742" s="45"/>
      <c r="D742" s="45"/>
    </row>
    <row r="743" spans="3:4" ht="13" x14ac:dyDescent="0.15">
      <c r="C743" s="45"/>
      <c r="D743" s="45"/>
    </row>
    <row r="744" spans="3:4" ht="13" x14ac:dyDescent="0.15">
      <c r="C744" s="45"/>
      <c r="D744" s="45"/>
    </row>
    <row r="745" spans="3:4" ht="13" x14ac:dyDescent="0.15">
      <c r="C745" s="45"/>
      <c r="D745" s="45"/>
    </row>
    <row r="746" spans="3:4" ht="13" x14ac:dyDescent="0.15">
      <c r="C746" s="45"/>
      <c r="D746" s="45"/>
    </row>
    <row r="747" spans="3:4" ht="13" x14ac:dyDescent="0.15">
      <c r="C747" s="45"/>
      <c r="D747" s="45"/>
    </row>
    <row r="748" spans="3:4" ht="13" x14ac:dyDescent="0.15">
      <c r="C748" s="45"/>
      <c r="D748" s="45"/>
    </row>
    <row r="749" spans="3:4" ht="13" x14ac:dyDescent="0.15">
      <c r="C749" s="45"/>
      <c r="D749" s="45"/>
    </row>
    <row r="750" spans="3:4" ht="13" x14ac:dyDescent="0.15">
      <c r="C750" s="45"/>
      <c r="D750" s="45"/>
    </row>
    <row r="751" spans="3:4" ht="13" x14ac:dyDescent="0.15">
      <c r="C751" s="45"/>
      <c r="D751" s="45"/>
    </row>
    <row r="752" spans="3:4" ht="13" x14ac:dyDescent="0.15">
      <c r="C752" s="45"/>
      <c r="D752" s="45"/>
    </row>
    <row r="753" spans="3:4" ht="13" x14ac:dyDescent="0.15">
      <c r="C753" s="45"/>
      <c r="D753" s="45"/>
    </row>
    <row r="754" spans="3:4" ht="13" x14ac:dyDescent="0.15">
      <c r="C754" s="45"/>
      <c r="D754" s="45"/>
    </row>
    <row r="755" spans="3:4" ht="13" x14ac:dyDescent="0.15">
      <c r="C755" s="45"/>
      <c r="D755" s="45"/>
    </row>
    <row r="756" spans="3:4" ht="13" x14ac:dyDescent="0.15">
      <c r="C756" s="45"/>
      <c r="D756" s="45"/>
    </row>
    <row r="757" spans="3:4" ht="13" x14ac:dyDescent="0.15">
      <c r="C757" s="45"/>
      <c r="D757" s="45"/>
    </row>
    <row r="758" spans="3:4" ht="13" x14ac:dyDescent="0.15">
      <c r="C758" s="45"/>
      <c r="D758" s="45"/>
    </row>
    <row r="759" spans="3:4" ht="13" x14ac:dyDescent="0.15">
      <c r="C759" s="45"/>
      <c r="D759" s="45"/>
    </row>
    <row r="760" spans="3:4" ht="13" x14ac:dyDescent="0.15">
      <c r="C760" s="45"/>
      <c r="D760" s="45"/>
    </row>
    <row r="761" spans="3:4" ht="13" x14ac:dyDescent="0.15">
      <c r="C761" s="45"/>
      <c r="D761" s="45"/>
    </row>
    <row r="762" spans="3:4" ht="13" x14ac:dyDescent="0.15">
      <c r="C762" s="45"/>
      <c r="D762" s="45"/>
    </row>
    <row r="763" spans="3:4" ht="13" x14ac:dyDescent="0.15">
      <c r="C763" s="45"/>
      <c r="D763" s="45"/>
    </row>
    <row r="764" spans="3:4" ht="13" x14ac:dyDescent="0.15">
      <c r="C764" s="45"/>
      <c r="D764" s="45"/>
    </row>
    <row r="765" spans="3:4" ht="13" x14ac:dyDescent="0.15">
      <c r="C765" s="45"/>
      <c r="D765" s="45"/>
    </row>
    <row r="766" spans="3:4" ht="13" x14ac:dyDescent="0.15">
      <c r="C766" s="45"/>
      <c r="D766" s="45"/>
    </row>
    <row r="767" spans="3:4" ht="13" x14ac:dyDescent="0.15">
      <c r="C767" s="45"/>
      <c r="D767" s="45"/>
    </row>
    <row r="768" spans="3:4" ht="13" x14ac:dyDescent="0.15">
      <c r="C768" s="45"/>
      <c r="D768" s="45"/>
    </row>
    <row r="769" spans="3:4" ht="13" x14ac:dyDescent="0.15">
      <c r="C769" s="45"/>
      <c r="D769" s="45"/>
    </row>
    <row r="770" spans="3:4" ht="13" x14ac:dyDescent="0.15">
      <c r="C770" s="45"/>
      <c r="D770" s="45"/>
    </row>
    <row r="771" spans="3:4" ht="13" x14ac:dyDescent="0.15">
      <c r="C771" s="45"/>
      <c r="D771" s="45"/>
    </row>
    <row r="772" spans="3:4" ht="13" x14ac:dyDescent="0.15">
      <c r="C772" s="45"/>
      <c r="D772" s="45"/>
    </row>
    <row r="773" spans="3:4" ht="13" x14ac:dyDescent="0.15">
      <c r="C773" s="45"/>
      <c r="D773" s="45"/>
    </row>
    <row r="774" spans="3:4" ht="13" x14ac:dyDescent="0.15">
      <c r="C774" s="45"/>
      <c r="D774" s="45"/>
    </row>
    <row r="775" spans="3:4" ht="13" x14ac:dyDescent="0.15">
      <c r="C775" s="45"/>
      <c r="D775" s="45"/>
    </row>
    <row r="776" spans="3:4" ht="13" x14ac:dyDescent="0.15">
      <c r="C776" s="45"/>
      <c r="D776" s="45"/>
    </row>
    <row r="777" spans="3:4" ht="13" x14ac:dyDescent="0.15">
      <c r="C777" s="45"/>
      <c r="D777" s="45"/>
    </row>
    <row r="778" spans="3:4" ht="13" x14ac:dyDescent="0.15">
      <c r="C778" s="45"/>
      <c r="D778" s="45"/>
    </row>
    <row r="779" spans="3:4" ht="13" x14ac:dyDescent="0.15">
      <c r="C779" s="45"/>
      <c r="D779" s="45"/>
    </row>
    <row r="780" spans="3:4" ht="13" x14ac:dyDescent="0.15">
      <c r="C780" s="45"/>
      <c r="D780" s="45"/>
    </row>
    <row r="781" spans="3:4" ht="13" x14ac:dyDescent="0.15">
      <c r="C781" s="45"/>
      <c r="D781" s="45"/>
    </row>
    <row r="782" spans="3:4" ht="13" x14ac:dyDescent="0.15">
      <c r="C782" s="45"/>
      <c r="D782" s="45"/>
    </row>
    <row r="783" spans="3:4" ht="13" x14ac:dyDescent="0.15">
      <c r="C783" s="45"/>
      <c r="D783" s="45"/>
    </row>
    <row r="784" spans="3:4" ht="13" x14ac:dyDescent="0.15">
      <c r="C784" s="45"/>
      <c r="D784" s="45"/>
    </row>
    <row r="785" spans="3:4" ht="13" x14ac:dyDescent="0.15">
      <c r="C785" s="45"/>
      <c r="D785" s="45"/>
    </row>
    <row r="786" spans="3:4" ht="13" x14ac:dyDescent="0.15">
      <c r="C786" s="45"/>
      <c r="D786" s="45"/>
    </row>
    <row r="787" spans="3:4" ht="13" x14ac:dyDescent="0.15">
      <c r="C787" s="45"/>
      <c r="D787" s="45"/>
    </row>
    <row r="788" spans="3:4" ht="13" x14ac:dyDescent="0.15">
      <c r="C788" s="45"/>
      <c r="D788" s="45"/>
    </row>
    <row r="789" spans="3:4" ht="13" x14ac:dyDescent="0.15">
      <c r="C789" s="45"/>
      <c r="D789" s="45"/>
    </row>
    <row r="790" spans="3:4" ht="13" x14ac:dyDescent="0.15">
      <c r="C790" s="45"/>
      <c r="D790" s="45"/>
    </row>
    <row r="791" spans="3:4" ht="13" x14ac:dyDescent="0.15">
      <c r="C791" s="45"/>
      <c r="D791" s="45"/>
    </row>
    <row r="792" spans="3:4" ht="13" x14ac:dyDescent="0.15">
      <c r="C792" s="45"/>
      <c r="D792" s="45"/>
    </row>
    <row r="793" spans="3:4" ht="13" x14ac:dyDescent="0.15">
      <c r="C793" s="45"/>
      <c r="D793" s="45"/>
    </row>
    <row r="794" spans="3:4" ht="13" x14ac:dyDescent="0.15">
      <c r="C794" s="45"/>
      <c r="D794" s="45"/>
    </row>
    <row r="795" spans="3:4" ht="13" x14ac:dyDescent="0.15">
      <c r="C795" s="45"/>
      <c r="D795" s="45"/>
    </row>
    <row r="796" spans="3:4" ht="13" x14ac:dyDescent="0.15">
      <c r="C796" s="45"/>
      <c r="D796" s="45"/>
    </row>
    <row r="797" spans="3:4" ht="13" x14ac:dyDescent="0.15">
      <c r="C797" s="45"/>
      <c r="D797" s="45"/>
    </row>
    <row r="798" spans="3:4" ht="13" x14ac:dyDescent="0.15">
      <c r="C798" s="45"/>
      <c r="D798" s="45"/>
    </row>
    <row r="799" spans="3:4" ht="13" x14ac:dyDescent="0.15">
      <c r="C799" s="45"/>
      <c r="D799" s="45"/>
    </row>
    <row r="800" spans="3:4" ht="13" x14ac:dyDescent="0.15">
      <c r="C800" s="45"/>
      <c r="D800" s="45"/>
    </row>
    <row r="801" spans="3:4" ht="13" x14ac:dyDescent="0.15">
      <c r="C801" s="45"/>
      <c r="D801" s="45"/>
    </row>
    <row r="802" spans="3:4" ht="13" x14ac:dyDescent="0.15">
      <c r="C802" s="45"/>
      <c r="D802" s="45"/>
    </row>
    <row r="803" spans="3:4" ht="13" x14ac:dyDescent="0.15">
      <c r="C803" s="45"/>
      <c r="D803" s="45"/>
    </row>
    <row r="804" spans="3:4" ht="13" x14ac:dyDescent="0.15">
      <c r="C804" s="45"/>
      <c r="D804" s="45"/>
    </row>
    <row r="805" spans="3:4" ht="13" x14ac:dyDescent="0.15">
      <c r="C805" s="45"/>
      <c r="D805" s="45"/>
    </row>
    <row r="806" spans="3:4" ht="13" x14ac:dyDescent="0.15">
      <c r="C806" s="45"/>
      <c r="D806" s="45"/>
    </row>
    <row r="807" spans="3:4" ht="13" x14ac:dyDescent="0.15">
      <c r="C807" s="45"/>
      <c r="D807" s="45"/>
    </row>
    <row r="808" spans="3:4" ht="13" x14ac:dyDescent="0.15">
      <c r="C808" s="45"/>
      <c r="D808" s="45"/>
    </row>
    <row r="809" spans="3:4" ht="13" x14ac:dyDescent="0.15">
      <c r="C809" s="45"/>
      <c r="D809" s="45"/>
    </row>
    <row r="810" spans="3:4" ht="13" x14ac:dyDescent="0.15">
      <c r="C810" s="45"/>
      <c r="D810" s="45"/>
    </row>
    <row r="811" spans="3:4" ht="13" x14ac:dyDescent="0.15">
      <c r="C811" s="45"/>
      <c r="D811" s="45"/>
    </row>
    <row r="812" spans="3:4" ht="13" x14ac:dyDescent="0.15">
      <c r="C812" s="45"/>
      <c r="D812" s="45"/>
    </row>
    <row r="813" spans="3:4" ht="13" x14ac:dyDescent="0.15">
      <c r="C813" s="45"/>
      <c r="D813" s="45"/>
    </row>
    <row r="814" spans="3:4" ht="13" x14ac:dyDescent="0.15">
      <c r="C814" s="45"/>
      <c r="D814" s="45"/>
    </row>
    <row r="815" spans="3:4" ht="13" x14ac:dyDescent="0.15">
      <c r="C815" s="45"/>
      <c r="D815" s="45"/>
    </row>
    <row r="816" spans="3:4" ht="13" x14ac:dyDescent="0.15">
      <c r="C816" s="45"/>
      <c r="D816" s="45"/>
    </row>
    <row r="817" spans="3:4" ht="13" x14ac:dyDescent="0.15">
      <c r="C817" s="45"/>
      <c r="D817" s="45"/>
    </row>
    <row r="818" spans="3:4" ht="13" x14ac:dyDescent="0.15">
      <c r="C818" s="45"/>
      <c r="D818" s="45"/>
    </row>
    <row r="819" spans="3:4" ht="13" x14ac:dyDescent="0.15">
      <c r="C819" s="45"/>
      <c r="D819" s="45"/>
    </row>
    <row r="820" spans="3:4" ht="13" x14ac:dyDescent="0.15">
      <c r="C820" s="45"/>
      <c r="D820" s="45"/>
    </row>
    <row r="821" spans="3:4" ht="13" x14ac:dyDescent="0.15">
      <c r="C821" s="45"/>
      <c r="D821" s="45"/>
    </row>
    <row r="822" spans="3:4" ht="13" x14ac:dyDescent="0.15">
      <c r="C822" s="45"/>
      <c r="D822" s="45"/>
    </row>
    <row r="823" spans="3:4" ht="13" x14ac:dyDescent="0.15">
      <c r="C823" s="45"/>
      <c r="D823" s="45"/>
    </row>
    <row r="824" spans="3:4" ht="13" x14ac:dyDescent="0.15">
      <c r="C824" s="45"/>
      <c r="D824" s="45"/>
    </row>
    <row r="825" spans="3:4" ht="13" x14ac:dyDescent="0.15">
      <c r="C825" s="45"/>
      <c r="D825" s="45"/>
    </row>
    <row r="826" spans="3:4" ht="13" x14ac:dyDescent="0.15">
      <c r="C826" s="45"/>
      <c r="D826" s="45"/>
    </row>
    <row r="827" spans="3:4" ht="13" x14ac:dyDescent="0.15">
      <c r="C827" s="45"/>
      <c r="D827" s="45"/>
    </row>
    <row r="828" spans="3:4" ht="13" x14ac:dyDescent="0.15">
      <c r="C828" s="45"/>
      <c r="D828" s="45"/>
    </row>
    <row r="829" spans="3:4" ht="13" x14ac:dyDescent="0.15">
      <c r="C829" s="45"/>
      <c r="D829" s="45"/>
    </row>
    <row r="830" spans="3:4" ht="13" x14ac:dyDescent="0.15">
      <c r="C830" s="45"/>
      <c r="D830" s="45"/>
    </row>
    <row r="831" spans="3:4" ht="13" x14ac:dyDescent="0.15">
      <c r="C831" s="45"/>
      <c r="D831" s="45"/>
    </row>
    <row r="832" spans="3:4" ht="13" x14ac:dyDescent="0.15">
      <c r="C832" s="45"/>
      <c r="D832" s="45"/>
    </row>
    <row r="833" spans="3:4" ht="13" x14ac:dyDescent="0.15">
      <c r="C833" s="45"/>
      <c r="D833" s="45"/>
    </row>
    <row r="834" spans="3:4" ht="13" x14ac:dyDescent="0.15">
      <c r="C834" s="45"/>
      <c r="D834" s="45"/>
    </row>
    <row r="835" spans="3:4" ht="13" x14ac:dyDescent="0.15">
      <c r="C835" s="45"/>
      <c r="D835" s="45"/>
    </row>
    <row r="836" spans="3:4" ht="13" x14ac:dyDescent="0.15">
      <c r="C836" s="45"/>
      <c r="D836" s="45"/>
    </row>
    <row r="837" spans="3:4" ht="13" x14ac:dyDescent="0.15">
      <c r="C837" s="45"/>
      <c r="D837" s="45"/>
    </row>
    <row r="838" spans="3:4" ht="13" x14ac:dyDescent="0.15">
      <c r="C838" s="45"/>
      <c r="D838" s="45"/>
    </row>
    <row r="839" spans="3:4" ht="13" x14ac:dyDescent="0.15">
      <c r="C839" s="45"/>
      <c r="D839" s="45"/>
    </row>
    <row r="840" spans="3:4" ht="13" x14ac:dyDescent="0.15">
      <c r="C840" s="45"/>
      <c r="D840" s="45"/>
    </row>
    <row r="841" spans="3:4" ht="13" x14ac:dyDescent="0.15">
      <c r="C841" s="45"/>
      <c r="D841" s="45"/>
    </row>
    <row r="842" spans="3:4" ht="13" x14ac:dyDescent="0.15">
      <c r="C842" s="45"/>
      <c r="D842" s="45"/>
    </row>
    <row r="843" spans="3:4" ht="13" x14ac:dyDescent="0.15">
      <c r="C843" s="45"/>
      <c r="D843" s="45"/>
    </row>
    <row r="844" spans="3:4" ht="13" x14ac:dyDescent="0.15">
      <c r="C844" s="45"/>
      <c r="D844" s="45"/>
    </row>
    <row r="845" spans="3:4" ht="13" x14ac:dyDescent="0.15">
      <c r="C845" s="45"/>
      <c r="D845" s="45"/>
    </row>
    <row r="846" spans="3:4" ht="13" x14ac:dyDescent="0.15">
      <c r="C846" s="45"/>
      <c r="D846" s="45"/>
    </row>
    <row r="847" spans="3:4" ht="13" x14ac:dyDescent="0.15">
      <c r="C847" s="45"/>
      <c r="D847" s="45"/>
    </row>
    <row r="848" spans="3:4" ht="13" x14ac:dyDescent="0.15">
      <c r="C848" s="45"/>
      <c r="D848" s="45"/>
    </row>
    <row r="849" spans="3:4" ht="13" x14ac:dyDescent="0.15">
      <c r="C849" s="45"/>
      <c r="D849" s="45"/>
    </row>
    <row r="850" spans="3:4" ht="13" x14ac:dyDescent="0.15">
      <c r="C850" s="45"/>
      <c r="D850" s="45"/>
    </row>
    <row r="851" spans="3:4" ht="13" x14ac:dyDescent="0.15">
      <c r="C851" s="45"/>
      <c r="D851" s="45"/>
    </row>
    <row r="852" spans="3:4" ht="13" x14ac:dyDescent="0.15">
      <c r="C852" s="45"/>
      <c r="D852" s="45"/>
    </row>
    <row r="853" spans="3:4" ht="13" x14ac:dyDescent="0.15">
      <c r="C853" s="45"/>
      <c r="D853" s="45"/>
    </row>
    <row r="854" spans="3:4" ht="13" x14ac:dyDescent="0.15">
      <c r="C854" s="45"/>
      <c r="D854" s="45"/>
    </row>
    <row r="855" spans="3:4" ht="13" x14ac:dyDescent="0.15">
      <c r="C855" s="45"/>
      <c r="D855" s="45"/>
    </row>
    <row r="856" spans="3:4" ht="13" x14ac:dyDescent="0.15">
      <c r="C856" s="45"/>
      <c r="D856" s="45"/>
    </row>
    <row r="857" spans="3:4" ht="13" x14ac:dyDescent="0.15">
      <c r="C857" s="45"/>
      <c r="D857" s="45"/>
    </row>
    <row r="858" spans="3:4" ht="13" x14ac:dyDescent="0.15">
      <c r="C858" s="45"/>
      <c r="D858" s="45"/>
    </row>
    <row r="859" spans="3:4" ht="13" x14ac:dyDescent="0.15">
      <c r="C859" s="45"/>
      <c r="D859" s="45"/>
    </row>
    <row r="860" spans="3:4" ht="13" x14ac:dyDescent="0.15">
      <c r="C860" s="45"/>
      <c r="D860" s="45"/>
    </row>
    <row r="861" spans="3:4" ht="13" x14ac:dyDescent="0.15">
      <c r="C861" s="45"/>
      <c r="D861" s="45"/>
    </row>
    <row r="862" spans="3:4" ht="13" x14ac:dyDescent="0.15">
      <c r="C862" s="45"/>
      <c r="D862" s="45"/>
    </row>
    <row r="863" spans="3:4" ht="13" x14ac:dyDescent="0.15">
      <c r="C863" s="45"/>
      <c r="D863" s="45"/>
    </row>
    <row r="864" spans="3:4" ht="13" x14ac:dyDescent="0.15">
      <c r="C864" s="45"/>
      <c r="D864" s="45"/>
    </row>
    <row r="865" spans="3:4" ht="13" x14ac:dyDescent="0.15">
      <c r="C865" s="45"/>
      <c r="D865" s="45"/>
    </row>
    <row r="866" spans="3:4" ht="13" x14ac:dyDescent="0.15">
      <c r="C866" s="45"/>
      <c r="D866" s="45"/>
    </row>
    <row r="867" spans="3:4" ht="13" x14ac:dyDescent="0.15">
      <c r="C867" s="45"/>
      <c r="D867" s="45"/>
    </row>
    <row r="868" spans="3:4" ht="13" x14ac:dyDescent="0.15">
      <c r="C868" s="45"/>
      <c r="D868" s="45"/>
    </row>
    <row r="869" spans="3:4" ht="13" x14ac:dyDescent="0.15">
      <c r="C869" s="45"/>
      <c r="D869" s="45"/>
    </row>
    <row r="870" spans="3:4" ht="13" x14ac:dyDescent="0.15">
      <c r="C870" s="45"/>
      <c r="D870" s="45"/>
    </row>
    <row r="871" spans="3:4" ht="13" x14ac:dyDescent="0.15">
      <c r="C871" s="45"/>
      <c r="D871" s="45"/>
    </row>
    <row r="872" spans="3:4" ht="13" x14ac:dyDescent="0.15">
      <c r="C872" s="45"/>
      <c r="D872" s="45"/>
    </row>
    <row r="873" spans="3:4" ht="13" x14ac:dyDescent="0.15">
      <c r="C873" s="45"/>
      <c r="D873" s="45"/>
    </row>
    <row r="874" spans="3:4" ht="13" x14ac:dyDescent="0.15">
      <c r="C874" s="45"/>
      <c r="D874" s="45"/>
    </row>
    <row r="875" spans="3:4" ht="13" x14ac:dyDescent="0.15">
      <c r="C875" s="45"/>
      <c r="D875" s="45"/>
    </row>
    <row r="876" spans="3:4" ht="13" x14ac:dyDescent="0.15">
      <c r="C876" s="45"/>
      <c r="D876" s="45"/>
    </row>
    <row r="877" spans="3:4" ht="13" x14ac:dyDescent="0.15">
      <c r="C877" s="45"/>
      <c r="D877" s="45"/>
    </row>
    <row r="878" spans="3:4" ht="13" x14ac:dyDescent="0.15">
      <c r="C878" s="45"/>
      <c r="D878" s="45"/>
    </row>
    <row r="879" spans="3:4" ht="13" x14ac:dyDescent="0.15">
      <c r="C879" s="45"/>
      <c r="D879" s="45"/>
    </row>
    <row r="880" spans="3:4" ht="13" x14ac:dyDescent="0.15">
      <c r="C880" s="45"/>
      <c r="D880" s="45"/>
    </row>
    <row r="881" spans="3:4" ht="13" x14ac:dyDescent="0.15">
      <c r="C881" s="45"/>
      <c r="D881" s="45"/>
    </row>
    <row r="882" spans="3:4" ht="13" x14ac:dyDescent="0.15">
      <c r="C882" s="45"/>
      <c r="D882" s="45"/>
    </row>
    <row r="883" spans="3:4" ht="13" x14ac:dyDescent="0.15">
      <c r="C883" s="45"/>
      <c r="D883" s="45"/>
    </row>
    <row r="884" spans="3:4" ht="13" x14ac:dyDescent="0.15">
      <c r="C884" s="45"/>
      <c r="D884" s="45"/>
    </row>
    <row r="885" spans="3:4" ht="13" x14ac:dyDescent="0.15">
      <c r="C885" s="45"/>
      <c r="D885" s="45"/>
    </row>
    <row r="886" spans="3:4" ht="13" x14ac:dyDescent="0.15">
      <c r="C886" s="45"/>
      <c r="D886" s="45"/>
    </row>
    <row r="887" spans="3:4" ht="13" x14ac:dyDescent="0.15">
      <c r="C887" s="45"/>
      <c r="D887" s="45"/>
    </row>
    <row r="888" spans="3:4" ht="13" x14ac:dyDescent="0.15">
      <c r="C888" s="45"/>
      <c r="D888" s="45"/>
    </row>
    <row r="889" spans="3:4" ht="13" x14ac:dyDescent="0.15">
      <c r="C889" s="45"/>
      <c r="D889" s="45"/>
    </row>
    <row r="890" spans="3:4" ht="13" x14ac:dyDescent="0.15">
      <c r="C890" s="45"/>
      <c r="D890" s="45"/>
    </row>
    <row r="891" spans="3:4" ht="13" x14ac:dyDescent="0.15">
      <c r="C891" s="45"/>
      <c r="D891" s="45"/>
    </row>
    <row r="892" spans="3:4" ht="13" x14ac:dyDescent="0.15">
      <c r="C892" s="45"/>
      <c r="D892" s="45"/>
    </row>
    <row r="893" spans="3:4" ht="13" x14ac:dyDescent="0.15">
      <c r="C893" s="45"/>
      <c r="D893" s="45"/>
    </row>
    <row r="894" spans="3:4" ht="13" x14ac:dyDescent="0.15">
      <c r="C894" s="45"/>
      <c r="D894" s="45"/>
    </row>
    <row r="895" spans="3:4" ht="13" x14ac:dyDescent="0.15">
      <c r="C895" s="45"/>
      <c r="D895" s="45"/>
    </row>
    <row r="896" spans="3:4" ht="13" x14ac:dyDescent="0.15">
      <c r="C896" s="45"/>
      <c r="D896" s="45"/>
    </row>
    <row r="897" spans="3:4" ht="13" x14ac:dyDescent="0.15">
      <c r="C897" s="45"/>
      <c r="D897" s="45"/>
    </row>
    <row r="898" spans="3:4" ht="13" x14ac:dyDescent="0.15">
      <c r="C898" s="45"/>
      <c r="D898" s="45"/>
    </row>
    <row r="899" spans="3:4" ht="13" x14ac:dyDescent="0.15">
      <c r="C899" s="45"/>
      <c r="D899" s="45"/>
    </row>
    <row r="900" spans="3:4" ht="13" x14ac:dyDescent="0.15">
      <c r="C900" s="45"/>
      <c r="D900" s="45"/>
    </row>
    <row r="901" spans="3:4" ht="13" x14ac:dyDescent="0.15">
      <c r="C901" s="45"/>
      <c r="D901" s="45"/>
    </row>
    <row r="902" spans="3:4" ht="13" x14ac:dyDescent="0.15">
      <c r="C902" s="45"/>
      <c r="D902" s="45"/>
    </row>
    <row r="903" spans="3:4" ht="13" x14ac:dyDescent="0.15">
      <c r="C903" s="45"/>
      <c r="D903" s="45"/>
    </row>
    <row r="904" spans="3:4" ht="13" x14ac:dyDescent="0.15">
      <c r="C904" s="45"/>
      <c r="D904" s="45"/>
    </row>
    <row r="905" spans="3:4" ht="13" x14ac:dyDescent="0.15">
      <c r="C905" s="45"/>
      <c r="D905" s="45"/>
    </row>
    <row r="906" spans="3:4" ht="13" x14ac:dyDescent="0.15">
      <c r="C906" s="45"/>
      <c r="D906" s="45"/>
    </row>
    <row r="907" spans="3:4" ht="13" x14ac:dyDescent="0.15">
      <c r="C907" s="45"/>
      <c r="D907" s="45"/>
    </row>
    <row r="908" spans="3:4" ht="13" x14ac:dyDescent="0.15">
      <c r="C908" s="45"/>
      <c r="D908" s="45"/>
    </row>
    <row r="909" spans="3:4" ht="13" x14ac:dyDescent="0.15">
      <c r="C909" s="45"/>
      <c r="D909" s="45"/>
    </row>
    <row r="910" spans="3:4" ht="13" x14ac:dyDescent="0.15">
      <c r="C910" s="45"/>
      <c r="D910" s="45"/>
    </row>
    <row r="911" spans="3:4" ht="13" x14ac:dyDescent="0.15">
      <c r="C911" s="45"/>
      <c r="D911" s="45"/>
    </row>
    <row r="912" spans="3:4" ht="13" x14ac:dyDescent="0.15">
      <c r="C912" s="45"/>
      <c r="D912" s="45"/>
    </row>
    <row r="913" spans="3:4" ht="13" x14ac:dyDescent="0.15">
      <c r="C913" s="45"/>
      <c r="D913" s="45"/>
    </row>
    <row r="914" spans="3:4" ht="13" x14ac:dyDescent="0.15">
      <c r="C914" s="45"/>
      <c r="D914" s="45"/>
    </row>
    <row r="915" spans="3:4" ht="13" x14ac:dyDescent="0.15">
      <c r="C915" s="45"/>
      <c r="D915" s="45"/>
    </row>
    <row r="916" spans="3:4" ht="13" x14ac:dyDescent="0.15">
      <c r="C916" s="45"/>
      <c r="D916" s="45"/>
    </row>
    <row r="917" spans="3:4" ht="13" x14ac:dyDescent="0.15">
      <c r="C917" s="45"/>
      <c r="D917" s="45"/>
    </row>
    <row r="918" spans="3:4" ht="13" x14ac:dyDescent="0.15">
      <c r="C918" s="45"/>
      <c r="D918" s="45"/>
    </row>
    <row r="919" spans="3:4" ht="13" x14ac:dyDescent="0.15">
      <c r="C919" s="45"/>
      <c r="D919" s="45"/>
    </row>
    <row r="920" spans="3:4" ht="13" x14ac:dyDescent="0.15">
      <c r="C920" s="45"/>
      <c r="D920" s="45"/>
    </row>
    <row r="921" spans="3:4" ht="13" x14ac:dyDescent="0.15">
      <c r="C921" s="45"/>
      <c r="D921" s="45"/>
    </row>
    <row r="922" spans="3:4" ht="13" x14ac:dyDescent="0.15">
      <c r="C922" s="45"/>
      <c r="D922" s="45"/>
    </row>
    <row r="923" spans="3:4" ht="13" x14ac:dyDescent="0.15">
      <c r="C923" s="45"/>
      <c r="D923" s="45"/>
    </row>
    <row r="924" spans="3:4" ht="13" x14ac:dyDescent="0.15">
      <c r="C924" s="45"/>
      <c r="D924" s="45"/>
    </row>
    <row r="925" spans="3:4" ht="13" x14ac:dyDescent="0.15">
      <c r="C925" s="45"/>
      <c r="D925" s="45"/>
    </row>
    <row r="926" spans="3:4" ht="13" x14ac:dyDescent="0.15">
      <c r="C926" s="45"/>
      <c r="D926" s="45"/>
    </row>
    <row r="927" spans="3:4" ht="13" x14ac:dyDescent="0.15">
      <c r="C927" s="45"/>
      <c r="D927" s="45"/>
    </row>
    <row r="928" spans="3:4" ht="13" x14ac:dyDescent="0.15">
      <c r="C928" s="45"/>
      <c r="D928" s="45"/>
    </row>
    <row r="929" spans="3:4" ht="13" x14ac:dyDescent="0.15">
      <c r="C929" s="45"/>
      <c r="D929" s="45"/>
    </row>
    <row r="930" spans="3:4" ht="13" x14ac:dyDescent="0.15">
      <c r="C930" s="45"/>
      <c r="D930" s="45"/>
    </row>
    <row r="931" spans="3:4" ht="13" x14ac:dyDescent="0.15">
      <c r="C931" s="45"/>
      <c r="D931" s="45"/>
    </row>
    <row r="932" spans="3:4" ht="13" x14ac:dyDescent="0.15">
      <c r="C932" s="45"/>
      <c r="D932" s="45"/>
    </row>
    <row r="933" spans="3:4" ht="13" x14ac:dyDescent="0.15">
      <c r="C933" s="45"/>
      <c r="D933" s="45"/>
    </row>
    <row r="934" spans="3:4" ht="13" x14ac:dyDescent="0.15">
      <c r="C934" s="45"/>
      <c r="D934" s="45"/>
    </row>
    <row r="935" spans="3:4" ht="13" x14ac:dyDescent="0.15">
      <c r="C935" s="45"/>
      <c r="D935" s="45"/>
    </row>
    <row r="936" spans="3:4" ht="13" x14ac:dyDescent="0.15">
      <c r="C936" s="45"/>
      <c r="D936" s="45"/>
    </row>
    <row r="937" spans="3:4" ht="13" x14ac:dyDescent="0.15">
      <c r="C937" s="45"/>
      <c r="D937" s="45"/>
    </row>
    <row r="938" spans="3:4" ht="13" x14ac:dyDescent="0.15">
      <c r="C938" s="45"/>
      <c r="D938" s="45"/>
    </row>
    <row r="939" spans="3:4" ht="13" x14ac:dyDescent="0.15">
      <c r="C939" s="45"/>
      <c r="D939" s="45"/>
    </row>
    <row r="940" spans="3:4" ht="13" x14ac:dyDescent="0.15">
      <c r="C940" s="45"/>
      <c r="D940" s="45"/>
    </row>
    <row r="941" spans="3:4" ht="13" x14ac:dyDescent="0.15">
      <c r="C941" s="45"/>
      <c r="D941" s="45"/>
    </row>
    <row r="942" spans="3:4" ht="13" x14ac:dyDescent="0.15">
      <c r="C942" s="45"/>
      <c r="D942" s="45"/>
    </row>
    <row r="943" spans="3:4" ht="13" x14ac:dyDescent="0.15">
      <c r="C943" s="45"/>
      <c r="D943" s="45"/>
    </row>
    <row r="944" spans="3:4" ht="13" x14ac:dyDescent="0.15">
      <c r="C944" s="45"/>
      <c r="D944" s="45"/>
    </row>
    <row r="945" spans="3:4" ht="13" x14ac:dyDescent="0.15">
      <c r="C945" s="45"/>
      <c r="D945" s="45"/>
    </row>
    <row r="946" spans="3:4" ht="13" x14ac:dyDescent="0.15">
      <c r="C946" s="45"/>
      <c r="D946" s="45"/>
    </row>
    <row r="947" spans="3:4" ht="13" x14ac:dyDescent="0.15">
      <c r="C947" s="45"/>
      <c r="D947" s="45"/>
    </row>
    <row r="948" spans="3:4" ht="13" x14ac:dyDescent="0.15">
      <c r="C948" s="45"/>
      <c r="D948" s="45"/>
    </row>
    <row r="949" spans="3:4" ht="13" x14ac:dyDescent="0.15">
      <c r="C949" s="45"/>
      <c r="D949" s="45"/>
    </row>
    <row r="950" spans="3:4" ht="13" x14ac:dyDescent="0.15">
      <c r="C950" s="45"/>
      <c r="D950" s="45"/>
    </row>
    <row r="951" spans="3:4" ht="13" x14ac:dyDescent="0.15">
      <c r="C951" s="45"/>
      <c r="D951" s="45"/>
    </row>
    <row r="952" spans="3:4" ht="13" x14ac:dyDescent="0.15">
      <c r="C952" s="45"/>
      <c r="D952" s="45"/>
    </row>
    <row r="953" spans="3:4" ht="13" x14ac:dyDescent="0.15">
      <c r="C953" s="45"/>
      <c r="D953" s="45"/>
    </row>
    <row r="954" spans="3:4" ht="13" x14ac:dyDescent="0.15">
      <c r="C954" s="45"/>
      <c r="D954" s="45"/>
    </row>
    <row r="955" spans="3:4" ht="13" x14ac:dyDescent="0.15">
      <c r="C955" s="45"/>
      <c r="D955" s="45"/>
    </row>
    <row r="956" spans="3:4" ht="13" x14ac:dyDescent="0.15">
      <c r="C956" s="45"/>
      <c r="D956" s="45"/>
    </row>
    <row r="957" spans="3:4" ht="13" x14ac:dyDescent="0.15">
      <c r="C957" s="45"/>
      <c r="D957" s="45"/>
    </row>
    <row r="958" spans="3:4" ht="13" x14ac:dyDescent="0.15">
      <c r="C958" s="45"/>
      <c r="D958" s="45"/>
    </row>
    <row r="959" spans="3:4" ht="13" x14ac:dyDescent="0.15">
      <c r="C959" s="45"/>
      <c r="D959" s="45"/>
    </row>
    <row r="960" spans="3:4" ht="13" x14ac:dyDescent="0.15">
      <c r="C960" s="45"/>
      <c r="D960" s="45"/>
    </row>
    <row r="961" spans="3:4" ht="13" x14ac:dyDescent="0.15">
      <c r="C961" s="45"/>
      <c r="D961" s="45"/>
    </row>
    <row r="962" spans="3:4" ht="13" x14ac:dyDescent="0.15">
      <c r="C962" s="45"/>
      <c r="D962" s="45"/>
    </row>
    <row r="963" spans="3:4" ht="13" x14ac:dyDescent="0.15">
      <c r="C963" s="45"/>
      <c r="D963" s="45"/>
    </row>
    <row r="964" spans="3:4" ht="13" x14ac:dyDescent="0.15">
      <c r="C964" s="45"/>
      <c r="D964" s="45"/>
    </row>
    <row r="965" spans="3:4" ht="13" x14ac:dyDescent="0.15">
      <c r="C965" s="45"/>
      <c r="D965" s="45"/>
    </row>
    <row r="966" spans="3:4" ht="13" x14ac:dyDescent="0.15">
      <c r="C966" s="45"/>
      <c r="D966" s="45"/>
    </row>
    <row r="967" spans="3:4" ht="13" x14ac:dyDescent="0.15">
      <c r="C967" s="45"/>
      <c r="D967" s="45"/>
    </row>
    <row r="968" spans="3:4" ht="13" x14ac:dyDescent="0.15">
      <c r="C968" s="45"/>
      <c r="D968" s="45"/>
    </row>
    <row r="969" spans="3:4" ht="13" x14ac:dyDescent="0.15">
      <c r="C969" s="45"/>
      <c r="D969" s="45"/>
    </row>
    <row r="970" spans="3:4" ht="13" x14ac:dyDescent="0.15">
      <c r="C970" s="45"/>
      <c r="D970" s="45"/>
    </row>
    <row r="971" spans="3:4" ht="13" x14ac:dyDescent="0.15">
      <c r="C971" s="45"/>
      <c r="D971" s="45"/>
    </row>
    <row r="972" spans="3:4" ht="13" x14ac:dyDescent="0.15">
      <c r="C972" s="45"/>
      <c r="D972" s="45"/>
    </row>
    <row r="973" spans="3:4" ht="13" x14ac:dyDescent="0.15">
      <c r="C973" s="45"/>
      <c r="D973" s="45"/>
    </row>
    <row r="974" spans="3:4" ht="13" x14ac:dyDescent="0.15">
      <c r="C974" s="45"/>
      <c r="D974" s="45"/>
    </row>
    <row r="975" spans="3:4" ht="13" x14ac:dyDescent="0.15">
      <c r="C975" s="45"/>
      <c r="D975" s="45"/>
    </row>
    <row r="976" spans="3:4" ht="13" x14ac:dyDescent="0.15">
      <c r="C976" s="45"/>
      <c r="D976" s="45"/>
    </row>
    <row r="977" spans="3:4" ht="13" x14ac:dyDescent="0.15">
      <c r="C977" s="45"/>
      <c r="D977" s="45"/>
    </row>
    <row r="978" spans="3:4" ht="13" x14ac:dyDescent="0.15">
      <c r="C978" s="45"/>
      <c r="D978" s="45"/>
    </row>
    <row r="979" spans="3:4" ht="13" x14ac:dyDescent="0.15">
      <c r="C979" s="45"/>
      <c r="D979" s="45"/>
    </row>
    <row r="980" spans="3:4" ht="13" x14ac:dyDescent="0.15">
      <c r="C980" s="45"/>
      <c r="D980" s="45"/>
    </row>
    <row r="981" spans="3:4" ht="13" x14ac:dyDescent="0.15">
      <c r="C981" s="45"/>
      <c r="D981" s="45"/>
    </row>
    <row r="982" spans="3:4" ht="13" x14ac:dyDescent="0.15">
      <c r="C982" s="45"/>
      <c r="D982" s="45"/>
    </row>
    <row r="983" spans="3:4" ht="13" x14ac:dyDescent="0.15">
      <c r="C983" s="45"/>
      <c r="D983" s="45"/>
    </row>
    <row r="984" spans="3:4" ht="13" x14ac:dyDescent="0.15">
      <c r="C984" s="45"/>
      <c r="D984" s="45"/>
    </row>
    <row r="985" spans="3:4" ht="13" x14ac:dyDescent="0.15">
      <c r="C985" s="45"/>
      <c r="D985" s="45"/>
    </row>
    <row r="986" spans="3:4" ht="13" x14ac:dyDescent="0.15">
      <c r="C986" s="45"/>
      <c r="D986" s="45"/>
    </row>
    <row r="987" spans="3:4" ht="13" x14ac:dyDescent="0.15">
      <c r="C987" s="45"/>
      <c r="D987" s="45"/>
    </row>
    <row r="988" spans="3:4" ht="13" x14ac:dyDescent="0.15">
      <c r="C988" s="45"/>
      <c r="D988" s="45"/>
    </row>
    <row r="989" spans="3:4" ht="13" x14ac:dyDescent="0.15">
      <c r="C989" s="45"/>
      <c r="D989" s="45"/>
    </row>
    <row r="990" spans="3:4" ht="13" x14ac:dyDescent="0.15">
      <c r="C990" s="45"/>
      <c r="D990" s="45"/>
    </row>
    <row r="991" spans="3:4" ht="13" x14ac:dyDescent="0.15">
      <c r="C991" s="45"/>
      <c r="D991" s="45"/>
    </row>
    <row r="992" spans="3:4" ht="13" x14ac:dyDescent="0.15">
      <c r="C992" s="45"/>
      <c r="D992" s="45"/>
    </row>
    <row r="993" spans="3:4" ht="13" x14ac:dyDescent="0.15">
      <c r="C993" s="45"/>
      <c r="D993" s="45"/>
    </row>
    <row r="994" spans="3:4" ht="13" x14ac:dyDescent="0.15">
      <c r="C994" s="45"/>
      <c r="D994" s="45"/>
    </row>
    <row r="995" spans="3:4" ht="13" x14ac:dyDescent="0.15">
      <c r="C995" s="45"/>
      <c r="D995" s="45"/>
    </row>
    <row r="996" spans="3:4" ht="13" x14ac:dyDescent="0.15">
      <c r="C996" s="45"/>
      <c r="D996" s="45"/>
    </row>
    <row r="997" spans="3:4" ht="13" x14ac:dyDescent="0.15">
      <c r="C997" s="45"/>
      <c r="D997" s="45"/>
    </row>
    <row r="998" spans="3:4" ht="13" x14ac:dyDescent="0.15">
      <c r="C998" s="45"/>
      <c r="D998" s="45"/>
    </row>
    <row r="999" spans="3:4" ht="13" x14ac:dyDescent="0.15">
      <c r="C999" s="45"/>
      <c r="D999" s="45"/>
    </row>
    <row r="1000" spans="3:4" ht="13" x14ac:dyDescent="0.15">
      <c r="C1000" s="45"/>
      <c r="D1000" s="45"/>
    </row>
    <row r="1001" spans="3:4" ht="13" x14ac:dyDescent="0.15">
      <c r="C1001" s="45"/>
      <c r="D1001" s="45"/>
    </row>
    <row r="1002" spans="3:4" ht="13" x14ac:dyDescent="0.15">
      <c r="C1002" s="45"/>
      <c r="D1002" s="45"/>
    </row>
    <row r="1003" spans="3:4" ht="13" x14ac:dyDescent="0.15">
      <c r="C1003" s="45"/>
      <c r="D1003" s="45"/>
    </row>
    <row r="1004" spans="3:4" ht="13" x14ac:dyDescent="0.15">
      <c r="C1004" s="45"/>
      <c r="D1004" s="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G112"/>
  <sheetViews>
    <sheetView workbookViewId="0"/>
  </sheetViews>
  <sheetFormatPr baseColWidth="10" defaultColWidth="12.6640625" defaultRowHeight="15.75" customHeight="1" x14ac:dyDescent="0.15"/>
  <cols>
    <col min="1" max="1" width="21.6640625" customWidth="1"/>
    <col min="2" max="2" width="7.1640625" customWidth="1"/>
    <col min="3" max="3" width="8.1640625" customWidth="1"/>
    <col min="4" max="4" width="10.5" customWidth="1"/>
    <col min="5" max="5" width="7" customWidth="1"/>
    <col min="6" max="6" width="6.83203125" customWidth="1"/>
    <col min="7" max="8" width="14.1640625" customWidth="1"/>
    <col min="9" max="9" width="10.6640625" hidden="1" customWidth="1"/>
    <col min="10" max="10" width="6.83203125" customWidth="1"/>
    <col min="11" max="11" width="7" customWidth="1"/>
    <col min="12" max="12" width="8.33203125" customWidth="1"/>
    <col min="13" max="13" width="9.1640625" customWidth="1"/>
    <col min="14" max="14" width="12.6640625" hidden="1" customWidth="1"/>
    <col min="15" max="17" width="13" hidden="1" customWidth="1"/>
    <col min="18" max="18" width="7.6640625" hidden="1" customWidth="1"/>
    <col min="19" max="19" width="8" hidden="1" customWidth="1"/>
    <col min="20" max="20" width="9" hidden="1" customWidth="1"/>
    <col min="21" max="21" width="11.1640625" hidden="1" customWidth="1"/>
    <col min="22" max="22" width="10.1640625" customWidth="1"/>
    <col min="24" max="24" width="11.83203125" customWidth="1"/>
  </cols>
  <sheetData>
    <row r="1" spans="1:33" ht="15.75" customHeight="1" x14ac:dyDescent="0.15">
      <c r="A1" s="88" t="s">
        <v>115</v>
      </c>
      <c r="B1" s="88" t="s">
        <v>116</v>
      </c>
      <c r="C1" s="88" t="s">
        <v>117</v>
      </c>
      <c r="D1" s="89" t="s">
        <v>118</v>
      </c>
      <c r="E1" s="90" t="s">
        <v>119</v>
      </c>
      <c r="F1" s="91" t="s">
        <v>102</v>
      </c>
      <c r="G1" s="89" t="s">
        <v>120</v>
      </c>
      <c r="H1" s="89" t="s">
        <v>121</v>
      </c>
      <c r="I1" s="89" t="s">
        <v>122</v>
      </c>
      <c r="J1" s="89" t="s">
        <v>123</v>
      </c>
      <c r="K1" s="92" t="s">
        <v>124</v>
      </c>
      <c r="L1" s="91" t="s">
        <v>125</v>
      </c>
      <c r="M1" s="91" t="s">
        <v>126</v>
      </c>
      <c r="N1" s="88" t="s">
        <v>127</v>
      </c>
      <c r="O1" s="93" t="s">
        <v>128</v>
      </c>
      <c r="P1" s="94" t="s">
        <v>129</v>
      </c>
      <c r="Q1" s="95" t="s">
        <v>130</v>
      </c>
      <c r="R1" s="89" t="s">
        <v>131</v>
      </c>
      <c r="S1" s="88"/>
      <c r="T1" s="88"/>
      <c r="U1" s="88" t="s">
        <v>132</v>
      </c>
      <c r="V1" s="88" t="s">
        <v>133</v>
      </c>
      <c r="W1" s="88" t="s">
        <v>134</v>
      </c>
      <c r="X1" s="96" t="s">
        <v>135</v>
      </c>
      <c r="Y1" s="97" t="s">
        <v>136</v>
      </c>
      <c r="Z1" s="97" t="s">
        <v>137</v>
      </c>
      <c r="AA1" s="88"/>
      <c r="AB1" s="88"/>
      <c r="AC1" s="88"/>
      <c r="AD1" s="88"/>
      <c r="AE1" s="88"/>
      <c r="AF1" s="88"/>
      <c r="AG1" s="88"/>
    </row>
    <row r="2" spans="1:33" ht="15.75" customHeight="1" x14ac:dyDescent="0.15">
      <c r="A2" s="98" t="s">
        <v>138</v>
      </c>
      <c r="B2" s="98" t="s">
        <v>139</v>
      </c>
      <c r="C2" s="99">
        <v>1</v>
      </c>
      <c r="D2" s="100">
        <v>850</v>
      </c>
      <c r="E2" s="101">
        <v>1590</v>
      </c>
      <c r="F2" s="102">
        <f t="shared" ref="F2:F74" si="0">(E2-D2)/E2</f>
        <v>0.46540880503144655</v>
      </c>
      <c r="G2" s="103">
        <f t="shared" ref="G2:G112" si="1">D2*1.12</f>
        <v>952.00000000000011</v>
      </c>
      <c r="H2" s="103">
        <f t="shared" ref="H2:H112" si="2">D2*1.08</f>
        <v>918.00000000000011</v>
      </c>
      <c r="I2" s="103">
        <v>1490</v>
      </c>
      <c r="J2" s="103">
        <v>1290</v>
      </c>
      <c r="K2" s="104">
        <v>1590</v>
      </c>
      <c r="L2" s="105">
        <f t="shared" ref="L2:L63" si="3">(J2-D2)/J2</f>
        <v>0.34108527131782945</v>
      </c>
      <c r="M2" s="105">
        <f>(K2-D2)/K2</f>
        <v>0.46540880503144655</v>
      </c>
      <c r="N2" s="103"/>
      <c r="O2" s="106">
        <f t="shared" ref="O2:O70" si="4">(E2-I2)/E2</f>
        <v>6.2893081761006289E-2</v>
      </c>
      <c r="P2" s="106">
        <f t="shared" ref="P2:P74" si="5">(E2-K2)/E2</f>
        <v>0</v>
      </c>
      <c r="Q2" s="107" t="s">
        <v>140</v>
      </c>
      <c r="R2" s="103"/>
      <c r="S2" s="108">
        <f>VLOOKUP(A2,'precios semana 2906'!A:B,2,0)</f>
        <v>850</v>
      </c>
      <c r="T2" s="109">
        <f t="shared" ref="T2:T108" si="6">(S2/D2)-1</f>
        <v>0</v>
      </c>
      <c r="U2" s="109">
        <f>G2/I2-1</f>
        <v>-0.36107382550335565</v>
      </c>
      <c r="V2" s="109">
        <f>G2/K2-1</f>
        <v>-0.40125786163522004</v>
      </c>
      <c r="W2" s="109">
        <f t="shared" ref="W2:W63" si="7">G2/J2-1</f>
        <v>-0.26201550387596895</v>
      </c>
      <c r="X2" s="110">
        <f>G2-K2</f>
        <v>-637.99999999999989</v>
      </c>
      <c r="Y2" s="109">
        <f t="shared" ref="Y2:Y112" si="8">(H2/K2)-1</f>
        <v>-0.42264150943396217</v>
      </c>
      <c r="Z2" s="109">
        <f t="shared" ref="Z2:Z112" si="9">(H2/J2)-1</f>
        <v>-0.28837209302325573</v>
      </c>
      <c r="AA2" s="98"/>
      <c r="AB2" s="98"/>
      <c r="AC2" s="98"/>
      <c r="AD2" s="98"/>
      <c r="AE2" s="98"/>
      <c r="AF2" s="98"/>
      <c r="AG2" s="98"/>
    </row>
    <row r="3" spans="1:33" ht="15.75" customHeight="1" x14ac:dyDescent="0.15">
      <c r="A3" s="111" t="s">
        <v>141</v>
      </c>
      <c r="B3" s="98" t="s">
        <v>142</v>
      </c>
      <c r="C3" s="99">
        <v>0.1</v>
      </c>
      <c r="D3" s="100">
        <v>700</v>
      </c>
      <c r="E3" s="101">
        <v>1390</v>
      </c>
      <c r="F3" s="102">
        <f t="shared" si="0"/>
        <v>0.49640287769784175</v>
      </c>
      <c r="G3" s="103">
        <f t="shared" si="1"/>
        <v>784.00000000000011</v>
      </c>
      <c r="H3" s="103">
        <f t="shared" si="2"/>
        <v>756</v>
      </c>
      <c r="I3" s="103"/>
      <c r="J3" s="103">
        <v>1196</v>
      </c>
      <c r="K3" s="104"/>
      <c r="L3" s="105">
        <f t="shared" si="3"/>
        <v>0.41471571906354515</v>
      </c>
      <c r="M3" s="105"/>
      <c r="N3" s="103">
        <v>1390</v>
      </c>
      <c r="O3" s="106">
        <f t="shared" si="4"/>
        <v>1</v>
      </c>
      <c r="P3" s="106">
        <f t="shared" si="5"/>
        <v>1</v>
      </c>
      <c r="Q3" s="112" t="s">
        <v>143</v>
      </c>
      <c r="R3" s="103">
        <v>1390</v>
      </c>
      <c r="S3" s="108">
        <f>VLOOKUP(A3,'precios semana 2906'!A:B,2,0)</f>
        <v>700</v>
      </c>
      <c r="T3" s="109">
        <f t="shared" si="6"/>
        <v>0</v>
      </c>
      <c r="U3" s="109"/>
      <c r="V3" s="109"/>
      <c r="W3" s="109">
        <f t="shared" si="7"/>
        <v>-0.34448160535117045</v>
      </c>
      <c r="X3" s="110"/>
      <c r="Y3" s="109" t="e">
        <f t="shared" si="8"/>
        <v>#DIV/0!</v>
      </c>
      <c r="Z3" s="109">
        <f t="shared" si="9"/>
        <v>-0.36789297658862874</v>
      </c>
      <c r="AA3" s="98"/>
      <c r="AB3" s="98"/>
      <c r="AC3" s="98"/>
      <c r="AD3" s="98"/>
      <c r="AE3" s="98"/>
      <c r="AF3" s="98"/>
      <c r="AG3" s="98"/>
    </row>
    <row r="4" spans="1:33" ht="15.75" customHeight="1" x14ac:dyDescent="0.15">
      <c r="A4" s="98" t="s">
        <v>144</v>
      </c>
      <c r="B4" s="98" t="s">
        <v>142</v>
      </c>
      <c r="C4" s="99">
        <v>0.2</v>
      </c>
      <c r="D4" s="100">
        <v>800</v>
      </c>
      <c r="E4" s="101">
        <v>1100</v>
      </c>
      <c r="F4" s="102">
        <f t="shared" si="0"/>
        <v>0.27272727272727271</v>
      </c>
      <c r="G4" s="103">
        <f t="shared" si="1"/>
        <v>896.00000000000011</v>
      </c>
      <c r="H4" s="103">
        <f t="shared" si="2"/>
        <v>864</v>
      </c>
      <c r="I4" s="103">
        <v>1078</v>
      </c>
      <c r="J4" s="103">
        <v>1112</v>
      </c>
      <c r="K4" s="104">
        <v>1158</v>
      </c>
      <c r="L4" s="105">
        <f t="shared" si="3"/>
        <v>0.2805755395683453</v>
      </c>
      <c r="M4" s="105">
        <f t="shared" ref="M4:M60" si="10">(K4-D4)/K4</f>
        <v>0.30915371329879104</v>
      </c>
      <c r="N4" s="103">
        <v>590</v>
      </c>
      <c r="O4" s="106">
        <f t="shared" si="4"/>
        <v>0.02</v>
      </c>
      <c r="P4" s="106">
        <f t="shared" si="5"/>
        <v>-5.2727272727272727E-2</v>
      </c>
      <c r="Q4" s="113" t="s">
        <v>145</v>
      </c>
      <c r="R4" s="103"/>
      <c r="S4" s="108">
        <f>VLOOKUP(A4,'precios semana 2906'!A:B,2,0)</f>
        <v>800</v>
      </c>
      <c r="T4" s="109">
        <f t="shared" si="6"/>
        <v>0</v>
      </c>
      <c r="U4" s="109">
        <f t="shared" ref="U4:U112" si="11">G4/I4-1</f>
        <v>-0.16883116883116878</v>
      </c>
      <c r="V4" s="109">
        <f t="shared" ref="V4:V60" si="12">G4/K4-1</f>
        <v>-0.22625215889464589</v>
      </c>
      <c r="W4" s="109">
        <f t="shared" si="7"/>
        <v>-0.19424460431654667</v>
      </c>
      <c r="X4" s="110">
        <f t="shared" ref="X4:X60" si="13">G4-K4</f>
        <v>-261.99999999999989</v>
      </c>
      <c r="Y4" s="109">
        <f t="shared" si="8"/>
        <v>-0.25388601036269431</v>
      </c>
      <c r="Z4" s="109">
        <f t="shared" si="9"/>
        <v>-0.2230215827338129</v>
      </c>
      <c r="AA4" s="98"/>
      <c r="AB4" s="98"/>
      <c r="AC4" s="98"/>
      <c r="AD4" s="98"/>
      <c r="AE4" s="98"/>
      <c r="AF4" s="98"/>
      <c r="AG4" s="98"/>
    </row>
    <row r="5" spans="1:33" ht="15.75" customHeight="1" x14ac:dyDescent="0.15">
      <c r="A5" s="98" t="s">
        <v>146</v>
      </c>
      <c r="B5" s="98" t="s">
        <v>116</v>
      </c>
      <c r="C5" s="99">
        <v>1</v>
      </c>
      <c r="D5" s="100">
        <v>200</v>
      </c>
      <c r="E5" s="101">
        <v>350</v>
      </c>
      <c r="F5" s="102">
        <f t="shared" si="0"/>
        <v>0.42857142857142855</v>
      </c>
      <c r="G5" s="103">
        <f t="shared" si="1"/>
        <v>224.00000000000003</v>
      </c>
      <c r="H5" s="103">
        <f t="shared" si="2"/>
        <v>216</v>
      </c>
      <c r="I5" s="103">
        <v>363</v>
      </c>
      <c r="J5" s="103">
        <v>300</v>
      </c>
      <c r="K5" s="104">
        <v>397</v>
      </c>
      <c r="L5" s="105">
        <f t="shared" si="3"/>
        <v>0.33333333333333331</v>
      </c>
      <c r="M5" s="105">
        <f t="shared" si="10"/>
        <v>0.49622166246851385</v>
      </c>
      <c r="N5" s="103">
        <v>1200</v>
      </c>
      <c r="O5" s="106">
        <f t="shared" si="4"/>
        <v>-3.7142857142857144E-2</v>
      </c>
      <c r="P5" s="106">
        <f t="shared" si="5"/>
        <v>-0.13428571428571429</v>
      </c>
      <c r="Q5" s="114" t="s">
        <v>147</v>
      </c>
      <c r="R5" s="103"/>
      <c r="S5" s="108">
        <f>VLOOKUP(A5,'precios semana 2906'!A:B,2,0)</f>
        <v>200</v>
      </c>
      <c r="T5" s="109">
        <f t="shared" si="6"/>
        <v>0</v>
      </c>
      <c r="U5" s="109">
        <f t="shared" si="11"/>
        <v>-0.38292011019283734</v>
      </c>
      <c r="V5" s="109">
        <f t="shared" si="12"/>
        <v>-0.43576826196473539</v>
      </c>
      <c r="W5" s="109">
        <f t="shared" si="7"/>
        <v>-0.25333333333333319</v>
      </c>
      <c r="X5" s="110">
        <f t="shared" si="13"/>
        <v>-172.99999999999997</v>
      </c>
      <c r="Y5" s="109">
        <f t="shared" si="8"/>
        <v>-0.45591939546599491</v>
      </c>
      <c r="Z5" s="109">
        <f t="shared" si="9"/>
        <v>-0.28000000000000003</v>
      </c>
      <c r="AA5" s="98"/>
      <c r="AB5" s="98"/>
      <c r="AC5" s="98"/>
      <c r="AD5" s="98"/>
      <c r="AE5" s="98"/>
      <c r="AF5" s="98"/>
      <c r="AG5" s="98"/>
    </row>
    <row r="6" spans="1:33" ht="15.75" customHeight="1" x14ac:dyDescent="0.15">
      <c r="A6" s="98" t="s">
        <v>148</v>
      </c>
      <c r="B6" s="98" t="s">
        <v>142</v>
      </c>
      <c r="C6" s="99">
        <v>0.05</v>
      </c>
      <c r="D6" s="100">
        <v>600</v>
      </c>
      <c r="E6" s="101">
        <v>1490</v>
      </c>
      <c r="F6" s="102">
        <f t="shared" si="0"/>
        <v>0.59731543624161076</v>
      </c>
      <c r="G6" s="103">
        <f t="shared" si="1"/>
        <v>672.00000000000011</v>
      </c>
      <c r="H6" s="103">
        <f t="shared" si="2"/>
        <v>648</v>
      </c>
      <c r="I6" s="103">
        <v>1590</v>
      </c>
      <c r="J6" s="103">
        <v>1490</v>
      </c>
      <c r="K6" s="104">
        <v>1590</v>
      </c>
      <c r="L6" s="105">
        <f t="shared" si="3"/>
        <v>0.59731543624161076</v>
      </c>
      <c r="M6" s="105">
        <f t="shared" si="10"/>
        <v>0.62264150943396224</v>
      </c>
      <c r="N6" s="103">
        <v>1690</v>
      </c>
      <c r="O6" s="106">
        <f t="shared" si="4"/>
        <v>-6.7114093959731544E-2</v>
      </c>
      <c r="P6" s="106">
        <f t="shared" si="5"/>
        <v>-6.7114093959731544E-2</v>
      </c>
      <c r="Q6" s="114" t="s">
        <v>149</v>
      </c>
      <c r="R6" s="103">
        <v>845</v>
      </c>
      <c r="S6" s="108">
        <f>VLOOKUP(A6,'precios semana 2906'!A:B,2,0)</f>
        <v>600</v>
      </c>
      <c r="T6" s="109">
        <f t="shared" si="6"/>
        <v>0</v>
      </c>
      <c r="U6" s="109">
        <f t="shared" si="11"/>
        <v>-0.57735849056603761</v>
      </c>
      <c r="V6" s="109">
        <f t="shared" si="12"/>
        <v>-0.57735849056603761</v>
      </c>
      <c r="W6" s="109">
        <f t="shared" si="7"/>
        <v>-0.54899328859060392</v>
      </c>
      <c r="X6" s="110">
        <f t="shared" si="13"/>
        <v>-917.99999999999989</v>
      </c>
      <c r="Y6" s="109">
        <f t="shared" si="8"/>
        <v>-0.59245283018867922</v>
      </c>
      <c r="Z6" s="109">
        <f t="shared" si="9"/>
        <v>-0.56510067114093965</v>
      </c>
      <c r="AA6" s="115"/>
      <c r="AB6" s="115"/>
      <c r="AC6" s="115"/>
      <c r="AD6" s="115"/>
      <c r="AE6" s="115"/>
      <c r="AF6" s="115"/>
      <c r="AG6" s="115"/>
    </row>
    <row r="7" spans="1:33" ht="15.75" customHeight="1" x14ac:dyDescent="0.15">
      <c r="A7" s="111" t="s">
        <v>150</v>
      </c>
      <c r="B7" s="98" t="s">
        <v>116</v>
      </c>
      <c r="C7" s="99">
        <v>1</v>
      </c>
      <c r="D7" s="100">
        <v>1500</v>
      </c>
      <c r="E7" s="101">
        <v>1990</v>
      </c>
      <c r="F7" s="102">
        <f t="shared" si="0"/>
        <v>0.24623115577889448</v>
      </c>
      <c r="G7" s="103">
        <f t="shared" si="1"/>
        <v>1680.0000000000002</v>
      </c>
      <c r="H7" s="103">
        <f t="shared" si="2"/>
        <v>1620</v>
      </c>
      <c r="I7" s="103">
        <v>1000</v>
      </c>
      <c r="J7" s="103">
        <v>1990</v>
      </c>
      <c r="K7" s="104">
        <v>1490</v>
      </c>
      <c r="L7" s="105">
        <f t="shared" si="3"/>
        <v>0.24623115577889448</v>
      </c>
      <c r="M7" s="105">
        <f t="shared" si="10"/>
        <v>-6.7114093959731542E-3</v>
      </c>
      <c r="N7" s="103">
        <v>1990</v>
      </c>
      <c r="O7" s="106">
        <f t="shared" si="4"/>
        <v>0.49748743718592964</v>
      </c>
      <c r="P7" s="106">
        <f t="shared" si="5"/>
        <v>0.25125628140703515</v>
      </c>
      <c r="Q7" s="116" t="s">
        <v>151</v>
      </c>
      <c r="R7" s="103">
        <v>1990</v>
      </c>
      <c r="S7" s="108">
        <f>VLOOKUP(A7,'precios semana 2906'!A:B,2,0)</f>
        <v>1400</v>
      </c>
      <c r="T7" s="109">
        <f t="shared" si="6"/>
        <v>-6.6666666666666652E-2</v>
      </c>
      <c r="U7" s="109">
        <f t="shared" si="11"/>
        <v>0.68000000000000016</v>
      </c>
      <c r="V7" s="109">
        <f t="shared" si="12"/>
        <v>0.12751677852349008</v>
      </c>
      <c r="W7" s="109">
        <f t="shared" si="7"/>
        <v>-0.15577889447236171</v>
      </c>
      <c r="X7" s="110">
        <f t="shared" si="13"/>
        <v>190.00000000000023</v>
      </c>
      <c r="Y7" s="109">
        <f t="shared" si="8"/>
        <v>8.7248322147650992E-2</v>
      </c>
      <c r="Z7" s="109">
        <f t="shared" si="9"/>
        <v>-0.18592964824120606</v>
      </c>
      <c r="AA7" s="98"/>
      <c r="AB7" s="98"/>
      <c r="AC7" s="98"/>
      <c r="AD7" s="98"/>
      <c r="AE7" s="98"/>
      <c r="AF7" s="98"/>
      <c r="AG7" s="98"/>
    </row>
    <row r="8" spans="1:33" ht="15.75" customHeight="1" x14ac:dyDescent="0.15">
      <c r="A8" s="111" t="s">
        <v>152</v>
      </c>
      <c r="B8" s="98" t="s">
        <v>116</v>
      </c>
      <c r="C8" s="99">
        <v>1</v>
      </c>
      <c r="D8" s="100">
        <v>800</v>
      </c>
      <c r="E8" s="101">
        <v>1390</v>
      </c>
      <c r="F8" s="102">
        <f t="shared" si="0"/>
        <v>0.42446043165467628</v>
      </c>
      <c r="G8" s="103">
        <f t="shared" si="1"/>
        <v>896.00000000000011</v>
      </c>
      <c r="H8" s="103">
        <f t="shared" si="2"/>
        <v>864</v>
      </c>
      <c r="I8" s="103">
        <v>790</v>
      </c>
      <c r="J8" s="103">
        <v>1390</v>
      </c>
      <c r="K8" s="104">
        <v>790</v>
      </c>
      <c r="L8" s="105">
        <f t="shared" si="3"/>
        <v>0.42446043165467628</v>
      </c>
      <c r="M8" s="105">
        <f t="shared" si="10"/>
        <v>-1.2658227848101266E-2</v>
      </c>
      <c r="N8" s="103">
        <v>1290</v>
      </c>
      <c r="O8" s="106">
        <f t="shared" si="4"/>
        <v>0.43165467625899279</v>
      </c>
      <c r="P8" s="106">
        <f t="shared" si="5"/>
        <v>0.43165467625899279</v>
      </c>
      <c r="Q8" s="116" t="s">
        <v>153</v>
      </c>
      <c r="R8" s="103">
        <v>1290</v>
      </c>
      <c r="S8" s="108">
        <f>VLOOKUP(A8,'precios semana 2906'!A:B,2,0)</f>
        <v>800</v>
      </c>
      <c r="T8" s="109">
        <f t="shared" si="6"/>
        <v>0</v>
      </c>
      <c r="U8" s="109">
        <f t="shared" si="11"/>
        <v>0.13417721518987347</v>
      </c>
      <c r="V8" s="109">
        <f t="shared" si="12"/>
        <v>0.13417721518987347</v>
      </c>
      <c r="W8" s="109">
        <f t="shared" si="7"/>
        <v>-0.35539568345323735</v>
      </c>
      <c r="X8" s="110">
        <f t="shared" si="13"/>
        <v>106.00000000000011</v>
      </c>
      <c r="Y8" s="109">
        <f t="shared" si="8"/>
        <v>9.3670886075949422E-2</v>
      </c>
      <c r="Z8" s="109">
        <f t="shared" si="9"/>
        <v>-0.37841726618705041</v>
      </c>
      <c r="AA8" s="98"/>
      <c r="AB8" s="98"/>
      <c r="AC8" s="98"/>
      <c r="AD8" s="98"/>
      <c r="AE8" s="98"/>
      <c r="AF8" s="98"/>
      <c r="AG8" s="98"/>
    </row>
    <row r="9" spans="1:33" ht="15.75" customHeight="1" x14ac:dyDescent="0.15">
      <c r="A9" s="98" t="s">
        <v>154</v>
      </c>
      <c r="B9" s="98" t="s">
        <v>116</v>
      </c>
      <c r="C9" s="99">
        <v>1</v>
      </c>
      <c r="D9" s="100">
        <v>600</v>
      </c>
      <c r="E9" s="101">
        <v>890</v>
      </c>
      <c r="F9" s="102">
        <f t="shared" si="0"/>
        <v>0.3258426966292135</v>
      </c>
      <c r="G9" s="103">
        <f t="shared" si="1"/>
        <v>672.00000000000011</v>
      </c>
      <c r="H9" s="103">
        <f t="shared" si="2"/>
        <v>648</v>
      </c>
      <c r="I9" s="103">
        <v>790</v>
      </c>
      <c r="J9" s="103">
        <v>790</v>
      </c>
      <c r="K9" s="104">
        <v>790</v>
      </c>
      <c r="L9" s="105">
        <f t="shared" si="3"/>
        <v>0.24050632911392406</v>
      </c>
      <c r="M9" s="105">
        <f t="shared" si="10"/>
        <v>0.24050632911392406</v>
      </c>
      <c r="N9" s="103">
        <v>890</v>
      </c>
      <c r="O9" s="106">
        <f t="shared" si="4"/>
        <v>0.11235955056179775</v>
      </c>
      <c r="P9" s="106">
        <f t="shared" si="5"/>
        <v>0.11235955056179775</v>
      </c>
      <c r="Q9" s="116" t="s">
        <v>155</v>
      </c>
      <c r="R9" s="103">
        <v>890</v>
      </c>
      <c r="S9" s="108">
        <f>VLOOKUP(A9,'precios semana 2906'!A:B,2,0)</f>
        <v>600</v>
      </c>
      <c r="T9" s="109">
        <f t="shared" si="6"/>
        <v>0</v>
      </c>
      <c r="U9" s="109">
        <f t="shared" si="11"/>
        <v>-0.14936708860759484</v>
      </c>
      <c r="V9" s="109">
        <f t="shared" si="12"/>
        <v>-0.14936708860759484</v>
      </c>
      <c r="W9" s="109">
        <f t="shared" si="7"/>
        <v>-0.14936708860759484</v>
      </c>
      <c r="X9" s="110">
        <f t="shared" si="13"/>
        <v>-117.99999999999989</v>
      </c>
      <c r="Y9" s="109">
        <f t="shared" si="8"/>
        <v>-0.17974683544303793</v>
      </c>
      <c r="Z9" s="109">
        <f t="shared" si="9"/>
        <v>-0.17974683544303793</v>
      </c>
      <c r="AA9" s="98"/>
      <c r="AB9" s="98"/>
      <c r="AC9" s="98"/>
      <c r="AD9" s="98"/>
      <c r="AE9" s="98"/>
      <c r="AF9" s="98"/>
      <c r="AG9" s="98"/>
    </row>
    <row r="10" spans="1:33" ht="15.75" customHeight="1" x14ac:dyDescent="0.15">
      <c r="A10" s="98" t="s">
        <v>156</v>
      </c>
      <c r="B10" s="98" t="s">
        <v>142</v>
      </c>
      <c r="C10" s="99">
        <v>0.05</v>
      </c>
      <c r="D10" s="100">
        <v>700</v>
      </c>
      <c r="E10" s="101">
        <v>1050</v>
      </c>
      <c r="F10" s="102">
        <f t="shared" si="0"/>
        <v>0.33333333333333331</v>
      </c>
      <c r="G10" s="103">
        <f t="shared" si="1"/>
        <v>784.00000000000011</v>
      </c>
      <c r="H10" s="103">
        <f t="shared" si="2"/>
        <v>756</v>
      </c>
      <c r="I10" s="103">
        <v>423</v>
      </c>
      <c r="J10" s="103">
        <v>663</v>
      </c>
      <c r="K10" s="104">
        <v>1050</v>
      </c>
      <c r="L10" s="105">
        <f t="shared" si="3"/>
        <v>-5.5806938159879339E-2</v>
      </c>
      <c r="M10" s="105">
        <f t="shared" si="10"/>
        <v>0.33333333333333331</v>
      </c>
      <c r="N10" s="103">
        <v>2690</v>
      </c>
      <c r="O10" s="106">
        <f t="shared" si="4"/>
        <v>0.5971428571428572</v>
      </c>
      <c r="P10" s="106">
        <f t="shared" si="5"/>
        <v>0</v>
      </c>
      <c r="Q10" s="114" t="s">
        <v>157</v>
      </c>
      <c r="S10" s="108">
        <f>VLOOKUP(A10,'precios semana 2906'!A:B,2,0)</f>
        <v>700</v>
      </c>
      <c r="T10" s="109">
        <f t="shared" si="6"/>
        <v>0</v>
      </c>
      <c r="U10" s="109">
        <f t="shared" si="11"/>
        <v>0.8534278959810877</v>
      </c>
      <c r="V10" s="109">
        <f t="shared" si="12"/>
        <v>-0.25333333333333319</v>
      </c>
      <c r="W10" s="109">
        <f t="shared" si="7"/>
        <v>0.1825037707390651</v>
      </c>
      <c r="X10" s="110">
        <f t="shared" si="13"/>
        <v>-265.99999999999989</v>
      </c>
      <c r="Y10" s="109">
        <f t="shared" si="8"/>
        <v>-0.28000000000000003</v>
      </c>
      <c r="Z10" s="109">
        <f t="shared" si="9"/>
        <v>0.14027149321266963</v>
      </c>
      <c r="AA10" s="98"/>
      <c r="AB10" s="98"/>
      <c r="AC10" s="98"/>
      <c r="AD10" s="98"/>
      <c r="AE10" s="98"/>
      <c r="AF10" s="98"/>
      <c r="AG10" s="98"/>
    </row>
    <row r="11" spans="1:33" ht="15.75" customHeight="1" x14ac:dyDescent="0.15">
      <c r="A11" s="98" t="s">
        <v>158</v>
      </c>
      <c r="B11" s="98" t="s">
        <v>139</v>
      </c>
      <c r="C11" s="99">
        <v>1</v>
      </c>
      <c r="D11" s="100">
        <v>1000</v>
      </c>
      <c r="E11" s="101">
        <v>2250</v>
      </c>
      <c r="F11" s="102">
        <f t="shared" si="0"/>
        <v>0.55555555555555558</v>
      </c>
      <c r="G11" s="103">
        <f t="shared" si="1"/>
        <v>1120</v>
      </c>
      <c r="H11" s="103">
        <f t="shared" si="2"/>
        <v>1080</v>
      </c>
      <c r="I11" s="103">
        <v>1390</v>
      </c>
      <c r="J11" s="103">
        <v>2250</v>
      </c>
      <c r="K11" s="104">
        <v>1490</v>
      </c>
      <c r="L11" s="105">
        <f t="shared" si="3"/>
        <v>0.55555555555555558</v>
      </c>
      <c r="M11" s="105">
        <f t="shared" si="10"/>
        <v>0.32885906040268459</v>
      </c>
      <c r="N11" s="103">
        <v>2190</v>
      </c>
      <c r="O11" s="106">
        <f t="shared" si="4"/>
        <v>0.38222222222222224</v>
      </c>
      <c r="P11" s="106">
        <f t="shared" si="5"/>
        <v>0.33777777777777779</v>
      </c>
      <c r="Q11" s="117" t="s">
        <v>159</v>
      </c>
      <c r="R11" s="103">
        <v>2190</v>
      </c>
      <c r="S11" s="108">
        <f>VLOOKUP(A11,'precios semana 2906'!A:B,2,0)</f>
        <v>1000</v>
      </c>
      <c r="T11" s="109">
        <f t="shared" si="6"/>
        <v>0</v>
      </c>
      <c r="U11" s="109">
        <f t="shared" si="11"/>
        <v>-0.19424460431654678</v>
      </c>
      <c r="V11" s="109">
        <f t="shared" si="12"/>
        <v>-0.24832214765100669</v>
      </c>
      <c r="W11" s="109">
        <f t="shared" si="7"/>
        <v>-0.50222222222222224</v>
      </c>
      <c r="X11" s="110">
        <f t="shared" si="13"/>
        <v>-370</v>
      </c>
      <c r="Y11" s="109">
        <f t="shared" si="8"/>
        <v>-0.27516778523489938</v>
      </c>
      <c r="Z11" s="109">
        <f t="shared" si="9"/>
        <v>-0.52</v>
      </c>
      <c r="AA11" s="98"/>
      <c r="AB11" s="98"/>
      <c r="AC11" s="98"/>
      <c r="AD11" s="98"/>
      <c r="AE11" s="98"/>
      <c r="AF11" s="98"/>
      <c r="AG11" s="98"/>
    </row>
    <row r="12" spans="1:33" ht="15.75" customHeight="1" x14ac:dyDescent="0.15">
      <c r="A12" s="98" t="s">
        <v>160</v>
      </c>
      <c r="B12" s="98" t="s">
        <v>116</v>
      </c>
      <c r="C12" s="99">
        <v>1</v>
      </c>
      <c r="D12" s="100">
        <v>1400</v>
      </c>
      <c r="E12" s="101">
        <v>1990</v>
      </c>
      <c r="F12" s="102">
        <f t="shared" si="0"/>
        <v>0.29648241206030151</v>
      </c>
      <c r="G12" s="103">
        <f t="shared" si="1"/>
        <v>1568.0000000000002</v>
      </c>
      <c r="H12" s="103">
        <f t="shared" si="2"/>
        <v>1512</v>
      </c>
      <c r="I12" s="103">
        <v>1590</v>
      </c>
      <c r="J12" s="103">
        <v>1990</v>
      </c>
      <c r="K12" s="104">
        <v>1590</v>
      </c>
      <c r="L12" s="105">
        <f t="shared" si="3"/>
        <v>0.29648241206030151</v>
      </c>
      <c r="M12" s="105">
        <f t="shared" si="10"/>
        <v>0.11949685534591195</v>
      </c>
      <c r="N12" s="103">
        <v>1990</v>
      </c>
      <c r="O12" s="106">
        <f t="shared" si="4"/>
        <v>0.20100502512562815</v>
      </c>
      <c r="P12" s="106">
        <f t="shared" si="5"/>
        <v>0.20100502512562815</v>
      </c>
      <c r="Q12" s="116" t="s">
        <v>161</v>
      </c>
      <c r="R12" s="103">
        <v>1990</v>
      </c>
      <c r="S12" s="108">
        <f>VLOOKUP(A12,'precios semana 2906'!A:B,2,0)</f>
        <v>1400</v>
      </c>
      <c r="T12" s="109">
        <f t="shared" si="6"/>
        <v>0</v>
      </c>
      <c r="U12" s="109">
        <f t="shared" si="11"/>
        <v>-1.383647798742127E-2</v>
      </c>
      <c r="V12" s="109">
        <f t="shared" si="12"/>
        <v>-1.383647798742127E-2</v>
      </c>
      <c r="W12" s="109">
        <f t="shared" si="7"/>
        <v>-0.21206030150753763</v>
      </c>
      <c r="X12" s="110">
        <f t="shared" si="13"/>
        <v>-21.999999999999773</v>
      </c>
      <c r="Y12" s="109">
        <f t="shared" si="8"/>
        <v>-4.9056603773584895E-2</v>
      </c>
      <c r="Z12" s="109">
        <f t="shared" si="9"/>
        <v>-0.24020100502512565</v>
      </c>
      <c r="AA12" s="98"/>
      <c r="AB12" s="98"/>
      <c r="AC12" s="98"/>
      <c r="AD12" s="98"/>
      <c r="AE12" s="98"/>
      <c r="AF12" s="98"/>
      <c r="AG12" s="98"/>
    </row>
    <row r="13" spans="1:33" ht="15.75" customHeight="1" x14ac:dyDescent="0.15">
      <c r="A13" s="98" t="s">
        <v>162</v>
      </c>
      <c r="B13" s="98" t="s">
        <v>142</v>
      </c>
      <c r="C13" s="99">
        <v>0.5</v>
      </c>
      <c r="D13" s="100">
        <v>1200</v>
      </c>
      <c r="E13" s="101">
        <v>3690</v>
      </c>
      <c r="F13" s="102">
        <f t="shared" si="0"/>
        <v>0.67479674796747968</v>
      </c>
      <c r="G13" s="103">
        <f t="shared" si="1"/>
        <v>1344.0000000000002</v>
      </c>
      <c r="H13" s="103">
        <f t="shared" si="2"/>
        <v>1296</v>
      </c>
      <c r="I13" s="103">
        <v>3190</v>
      </c>
      <c r="J13" s="103">
        <v>3690</v>
      </c>
      <c r="K13" s="104">
        <v>3290</v>
      </c>
      <c r="L13" s="105">
        <f t="shared" si="3"/>
        <v>0.67479674796747968</v>
      </c>
      <c r="M13" s="105">
        <f t="shared" si="10"/>
        <v>0.63525835866261393</v>
      </c>
      <c r="N13" s="103">
        <v>2490</v>
      </c>
      <c r="O13" s="106">
        <f t="shared" si="4"/>
        <v>0.13550135501355012</v>
      </c>
      <c r="P13" s="106">
        <f t="shared" si="5"/>
        <v>0.10840108401084012</v>
      </c>
      <c r="Q13" s="116" t="s">
        <v>163</v>
      </c>
      <c r="R13" s="103"/>
      <c r="S13" s="108">
        <f>VLOOKUP(A13,'precios semana 2906'!A:B,2,0)</f>
        <v>1200</v>
      </c>
      <c r="T13" s="109">
        <f t="shared" si="6"/>
        <v>0</v>
      </c>
      <c r="U13" s="109">
        <f t="shared" si="11"/>
        <v>-0.57868338557993726</v>
      </c>
      <c r="V13" s="109">
        <f t="shared" si="12"/>
        <v>-0.59148936170212751</v>
      </c>
      <c r="W13" s="109">
        <f t="shared" si="7"/>
        <v>-0.63577235772357721</v>
      </c>
      <c r="X13" s="110">
        <f t="shared" si="13"/>
        <v>-1945.9999999999998</v>
      </c>
      <c r="Y13" s="109">
        <f t="shared" si="8"/>
        <v>-0.60607902735562313</v>
      </c>
      <c r="Z13" s="109">
        <f t="shared" si="9"/>
        <v>-0.64878048780487807</v>
      </c>
      <c r="AA13" s="98"/>
      <c r="AB13" s="98"/>
      <c r="AC13" s="98"/>
      <c r="AD13" s="98"/>
      <c r="AE13" s="98"/>
      <c r="AF13" s="98"/>
      <c r="AG13" s="98"/>
    </row>
    <row r="14" spans="1:33" ht="15.75" customHeight="1" x14ac:dyDescent="0.15">
      <c r="A14" s="98" t="s">
        <v>164</v>
      </c>
      <c r="B14" s="98" t="s">
        <v>142</v>
      </c>
      <c r="C14" s="99">
        <v>0.5</v>
      </c>
      <c r="D14" s="100">
        <v>1000</v>
      </c>
      <c r="E14" s="101">
        <v>1545</v>
      </c>
      <c r="F14" s="102">
        <f t="shared" si="0"/>
        <v>0.35275080906148865</v>
      </c>
      <c r="G14" s="103">
        <f t="shared" si="1"/>
        <v>1120</v>
      </c>
      <c r="H14" s="103">
        <f t="shared" si="2"/>
        <v>1080</v>
      </c>
      <c r="I14" s="103">
        <v>1545</v>
      </c>
      <c r="J14" s="103">
        <v>1495</v>
      </c>
      <c r="K14" s="104">
        <v>1545</v>
      </c>
      <c r="L14" s="105">
        <f t="shared" si="3"/>
        <v>0.33110367892976589</v>
      </c>
      <c r="M14" s="105">
        <f t="shared" si="10"/>
        <v>0.35275080906148865</v>
      </c>
      <c r="N14" s="103">
        <v>1395</v>
      </c>
      <c r="O14" s="106">
        <f t="shared" si="4"/>
        <v>0</v>
      </c>
      <c r="P14" s="106">
        <f t="shared" si="5"/>
        <v>0</v>
      </c>
      <c r="Q14" s="116" t="s">
        <v>165</v>
      </c>
      <c r="R14" s="103"/>
      <c r="S14" s="108">
        <f>VLOOKUP(A14,'precios semana 2906'!A:B,2,0)</f>
        <v>1000</v>
      </c>
      <c r="T14" s="109">
        <f t="shared" si="6"/>
        <v>0</v>
      </c>
      <c r="U14" s="109">
        <f t="shared" si="11"/>
        <v>-0.27508090614886727</v>
      </c>
      <c r="V14" s="109">
        <f t="shared" si="12"/>
        <v>-0.27508090614886727</v>
      </c>
      <c r="W14" s="109">
        <f t="shared" si="7"/>
        <v>-0.25083612040133785</v>
      </c>
      <c r="X14" s="110">
        <f t="shared" si="13"/>
        <v>-425</v>
      </c>
      <c r="Y14" s="109">
        <f t="shared" si="8"/>
        <v>-0.30097087378640774</v>
      </c>
      <c r="Z14" s="109">
        <f t="shared" si="9"/>
        <v>-0.27759197324414719</v>
      </c>
      <c r="AA14" s="98"/>
      <c r="AB14" s="98"/>
      <c r="AC14" s="98"/>
      <c r="AD14" s="98"/>
      <c r="AE14" s="98"/>
      <c r="AF14" s="98"/>
      <c r="AG14" s="98"/>
    </row>
    <row r="15" spans="1:33" ht="15.75" customHeight="1" x14ac:dyDescent="0.15">
      <c r="A15" s="98" t="s">
        <v>166</v>
      </c>
      <c r="B15" s="98" t="s">
        <v>116</v>
      </c>
      <c r="C15" s="99">
        <v>1</v>
      </c>
      <c r="D15" s="100">
        <v>250</v>
      </c>
      <c r="E15" s="101">
        <v>450</v>
      </c>
      <c r="F15" s="102">
        <f t="shared" si="0"/>
        <v>0.44444444444444442</v>
      </c>
      <c r="G15" s="103">
        <f t="shared" si="1"/>
        <v>280</v>
      </c>
      <c r="H15" s="103">
        <f t="shared" si="2"/>
        <v>270</v>
      </c>
      <c r="I15" s="103">
        <f>1690/3.5</f>
        <v>482.85714285714283</v>
      </c>
      <c r="J15" s="103">
        <v>430</v>
      </c>
      <c r="K15" s="104">
        <f>1690/3.5</f>
        <v>482.85714285714283</v>
      </c>
      <c r="L15" s="105">
        <f t="shared" si="3"/>
        <v>0.41860465116279072</v>
      </c>
      <c r="M15" s="105">
        <f t="shared" si="10"/>
        <v>0.48224852071005914</v>
      </c>
      <c r="N15" s="103">
        <v>795</v>
      </c>
      <c r="O15" s="106">
        <f t="shared" si="4"/>
        <v>-7.3015873015872965E-2</v>
      </c>
      <c r="P15" s="106">
        <f t="shared" si="5"/>
        <v>-7.3015873015872965E-2</v>
      </c>
      <c r="Q15" s="114" t="s">
        <v>167</v>
      </c>
      <c r="R15" s="103"/>
      <c r="S15" s="108">
        <f>VLOOKUP(A15,'precios semana 2906'!A:B,2,0)</f>
        <v>250</v>
      </c>
      <c r="T15" s="109">
        <f t="shared" si="6"/>
        <v>0</v>
      </c>
      <c r="U15" s="109">
        <f t="shared" si="11"/>
        <v>-0.4201183431952662</v>
      </c>
      <c r="V15" s="109">
        <f t="shared" si="12"/>
        <v>-0.4201183431952662</v>
      </c>
      <c r="W15" s="109">
        <f t="shared" si="7"/>
        <v>-0.34883720930232553</v>
      </c>
      <c r="X15" s="110">
        <f t="shared" si="13"/>
        <v>-202.85714285714283</v>
      </c>
      <c r="Y15" s="109">
        <f t="shared" si="8"/>
        <v>-0.44082840236686383</v>
      </c>
      <c r="Z15" s="109">
        <f t="shared" si="9"/>
        <v>-0.37209302325581395</v>
      </c>
      <c r="AA15" s="98"/>
      <c r="AB15" s="98"/>
      <c r="AC15" s="98"/>
      <c r="AD15" s="98"/>
      <c r="AE15" s="98"/>
      <c r="AF15" s="98"/>
      <c r="AG15" s="98"/>
    </row>
    <row r="16" spans="1:33" ht="15.75" customHeight="1" x14ac:dyDescent="0.15">
      <c r="A16" s="98" t="s">
        <v>168</v>
      </c>
      <c r="B16" s="98" t="s">
        <v>116</v>
      </c>
      <c r="C16" s="99">
        <v>1</v>
      </c>
      <c r="D16" s="100">
        <v>300</v>
      </c>
      <c r="E16" s="101">
        <v>570</v>
      </c>
      <c r="F16" s="102">
        <f t="shared" si="0"/>
        <v>0.47368421052631576</v>
      </c>
      <c r="G16" s="103">
        <f t="shared" si="1"/>
        <v>336.00000000000006</v>
      </c>
      <c r="H16" s="103">
        <f t="shared" si="2"/>
        <v>324</v>
      </c>
      <c r="I16" s="103">
        <f>1990/3.5</f>
        <v>568.57142857142856</v>
      </c>
      <c r="J16" s="103">
        <v>463</v>
      </c>
      <c r="K16" s="104">
        <f>1990/3.5</f>
        <v>568.57142857142856</v>
      </c>
      <c r="L16" s="105">
        <f t="shared" si="3"/>
        <v>0.35205183585313177</v>
      </c>
      <c r="M16" s="105">
        <f t="shared" si="10"/>
        <v>0.47236180904522612</v>
      </c>
      <c r="N16" s="103">
        <v>995</v>
      </c>
      <c r="O16" s="106">
        <f t="shared" si="4"/>
        <v>2.5062656641604295E-3</v>
      </c>
      <c r="P16" s="106">
        <f t="shared" si="5"/>
        <v>2.5062656641604295E-3</v>
      </c>
      <c r="Q16" s="117" t="s">
        <v>169</v>
      </c>
      <c r="R16" s="103"/>
      <c r="S16" s="108">
        <f>VLOOKUP(A16,'precios semana 2906'!A:B,2,0)</f>
        <v>300</v>
      </c>
      <c r="T16" s="109">
        <f t="shared" si="6"/>
        <v>0</v>
      </c>
      <c r="U16" s="109">
        <f t="shared" si="11"/>
        <v>-0.40904522613065319</v>
      </c>
      <c r="V16" s="109">
        <f t="shared" si="12"/>
        <v>-0.40904522613065319</v>
      </c>
      <c r="W16" s="109">
        <f t="shared" si="7"/>
        <v>-0.2742980561555074</v>
      </c>
      <c r="X16" s="110">
        <f t="shared" si="13"/>
        <v>-232.5714285714285</v>
      </c>
      <c r="Y16" s="109">
        <f t="shared" si="8"/>
        <v>-0.43015075376884415</v>
      </c>
      <c r="Z16" s="109">
        <f t="shared" si="9"/>
        <v>-0.30021598272138228</v>
      </c>
      <c r="AA16" s="98"/>
      <c r="AB16" s="98"/>
      <c r="AC16" s="98"/>
      <c r="AD16" s="98"/>
      <c r="AE16" s="98"/>
      <c r="AF16" s="98"/>
      <c r="AG16" s="98"/>
    </row>
    <row r="17" spans="1:33" ht="15.75" customHeight="1" x14ac:dyDescent="0.15">
      <c r="A17" s="98" t="s">
        <v>170</v>
      </c>
      <c r="B17" s="98" t="s">
        <v>139</v>
      </c>
      <c r="C17" s="99">
        <v>1</v>
      </c>
      <c r="D17" s="100">
        <v>700</v>
      </c>
      <c r="E17" s="101">
        <v>1190</v>
      </c>
      <c r="F17" s="102">
        <f t="shared" si="0"/>
        <v>0.41176470588235292</v>
      </c>
      <c r="G17" s="103">
        <f t="shared" si="1"/>
        <v>784.00000000000011</v>
      </c>
      <c r="H17" s="103">
        <f t="shared" si="2"/>
        <v>756</v>
      </c>
      <c r="I17" s="103">
        <v>1550</v>
      </c>
      <c r="J17" s="103">
        <v>1190</v>
      </c>
      <c r="K17" s="104">
        <v>1590</v>
      </c>
      <c r="L17" s="105">
        <f t="shared" si="3"/>
        <v>0.41176470588235292</v>
      </c>
      <c r="M17" s="105">
        <f t="shared" si="10"/>
        <v>0.55974842767295596</v>
      </c>
      <c r="N17" s="103">
        <v>990</v>
      </c>
      <c r="O17" s="106">
        <f t="shared" si="4"/>
        <v>-0.30252100840336132</v>
      </c>
      <c r="P17" s="106">
        <f t="shared" si="5"/>
        <v>-0.33613445378151263</v>
      </c>
      <c r="Q17" s="116" t="s">
        <v>171</v>
      </c>
      <c r="R17" s="103"/>
      <c r="S17" s="108">
        <f>VLOOKUP(A17,'precios semana 2906'!A:B,2,0)</f>
        <v>700</v>
      </c>
      <c r="T17" s="109">
        <f t="shared" si="6"/>
        <v>0</v>
      </c>
      <c r="U17" s="109">
        <f t="shared" si="11"/>
        <v>-0.49419354838709673</v>
      </c>
      <c r="V17" s="109">
        <f t="shared" si="12"/>
        <v>-0.50691823899371058</v>
      </c>
      <c r="W17" s="109">
        <f t="shared" si="7"/>
        <v>-0.34117647058823519</v>
      </c>
      <c r="X17" s="110">
        <f t="shared" si="13"/>
        <v>-805.99999999999989</v>
      </c>
      <c r="Y17" s="109">
        <f t="shared" si="8"/>
        <v>-0.52452830188679245</v>
      </c>
      <c r="Z17" s="109">
        <f t="shared" si="9"/>
        <v>-0.36470588235294121</v>
      </c>
      <c r="AA17" s="98"/>
      <c r="AB17" s="98"/>
      <c r="AC17" s="98"/>
      <c r="AD17" s="98"/>
      <c r="AE17" s="98"/>
      <c r="AF17" s="98"/>
      <c r="AG17" s="98"/>
    </row>
    <row r="18" spans="1:33" ht="15.75" customHeight="1" x14ac:dyDescent="0.15">
      <c r="A18" s="111" t="s">
        <v>172</v>
      </c>
      <c r="B18" s="98" t="s">
        <v>173</v>
      </c>
      <c r="C18" s="99">
        <v>1</v>
      </c>
      <c r="D18" s="100">
        <v>1500</v>
      </c>
      <c r="E18" s="101">
        <v>2190</v>
      </c>
      <c r="F18" s="102">
        <f t="shared" si="0"/>
        <v>0.31506849315068491</v>
      </c>
      <c r="G18" s="103">
        <f t="shared" si="1"/>
        <v>1680.0000000000002</v>
      </c>
      <c r="H18" s="103">
        <f t="shared" si="2"/>
        <v>1620</v>
      </c>
      <c r="I18" s="103">
        <v>1590</v>
      </c>
      <c r="J18" s="103">
        <v>1990</v>
      </c>
      <c r="K18" s="104">
        <v>1650</v>
      </c>
      <c r="L18" s="105">
        <f t="shared" si="3"/>
        <v>0.24623115577889448</v>
      </c>
      <c r="M18" s="105">
        <f t="shared" si="10"/>
        <v>9.0909090909090912E-2</v>
      </c>
      <c r="N18" s="103">
        <v>2190</v>
      </c>
      <c r="O18" s="106">
        <f t="shared" si="4"/>
        <v>0.27397260273972601</v>
      </c>
      <c r="P18" s="106">
        <f t="shared" si="5"/>
        <v>0.24657534246575341</v>
      </c>
      <c r="Q18" s="116" t="s">
        <v>174</v>
      </c>
      <c r="R18" s="103">
        <v>2190</v>
      </c>
      <c r="S18" s="108">
        <f>VLOOKUP(A18,'precios semana 2906'!A:B,2,0)</f>
        <v>1500</v>
      </c>
      <c r="T18" s="109">
        <f t="shared" si="6"/>
        <v>0</v>
      </c>
      <c r="U18" s="109">
        <f t="shared" si="11"/>
        <v>5.660377358490587E-2</v>
      </c>
      <c r="V18" s="109">
        <f t="shared" si="12"/>
        <v>1.8181818181818299E-2</v>
      </c>
      <c r="W18" s="109">
        <f t="shared" si="7"/>
        <v>-0.15577889447236171</v>
      </c>
      <c r="X18" s="110">
        <f t="shared" si="13"/>
        <v>30.000000000000227</v>
      </c>
      <c r="Y18" s="109">
        <f t="shared" si="8"/>
        <v>-1.8181818181818188E-2</v>
      </c>
      <c r="Z18" s="109">
        <f t="shared" si="9"/>
        <v>-0.18592964824120606</v>
      </c>
      <c r="AA18" s="98"/>
      <c r="AB18" s="98"/>
      <c r="AC18" s="98"/>
      <c r="AD18" s="98"/>
      <c r="AE18" s="98"/>
      <c r="AF18" s="98"/>
      <c r="AG18" s="98"/>
    </row>
    <row r="19" spans="1:33" ht="15.75" customHeight="1" x14ac:dyDescent="0.15">
      <c r="A19" s="98" t="s">
        <v>175</v>
      </c>
      <c r="B19" s="98" t="s">
        <v>116</v>
      </c>
      <c r="C19" s="99">
        <v>1</v>
      </c>
      <c r="D19" s="100">
        <v>700</v>
      </c>
      <c r="E19" s="101">
        <v>990</v>
      </c>
      <c r="F19" s="102">
        <f t="shared" si="0"/>
        <v>0.29292929292929293</v>
      </c>
      <c r="G19" s="103">
        <f t="shared" si="1"/>
        <v>784.00000000000011</v>
      </c>
      <c r="H19" s="103">
        <f t="shared" si="2"/>
        <v>756</v>
      </c>
      <c r="I19" s="103">
        <v>898</v>
      </c>
      <c r="J19" s="103">
        <v>900</v>
      </c>
      <c r="K19" s="104">
        <v>925</v>
      </c>
      <c r="L19" s="105">
        <f t="shared" si="3"/>
        <v>0.22222222222222221</v>
      </c>
      <c r="M19" s="105">
        <f t="shared" si="10"/>
        <v>0.24324324324324326</v>
      </c>
      <c r="N19" s="103">
        <v>990</v>
      </c>
      <c r="O19" s="106">
        <f t="shared" si="4"/>
        <v>9.2929292929292931E-2</v>
      </c>
      <c r="P19" s="106">
        <f t="shared" si="5"/>
        <v>6.5656565656565663E-2</v>
      </c>
      <c r="Q19" s="116" t="s">
        <v>176</v>
      </c>
      <c r="R19" s="103">
        <v>990</v>
      </c>
      <c r="S19" s="108">
        <f>VLOOKUP(A19,'precios semana 2906'!A:B,2,0)</f>
        <v>800</v>
      </c>
      <c r="T19" s="109">
        <f t="shared" si="6"/>
        <v>0.14285714285714279</v>
      </c>
      <c r="U19" s="109">
        <f t="shared" si="11"/>
        <v>-0.12694877505567914</v>
      </c>
      <c r="V19" s="109">
        <f t="shared" si="12"/>
        <v>-0.15243243243243232</v>
      </c>
      <c r="W19" s="109">
        <f t="shared" si="7"/>
        <v>-0.12888888888888872</v>
      </c>
      <c r="X19" s="110">
        <f t="shared" si="13"/>
        <v>-140.99999999999989</v>
      </c>
      <c r="Y19" s="109">
        <f t="shared" si="8"/>
        <v>-0.18270270270270272</v>
      </c>
      <c r="Z19" s="109">
        <f t="shared" si="9"/>
        <v>-0.16000000000000003</v>
      </c>
      <c r="AA19" s="98"/>
      <c r="AB19" s="98"/>
      <c r="AC19" s="98"/>
      <c r="AD19" s="98"/>
      <c r="AE19" s="98"/>
      <c r="AF19" s="98"/>
      <c r="AG19" s="98"/>
    </row>
    <row r="20" spans="1:33" ht="15.75" customHeight="1" x14ac:dyDescent="0.15">
      <c r="A20" s="98" t="s">
        <v>177</v>
      </c>
      <c r="B20" s="98" t="s">
        <v>139</v>
      </c>
      <c r="C20" s="99">
        <v>1</v>
      </c>
      <c r="D20" s="100">
        <v>350</v>
      </c>
      <c r="E20" s="101">
        <v>740</v>
      </c>
      <c r="F20" s="102">
        <f t="shared" si="0"/>
        <v>0.52702702702702697</v>
      </c>
      <c r="G20" s="103">
        <f t="shared" si="1"/>
        <v>392.00000000000006</v>
      </c>
      <c r="H20" s="103">
        <f t="shared" si="2"/>
        <v>378</v>
      </c>
      <c r="I20" s="103">
        <v>690</v>
      </c>
      <c r="J20" s="103">
        <v>500</v>
      </c>
      <c r="K20" s="104">
        <v>740</v>
      </c>
      <c r="L20" s="105">
        <f t="shared" si="3"/>
        <v>0.3</v>
      </c>
      <c r="M20" s="105">
        <f t="shared" si="10"/>
        <v>0.52702702702702697</v>
      </c>
      <c r="N20" s="103">
        <v>790</v>
      </c>
      <c r="O20" s="106">
        <f t="shared" si="4"/>
        <v>6.7567567567567571E-2</v>
      </c>
      <c r="P20" s="106">
        <f t="shared" si="5"/>
        <v>0</v>
      </c>
      <c r="Q20" s="116" t="s">
        <v>178</v>
      </c>
      <c r="R20" s="103">
        <v>790</v>
      </c>
      <c r="S20" s="108">
        <f>VLOOKUP(A20,'precios semana 2906'!A:B,2,0)</f>
        <v>350</v>
      </c>
      <c r="T20" s="109">
        <f t="shared" si="6"/>
        <v>0</v>
      </c>
      <c r="U20" s="109">
        <f t="shared" si="11"/>
        <v>-0.43188405797101437</v>
      </c>
      <c r="V20" s="109">
        <f t="shared" si="12"/>
        <v>-0.47027027027027024</v>
      </c>
      <c r="W20" s="109">
        <f t="shared" si="7"/>
        <v>-0.21599999999999986</v>
      </c>
      <c r="X20" s="110">
        <f t="shared" si="13"/>
        <v>-347.99999999999994</v>
      </c>
      <c r="Y20" s="109">
        <f t="shared" si="8"/>
        <v>-0.48918918918918919</v>
      </c>
      <c r="Z20" s="109">
        <f t="shared" si="9"/>
        <v>-0.24399999999999999</v>
      </c>
      <c r="AA20" s="98"/>
      <c r="AB20" s="98"/>
      <c r="AC20" s="98"/>
      <c r="AD20" s="98"/>
      <c r="AE20" s="98"/>
      <c r="AF20" s="98"/>
      <c r="AG20" s="98"/>
    </row>
    <row r="21" spans="1:33" ht="15.75" customHeight="1" x14ac:dyDescent="0.15">
      <c r="A21" s="98" t="s">
        <v>179</v>
      </c>
      <c r="B21" s="98" t="s">
        <v>139</v>
      </c>
      <c r="C21" s="99">
        <v>1</v>
      </c>
      <c r="D21" s="100">
        <v>600</v>
      </c>
      <c r="E21" s="101">
        <v>1290</v>
      </c>
      <c r="F21" s="102">
        <f t="shared" si="0"/>
        <v>0.53488372093023251</v>
      </c>
      <c r="G21" s="103">
        <f t="shared" si="1"/>
        <v>672.00000000000011</v>
      </c>
      <c r="H21" s="103">
        <f t="shared" si="2"/>
        <v>648</v>
      </c>
      <c r="I21" s="103">
        <v>950</v>
      </c>
      <c r="J21" s="103">
        <v>990</v>
      </c>
      <c r="K21" s="104">
        <v>990</v>
      </c>
      <c r="L21" s="105">
        <f t="shared" si="3"/>
        <v>0.39393939393939392</v>
      </c>
      <c r="M21" s="105">
        <f t="shared" si="10"/>
        <v>0.39393939393939392</v>
      </c>
      <c r="N21" s="103">
        <v>1290</v>
      </c>
      <c r="O21" s="106">
        <f t="shared" si="4"/>
        <v>0.26356589147286824</v>
      </c>
      <c r="P21" s="106">
        <f t="shared" si="5"/>
        <v>0.23255813953488372</v>
      </c>
      <c r="Q21" s="114" t="s">
        <v>180</v>
      </c>
      <c r="R21" s="103">
        <v>1290</v>
      </c>
      <c r="S21" s="108">
        <f>VLOOKUP(A21,'precios semana 2906'!A:B,2,0)</f>
        <v>650</v>
      </c>
      <c r="T21" s="109">
        <f t="shared" si="6"/>
        <v>8.3333333333333259E-2</v>
      </c>
      <c r="U21" s="109">
        <f t="shared" si="11"/>
        <v>-0.29263157894736835</v>
      </c>
      <c r="V21" s="109">
        <f t="shared" si="12"/>
        <v>-0.32121212121212106</v>
      </c>
      <c r="W21" s="109">
        <f t="shared" si="7"/>
        <v>-0.32121212121212106</v>
      </c>
      <c r="X21" s="110">
        <f t="shared" si="13"/>
        <v>-317.99999999999989</v>
      </c>
      <c r="Y21" s="109">
        <f t="shared" si="8"/>
        <v>-0.34545454545454546</v>
      </c>
      <c r="Z21" s="109">
        <f t="shared" si="9"/>
        <v>-0.34545454545454546</v>
      </c>
      <c r="AA21" s="98"/>
      <c r="AB21" s="98"/>
      <c r="AC21" s="98"/>
      <c r="AD21" s="98"/>
      <c r="AE21" s="98"/>
      <c r="AF21" s="98"/>
      <c r="AG21" s="98"/>
    </row>
    <row r="22" spans="1:33" x14ac:dyDescent="0.2">
      <c r="A22" s="98" t="s">
        <v>181</v>
      </c>
      <c r="B22" s="98" t="s">
        <v>116</v>
      </c>
      <c r="C22" s="99">
        <v>1</v>
      </c>
      <c r="D22" s="100">
        <v>1500</v>
      </c>
      <c r="E22" s="101">
        <v>2490</v>
      </c>
      <c r="F22" s="102">
        <f t="shared" si="0"/>
        <v>0.39759036144578314</v>
      </c>
      <c r="G22" s="103">
        <f t="shared" si="1"/>
        <v>1680.0000000000002</v>
      </c>
      <c r="H22" s="103">
        <f t="shared" si="2"/>
        <v>1620</v>
      </c>
      <c r="I22" s="103">
        <v>1590</v>
      </c>
      <c r="J22" s="103">
        <v>2490</v>
      </c>
      <c r="K22" s="104">
        <v>1690</v>
      </c>
      <c r="L22" s="105">
        <f t="shared" si="3"/>
        <v>0.39759036144578314</v>
      </c>
      <c r="M22" s="105">
        <f t="shared" si="10"/>
        <v>0.11242603550295859</v>
      </c>
      <c r="N22" s="103">
        <v>1990</v>
      </c>
      <c r="O22" s="106">
        <f t="shared" si="4"/>
        <v>0.36144578313253012</v>
      </c>
      <c r="P22" s="106">
        <f t="shared" si="5"/>
        <v>0.32128514056224899</v>
      </c>
      <c r="Q22" s="118" t="s">
        <v>182</v>
      </c>
      <c r="R22" s="103"/>
      <c r="S22" s="108">
        <f>VLOOKUP(A22,'precios semana 2906'!A:B,2,0)</f>
        <v>1500</v>
      </c>
      <c r="T22" s="109">
        <f t="shared" si="6"/>
        <v>0</v>
      </c>
      <c r="U22" s="109">
        <f t="shared" si="11"/>
        <v>5.660377358490587E-2</v>
      </c>
      <c r="V22" s="109">
        <f t="shared" si="12"/>
        <v>-5.9171597633135287E-3</v>
      </c>
      <c r="W22" s="109">
        <f t="shared" si="7"/>
        <v>-0.32530120481927705</v>
      </c>
      <c r="X22" s="110">
        <f t="shared" si="13"/>
        <v>-9.9999999999997726</v>
      </c>
      <c r="Y22" s="109">
        <f t="shared" si="8"/>
        <v>-4.1420118343195256E-2</v>
      </c>
      <c r="Z22" s="109">
        <f t="shared" si="9"/>
        <v>-0.3493975903614458</v>
      </c>
      <c r="AA22" s="98"/>
      <c r="AB22" s="98"/>
      <c r="AC22" s="98"/>
      <c r="AD22" s="98"/>
      <c r="AE22" s="98"/>
      <c r="AF22" s="98"/>
      <c r="AG22" s="98"/>
    </row>
    <row r="23" spans="1:33" x14ac:dyDescent="0.2">
      <c r="A23" s="98" t="s">
        <v>183</v>
      </c>
      <c r="B23" s="98" t="s">
        <v>142</v>
      </c>
      <c r="C23" s="99">
        <v>0.2</v>
      </c>
      <c r="D23" s="100">
        <v>650</v>
      </c>
      <c r="E23" s="101">
        <v>1060</v>
      </c>
      <c r="F23" s="102">
        <f t="shared" si="0"/>
        <v>0.3867924528301887</v>
      </c>
      <c r="G23" s="103">
        <f t="shared" si="1"/>
        <v>728.00000000000011</v>
      </c>
      <c r="H23" s="103">
        <f t="shared" si="2"/>
        <v>702</v>
      </c>
      <c r="I23" s="103">
        <v>990</v>
      </c>
      <c r="J23" s="103">
        <v>792</v>
      </c>
      <c r="K23" s="104">
        <v>1060</v>
      </c>
      <c r="L23" s="105">
        <f t="shared" si="3"/>
        <v>0.17929292929292928</v>
      </c>
      <c r="M23" s="105">
        <f t="shared" si="10"/>
        <v>0.3867924528301887</v>
      </c>
      <c r="N23" s="103" t="s">
        <v>184</v>
      </c>
      <c r="O23" s="106">
        <f t="shared" si="4"/>
        <v>6.6037735849056603E-2</v>
      </c>
      <c r="P23" s="106">
        <f t="shared" si="5"/>
        <v>0</v>
      </c>
      <c r="Q23" s="118" t="s">
        <v>185</v>
      </c>
      <c r="R23" s="103"/>
      <c r="S23" s="108">
        <f>VLOOKUP(A23,'precios semana 2906'!A:B,2,0)</f>
        <v>800</v>
      </c>
      <c r="T23" s="109">
        <f t="shared" si="6"/>
        <v>0.23076923076923084</v>
      </c>
      <c r="U23" s="109">
        <f t="shared" si="11"/>
        <v>-0.26464646464646457</v>
      </c>
      <c r="V23" s="109">
        <f t="shared" si="12"/>
        <v>-0.31320754716981125</v>
      </c>
      <c r="W23" s="109">
        <f t="shared" si="7"/>
        <v>-8.0808080808080662E-2</v>
      </c>
      <c r="X23" s="110">
        <f t="shared" si="13"/>
        <v>-331.99999999999989</v>
      </c>
      <c r="Y23" s="109">
        <f t="shared" si="8"/>
        <v>-0.33773584905660381</v>
      </c>
      <c r="Z23" s="109">
        <f t="shared" si="9"/>
        <v>-0.11363636363636365</v>
      </c>
      <c r="AA23" s="98"/>
      <c r="AB23" s="98"/>
      <c r="AC23" s="98"/>
      <c r="AD23" s="98"/>
      <c r="AE23" s="98"/>
      <c r="AF23" s="98"/>
      <c r="AG23" s="98"/>
    </row>
    <row r="24" spans="1:33" x14ac:dyDescent="0.2">
      <c r="A24" s="98" t="s">
        <v>186</v>
      </c>
      <c r="B24" s="98" t="s">
        <v>142</v>
      </c>
      <c r="C24" s="99">
        <v>0.3</v>
      </c>
      <c r="D24" s="100">
        <v>3500</v>
      </c>
      <c r="E24" s="101">
        <v>5290</v>
      </c>
      <c r="F24" s="102">
        <f t="shared" si="0"/>
        <v>0.33837429111531192</v>
      </c>
      <c r="G24" s="103">
        <f t="shared" si="1"/>
        <v>3920.0000000000005</v>
      </c>
      <c r="H24" s="103">
        <f t="shared" si="2"/>
        <v>3780.0000000000005</v>
      </c>
      <c r="I24" s="103">
        <v>4190</v>
      </c>
      <c r="J24" s="103">
        <v>5290</v>
      </c>
      <c r="K24" s="104">
        <v>4610</v>
      </c>
      <c r="L24" s="105">
        <f t="shared" si="3"/>
        <v>0.33837429111531192</v>
      </c>
      <c r="M24" s="105">
        <f t="shared" si="10"/>
        <v>0.24078091106290672</v>
      </c>
      <c r="N24" s="103" t="s">
        <v>184</v>
      </c>
      <c r="O24" s="106">
        <f t="shared" si="4"/>
        <v>0.20793950850661624</v>
      </c>
      <c r="P24" s="106">
        <f t="shared" si="5"/>
        <v>0.12854442344045369</v>
      </c>
      <c r="Q24" s="118" t="s">
        <v>187</v>
      </c>
      <c r="R24" s="103"/>
      <c r="S24" s="108">
        <f>VLOOKUP(A24,'precios semana 2906'!A:B,2,0)</f>
        <v>3500</v>
      </c>
      <c r="T24" s="109">
        <f t="shared" si="6"/>
        <v>0</v>
      </c>
      <c r="U24" s="109">
        <f t="shared" si="11"/>
        <v>-6.4439140811455742E-2</v>
      </c>
      <c r="V24" s="109">
        <f t="shared" si="12"/>
        <v>-0.14967462039045543</v>
      </c>
      <c r="W24" s="109">
        <f t="shared" si="7"/>
        <v>-0.25897920604914926</v>
      </c>
      <c r="X24" s="110">
        <f t="shared" si="13"/>
        <v>-689.99999999999955</v>
      </c>
      <c r="Y24" s="109">
        <f t="shared" si="8"/>
        <v>-0.18004338394793917</v>
      </c>
      <c r="Z24" s="109">
        <f t="shared" si="9"/>
        <v>-0.28544423440453681</v>
      </c>
      <c r="AA24" s="98"/>
      <c r="AB24" s="98"/>
      <c r="AC24" s="98"/>
      <c r="AD24" s="98"/>
      <c r="AE24" s="98"/>
      <c r="AF24" s="98"/>
      <c r="AG24" s="98"/>
    </row>
    <row r="25" spans="1:33" x14ac:dyDescent="0.2">
      <c r="A25" s="98" t="s">
        <v>188</v>
      </c>
      <c r="B25" s="98" t="s">
        <v>142</v>
      </c>
      <c r="C25" s="99">
        <v>0.1</v>
      </c>
      <c r="D25" s="100">
        <v>400</v>
      </c>
      <c r="E25" s="101">
        <v>1490</v>
      </c>
      <c r="F25" s="102">
        <f t="shared" si="0"/>
        <v>0.73154362416107388</v>
      </c>
      <c r="G25" s="103">
        <f t="shared" si="1"/>
        <v>448.00000000000006</v>
      </c>
      <c r="H25" s="103">
        <f t="shared" si="2"/>
        <v>432</v>
      </c>
      <c r="I25" s="103">
        <v>1490</v>
      </c>
      <c r="J25" s="103">
        <v>1380</v>
      </c>
      <c r="K25" s="104">
        <v>1590</v>
      </c>
      <c r="L25" s="105">
        <f t="shared" si="3"/>
        <v>0.71014492753623193</v>
      </c>
      <c r="M25" s="105">
        <f t="shared" si="10"/>
        <v>0.74842767295597479</v>
      </c>
      <c r="N25" s="103">
        <v>1390</v>
      </c>
      <c r="O25" s="106">
        <f t="shared" si="4"/>
        <v>0</v>
      </c>
      <c r="P25" s="106">
        <f t="shared" si="5"/>
        <v>-6.7114093959731544E-2</v>
      </c>
      <c r="Q25" s="118" t="s">
        <v>189</v>
      </c>
      <c r="R25" s="103">
        <v>1390</v>
      </c>
      <c r="S25" s="108">
        <f>VLOOKUP(A25,'precios semana 2906'!A:B,2,0)</f>
        <v>400</v>
      </c>
      <c r="T25" s="109">
        <f t="shared" si="6"/>
        <v>0</v>
      </c>
      <c r="U25" s="109">
        <f t="shared" si="11"/>
        <v>-0.69932885906040265</v>
      </c>
      <c r="V25" s="109">
        <f t="shared" si="12"/>
        <v>-0.71823899371069178</v>
      </c>
      <c r="W25" s="109">
        <f t="shared" si="7"/>
        <v>-0.67536231884057973</v>
      </c>
      <c r="X25" s="110">
        <f t="shared" si="13"/>
        <v>-1142</v>
      </c>
      <c r="Y25" s="109">
        <f t="shared" si="8"/>
        <v>-0.72830188679245289</v>
      </c>
      <c r="Z25" s="109">
        <f t="shared" si="9"/>
        <v>-0.68695652173913047</v>
      </c>
      <c r="AA25" s="98"/>
      <c r="AB25" s="98"/>
      <c r="AC25" s="98"/>
      <c r="AD25" s="98"/>
      <c r="AE25" s="98"/>
      <c r="AF25" s="98"/>
      <c r="AG25" s="98"/>
    </row>
    <row r="26" spans="1:33" x14ac:dyDescent="0.2">
      <c r="A26" s="98" t="s">
        <v>190</v>
      </c>
      <c r="B26" s="98" t="s">
        <v>116</v>
      </c>
      <c r="C26" s="99">
        <v>1</v>
      </c>
      <c r="D26" s="100">
        <v>1000</v>
      </c>
      <c r="E26" s="101">
        <v>1490</v>
      </c>
      <c r="F26" s="102">
        <f t="shared" si="0"/>
        <v>0.32885906040268459</v>
      </c>
      <c r="G26" s="103">
        <f t="shared" si="1"/>
        <v>1120</v>
      </c>
      <c r="H26" s="103">
        <f t="shared" si="2"/>
        <v>1080</v>
      </c>
      <c r="I26" s="103">
        <v>1290</v>
      </c>
      <c r="J26" s="103">
        <v>1390</v>
      </c>
      <c r="K26" s="104">
        <v>1420</v>
      </c>
      <c r="L26" s="105">
        <f t="shared" si="3"/>
        <v>0.2805755395683453</v>
      </c>
      <c r="M26" s="105">
        <f t="shared" si="10"/>
        <v>0.29577464788732394</v>
      </c>
      <c r="N26" s="103">
        <v>1490</v>
      </c>
      <c r="O26" s="106">
        <f t="shared" si="4"/>
        <v>0.13422818791946309</v>
      </c>
      <c r="P26" s="106">
        <f t="shared" si="5"/>
        <v>4.6979865771812082E-2</v>
      </c>
      <c r="Q26" s="118" t="s">
        <v>191</v>
      </c>
      <c r="R26" s="103">
        <v>1490</v>
      </c>
      <c r="S26" s="108">
        <f>VLOOKUP(A26,'precios semana 2906'!A:B,2,0)</f>
        <v>1000</v>
      </c>
      <c r="T26" s="109">
        <f t="shared" si="6"/>
        <v>0</v>
      </c>
      <c r="U26" s="109">
        <f t="shared" si="11"/>
        <v>-0.13178294573643412</v>
      </c>
      <c r="V26" s="109">
        <f t="shared" si="12"/>
        <v>-0.21126760563380287</v>
      </c>
      <c r="W26" s="109">
        <f t="shared" si="7"/>
        <v>-0.19424460431654678</v>
      </c>
      <c r="X26" s="110">
        <f t="shared" si="13"/>
        <v>-300</v>
      </c>
      <c r="Y26" s="109">
        <f t="shared" si="8"/>
        <v>-0.23943661971830987</v>
      </c>
      <c r="Z26" s="109">
        <f t="shared" si="9"/>
        <v>-0.2230215827338129</v>
      </c>
      <c r="AA26" s="98"/>
      <c r="AB26" s="98"/>
      <c r="AC26" s="98"/>
      <c r="AD26" s="98"/>
      <c r="AE26" s="98"/>
      <c r="AF26" s="98"/>
      <c r="AG26" s="98"/>
    </row>
    <row r="27" spans="1:33" x14ac:dyDescent="0.2">
      <c r="A27" s="98" t="s">
        <v>192</v>
      </c>
      <c r="B27" s="98" t="s">
        <v>116</v>
      </c>
      <c r="C27" s="99">
        <v>1</v>
      </c>
      <c r="D27" s="100">
        <v>800</v>
      </c>
      <c r="E27" s="101">
        <v>1460</v>
      </c>
      <c r="F27" s="102">
        <f t="shared" si="0"/>
        <v>0.45205479452054792</v>
      </c>
      <c r="G27" s="103">
        <f t="shared" si="1"/>
        <v>896.00000000000011</v>
      </c>
      <c r="H27" s="103">
        <f t="shared" si="2"/>
        <v>864</v>
      </c>
      <c r="I27" s="103">
        <v>1290</v>
      </c>
      <c r="J27" s="103">
        <v>1290</v>
      </c>
      <c r="K27" s="104">
        <v>1460</v>
      </c>
      <c r="L27" s="105">
        <f t="shared" si="3"/>
        <v>0.37984496124031009</v>
      </c>
      <c r="M27" s="105">
        <f t="shared" si="10"/>
        <v>0.45205479452054792</v>
      </c>
      <c r="N27" s="103">
        <v>1490</v>
      </c>
      <c r="O27" s="106">
        <f t="shared" si="4"/>
        <v>0.11643835616438356</v>
      </c>
      <c r="P27" s="106">
        <f t="shared" si="5"/>
        <v>0</v>
      </c>
      <c r="Q27" s="118" t="s">
        <v>193</v>
      </c>
      <c r="R27" s="103">
        <v>1490</v>
      </c>
      <c r="S27" s="108">
        <f>VLOOKUP(A27,'precios semana 2906'!A:B,2,0)</f>
        <v>800</v>
      </c>
      <c r="T27" s="109">
        <f t="shared" si="6"/>
        <v>0</v>
      </c>
      <c r="U27" s="109">
        <f t="shared" si="11"/>
        <v>-0.30542635658914719</v>
      </c>
      <c r="V27" s="109">
        <f t="shared" si="12"/>
        <v>-0.38630136986301367</v>
      </c>
      <c r="W27" s="109">
        <f t="shared" si="7"/>
        <v>-0.30542635658914719</v>
      </c>
      <c r="X27" s="110">
        <f t="shared" si="13"/>
        <v>-563.99999999999989</v>
      </c>
      <c r="Y27" s="109">
        <f t="shared" si="8"/>
        <v>-0.40821917808219177</v>
      </c>
      <c r="Z27" s="109">
        <f t="shared" si="9"/>
        <v>-0.33023255813953489</v>
      </c>
      <c r="AA27" s="98"/>
      <c r="AB27" s="98"/>
      <c r="AC27" s="98"/>
      <c r="AD27" s="98"/>
      <c r="AE27" s="98"/>
      <c r="AF27" s="98"/>
      <c r="AG27" s="98"/>
    </row>
    <row r="28" spans="1:33" x14ac:dyDescent="0.2">
      <c r="A28" s="98" t="s">
        <v>194</v>
      </c>
      <c r="B28" s="98" t="s">
        <v>116</v>
      </c>
      <c r="C28" s="99">
        <v>1</v>
      </c>
      <c r="D28" s="100">
        <v>800</v>
      </c>
      <c r="E28" s="101">
        <v>1890</v>
      </c>
      <c r="F28" s="102">
        <f t="shared" si="0"/>
        <v>0.57671957671957674</v>
      </c>
      <c r="G28" s="103">
        <f t="shared" si="1"/>
        <v>896.00000000000011</v>
      </c>
      <c r="H28" s="103">
        <f t="shared" si="2"/>
        <v>864</v>
      </c>
      <c r="I28" s="103">
        <v>1590</v>
      </c>
      <c r="J28" s="103">
        <v>1890</v>
      </c>
      <c r="K28" s="104">
        <v>1740</v>
      </c>
      <c r="L28" s="105">
        <f t="shared" si="3"/>
        <v>0.57671957671957674</v>
      </c>
      <c r="M28" s="105">
        <f t="shared" si="10"/>
        <v>0.54022988505747127</v>
      </c>
      <c r="N28" s="103">
        <v>1890</v>
      </c>
      <c r="O28" s="106">
        <f t="shared" si="4"/>
        <v>0.15873015873015872</v>
      </c>
      <c r="P28" s="106">
        <f t="shared" si="5"/>
        <v>7.9365079365079361E-2</v>
      </c>
      <c r="Q28" s="119" t="s">
        <v>195</v>
      </c>
      <c r="R28" s="103">
        <v>1890</v>
      </c>
      <c r="S28" s="108">
        <f>VLOOKUP(A28,'precios semana 2906'!A:B,2,0)</f>
        <v>800</v>
      </c>
      <c r="T28" s="109">
        <f t="shared" si="6"/>
        <v>0</v>
      </c>
      <c r="U28" s="109">
        <f t="shared" si="11"/>
        <v>-0.43647798742138355</v>
      </c>
      <c r="V28" s="109">
        <f t="shared" si="12"/>
        <v>-0.48505747126436771</v>
      </c>
      <c r="W28" s="109">
        <f t="shared" si="7"/>
        <v>-0.52592592592592591</v>
      </c>
      <c r="X28" s="110">
        <f t="shared" si="13"/>
        <v>-843.99999999999989</v>
      </c>
      <c r="Y28" s="109">
        <f t="shared" si="8"/>
        <v>-0.50344827586206897</v>
      </c>
      <c r="Z28" s="109">
        <f t="shared" si="9"/>
        <v>-0.54285714285714293</v>
      </c>
      <c r="AA28" s="98"/>
      <c r="AB28" s="98"/>
      <c r="AC28" s="98"/>
      <c r="AD28" s="98"/>
      <c r="AE28" s="98"/>
      <c r="AF28" s="98"/>
      <c r="AG28" s="98"/>
    </row>
    <row r="29" spans="1:33" x14ac:dyDescent="0.2">
      <c r="A29" s="98" t="s">
        <v>196</v>
      </c>
      <c r="B29" s="98" t="s">
        <v>116</v>
      </c>
      <c r="C29" s="99">
        <v>1</v>
      </c>
      <c r="D29" s="100">
        <v>800</v>
      </c>
      <c r="E29" s="101">
        <v>1290</v>
      </c>
      <c r="F29" s="102">
        <f t="shared" si="0"/>
        <v>0.37984496124031009</v>
      </c>
      <c r="G29" s="103">
        <f t="shared" si="1"/>
        <v>896.00000000000011</v>
      </c>
      <c r="H29" s="103">
        <f t="shared" si="2"/>
        <v>864</v>
      </c>
      <c r="I29" s="103">
        <v>1290</v>
      </c>
      <c r="J29" s="103">
        <v>1090</v>
      </c>
      <c r="K29" s="104">
        <v>1250</v>
      </c>
      <c r="L29" s="105">
        <f t="shared" si="3"/>
        <v>0.26605504587155965</v>
      </c>
      <c r="M29" s="105">
        <f t="shared" si="10"/>
        <v>0.36</v>
      </c>
      <c r="N29" s="103" t="s">
        <v>184</v>
      </c>
      <c r="O29" s="106">
        <f t="shared" si="4"/>
        <v>0</v>
      </c>
      <c r="P29" s="106">
        <f t="shared" si="5"/>
        <v>3.1007751937984496E-2</v>
      </c>
      <c r="Q29" s="119" t="s">
        <v>197</v>
      </c>
      <c r="R29" s="103"/>
      <c r="S29" s="108">
        <f>VLOOKUP(A29,'precios semana 2906'!A:B,2,0)</f>
        <v>800</v>
      </c>
      <c r="T29" s="109">
        <f t="shared" si="6"/>
        <v>0</v>
      </c>
      <c r="U29" s="109">
        <f t="shared" si="11"/>
        <v>-0.30542635658914719</v>
      </c>
      <c r="V29" s="109">
        <f t="shared" si="12"/>
        <v>-0.2831999999999999</v>
      </c>
      <c r="W29" s="109">
        <f t="shared" si="7"/>
        <v>-0.17798165137614663</v>
      </c>
      <c r="X29" s="110">
        <f t="shared" si="13"/>
        <v>-353.99999999999989</v>
      </c>
      <c r="Y29" s="109">
        <f t="shared" si="8"/>
        <v>-0.30879999999999996</v>
      </c>
      <c r="Z29" s="109">
        <f t="shared" si="9"/>
        <v>-0.20733944954128436</v>
      </c>
      <c r="AA29" s="98"/>
      <c r="AB29" s="98"/>
      <c r="AC29" s="98"/>
      <c r="AD29" s="98"/>
      <c r="AE29" s="98"/>
      <c r="AF29" s="98"/>
      <c r="AG29" s="98"/>
    </row>
    <row r="30" spans="1:33" x14ac:dyDescent="0.2">
      <c r="A30" s="98" t="s">
        <v>198</v>
      </c>
      <c r="B30" s="98" t="s">
        <v>116</v>
      </c>
      <c r="C30" s="99">
        <v>1</v>
      </c>
      <c r="D30" s="100">
        <v>800</v>
      </c>
      <c r="E30" s="101">
        <v>1290</v>
      </c>
      <c r="F30" s="102">
        <f t="shared" si="0"/>
        <v>0.37984496124031009</v>
      </c>
      <c r="G30" s="103">
        <f t="shared" si="1"/>
        <v>896.00000000000011</v>
      </c>
      <c r="H30" s="103">
        <f t="shared" si="2"/>
        <v>864</v>
      </c>
      <c r="I30" s="103">
        <v>1290</v>
      </c>
      <c r="J30" s="103">
        <v>1090</v>
      </c>
      <c r="K30" s="104">
        <v>1360</v>
      </c>
      <c r="L30" s="105">
        <f t="shared" si="3"/>
        <v>0.26605504587155965</v>
      </c>
      <c r="M30" s="105">
        <f t="shared" si="10"/>
        <v>0.41176470588235292</v>
      </c>
      <c r="N30" s="103" t="s">
        <v>184</v>
      </c>
      <c r="O30" s="106">
        <f t="shared" si="4"/>
        <v>0</v>
      </c>
      <c r="P30" s="106">
        <f t="shared" si="5"/>
        <v>-5.4263565891472867E-2</v>
      </c>
      <c r="Q30" s="119" t="s">
        <v>199</v>
      </c>
      <c r="R30" s="103"/>
      <c r="S30" s="108">
        <f>VLOOKUP(A30,'precios semana 2906'!A:B,2,0)</f>
        <v>800</v>
      </c>
      <c r="T30" s="109">
        <f t="shared" si="6"/>
        <v>0</v>
      </c>
      <c r="U30" s="109">
        <f t="shared" si="11"/>
        <v>-0.30542635658914719</v>
      </c>
      <c r="V30" s="109">
        <f t="shared" si="12"/>
        <v>-0.34117647058823519</v>
      </c>
      <c r="W30" s="109">
        <f t="shared" si="7"/>
        <v>-0.17798165137614663</v>
      </c>
      <c r="X30" s="110">
        <f t="shared" si="13"/>
        <v>-463.99999999999989</v>
      </c>
      <c r="Y30" s="109">
        <f t="shared" si="8"/>
        <v>-0.36470588235294121</v>
      </c>
      <c r="Z30" s="109">
        <f t="shared" si="9"/>
        <v>-0.20733944954128436</v>
      </c>
      <c r="AA30" s="98"/>
      <c r="AB30" s="98"/>
      <c r="AC30" s="98"/>
      <c r="AD30" s="98"/>
      <c r="AE30" s="98"/>
      <c r="AF30" s="98"/>
      <c r="AG30" s="98"/>
    </row>
    <row r="31" spans="1:33" x14ac:dyDescent="0.2">
      <c r="A31" s="98" t="s">
        <v>200</v>
      </c>
      <c r="B31" s="98" t="s">
        <v>116</v>
      </c>
      <c r="C31" s="99">
        <v>1</v>
      </c>
      <c r="D31" s="100">
        <v>900</v>
      </c>
      <c r="E31" s="101">
        <v>1890</v>
      </c>
      <c r="F31" s="102">
        <f t="shared" si="0"/>
        <v>0.52380952380952384</v>
      </c>
      <c r="G31" s="103">
        <f t="shared" si="1"/>
        <v>1008.0000000000001</v>
      </c>
      <c r="H31" s="103">
        <f t="shared" si="2"/>
        <v>972.00000000000011</v>
      </c>
      <c r="I31" s="103">
        <v>1590</v>
      </c>
      <c r="J31" s="103">
        <v>1690</v>
      </c>
      <c r="K31" s="104">
        <v>1740</v>
      </c>
      <c r="L31" s="105">
        <f t="shared" si="3"/>
        <v>0.46745562130177515</v>
      </c>
      <c r="M31" s="105">
        <f t="shared" si="10"/>
        <v>0.48275862068965519</v>
      </c>
      <c r="N31" s="103">
        <v>1890</v>
      </c>
      <c r="O31" s="106">
        <f t="shared" si="4"/>
        <v>0.15873015873015872</v>
      </c>
      <c r="P31" s="106">
        <f t="shared" si="5"/>
        <v>7.9365079365079361E-2</v>
      </c>
      <c r="Q31" s="118" t="s">
        <v>201</v>
      </c>
      <c r="R31" s="103">
        <v>1890</v>
      </c>
      <c r="S31" s="108">
        <f>VLOOKUP(A31,'precios semana 2906'!A:B,2,0)</f>
        <v>900</v>
      </c>
      <c r="T31" s="109">
        <f t="shared" si="6"/>
        <v>0</v>
      </c>
      <c r="U31" s="109">
        <f t="shared" si="11"/>
        <v>-0.36603773584905652</v>
      </c>
      <c r="V31" s="109">
        <f t="shared" si="12"/>
        <v>-0.42068965517241375</v>
      </c>
      <c r="W31" s="109">
        <f t="shared" si="7"/>
        <v>-0.40355029585798807</v>
      </c>
      <c r="X31" s="110">
        <f t="shared" si="13"/>
        <v>-731.99999999999989</v>
      </c>
      <c r="Y31" s="109">
        <f t="shared" si="8"/>
        <v>-0.44137931034482747</v>
      </c>
      <c r="Z31" s="109">
        <f t="shared" si="9"/>
        <v>-0.42485207100591704</v>
      </c>
      <c r="AA31" s="98"/>
      <c r="AB31" s="98"/>
      <c r="AC31" s="98"/>
      <c r="AD31" s="98"/>
      <c r="AE31" s="98"/>
      <c r="AF31" s="98"/>
      <c r="AG31" s="98"/>
    </row>
    <row r="32" spans="1:33" x14ac:dyDescent="0.2">
      <c r="A32" s="98" t="s">
        <v>202</v>
      </c>
      <c r="B32" s="98" t="s">
        <v>142</v>
      </c>
      <c r="C32" s="99">
        <v>0.05</v>
      </c>
      <c r="D32" s="100">
        <v>480</v>
      </c>
      <c r="E32" s="101">
        <v>990</v>
      </c>
      <c r="F32" s="102">
        <f t="shared" si="0"/>
        <v>0.51515151515151514</v>
      </c>
      <c r="G32" s="103">
        <f t="shared" si="1"/>
        <v>537.6</v>
      </c>
      <c r="H32" s="103">
        <f t="shared" si="2"/>
        <v>518.40000000000009</v>
      </c>
      <c r="I32" s="103">
        <v>990</v>
      </c>
      <c r="J32" s="103">
        <v>990</v>
      </c>
      <c r="K32" s="104">
        <v>1050</v>
      </c>
      <c r="L32" s="105">
        <f t="shared" si="3"/>
        <v>0.51515151515151514</v>
      </c>
      <c r="M32" s="105">
        <f t="shared" si="10"/>
        <v>0.54285714285714282</v>
      </c>
      <c r="N32" s="103">
        <v>2690</v>
      </c>
      <c r="O32" s="106">
        <f t="shared" si="4"/>
        <v>0</v>
      </c>
      <c r="P32" s="106">
        <f t="shared" si="5"/>
        <v>-6.0606060606060608E-2</v>
      </c>
      <c r="Q32" s="118" t="s">
        <v>203</v>
      </c>
      <c r="R32" s="103">
        <v>1345</v>
      </c>
      <c r="S32" s="108">
        <f>VLOOKUP(A32,'precios semana 2906'!A:B,2,0)</f>
        <v>480</v>
      </c>
      <c r="T32" s="109">
        <f t="shared" si="6"/>
        <v>0</v>
      </c>
      <c r="U32" s="109">
        <f t="shared" si="11"/>
        <v>-0.45696969696969691</v>
      </c>
      <c r="V32" s="109">
        <f t="shared" si="12"/>
        <v>-0.48799999999999999</v>
      </c>
      <c r="W32" s="109">
        <f t="shared" si="7"/>
        <v>-0.45696969696969691</v>
      </c>
      <c r="X32" s="110">
        <f t="shared" si="13"/>
        <v>-512.4</v>
      </c>
      <c r="Y32" s="109">
        <f t="shared" si="8"/>
        <v>-0.50628571428571423</v>
      </c>
      <c r="Z32" s="109">
        <f t="shared" si="9"/>
        <v>-0.47636363636363632</v>
      </c>
      <c r="AA32" s="98"/>
      <c r="AB32" s="98"/>
      <c r="AC32" s="98"/>
      <c r="AD32" s="98"/>
      <c r="AE32" s="98"/>
      <c r="AF32" s="98"/>
      <c r="AG32" s="98"/>
    </row>
    <row r="33" spans="1:33" x14ac:dyDescent="0.2">
      <c r="A33" s="98" t="s">
        <v>204</v>
      </c>
      <c r="B33" s="98" t="s">
        <v>142</v>
      </c>
      <c r="C33" s="99">
        <v>1</v>
      </c>
      <c r="D33" s="100">
        <v>850</v>
      </c>
      <c r="E33" s="101">
        <v>1590</v>
      </c>
      <c r="F33" s="102">
        <f t="shared" si="0"/>
        <v>0.46540880503144655</v>
      </c>
      <c r="G33" s="103">
        <f t="shared" si="1"/>
        <v>952.00000000000011</v>
      </c>
      <c r="H33" s="103">
        <f t="shared" si="2"/>
        <v>918.00000000000011</v>
      </c>
      <c r="I33" s="103">
        <v>1590</v>
      </c>
      <c r="J33" s="103">
        <v>1090</v>
      </c>
      <c r="K33" s="104">
        <v>1590</v>
      </c>
      <c r="L33" s="105">
        <f t="shared" si="3"/>
        <v>0.22018348623853212</v>
      </c>
      <c r="M33" s="105">
        <f t="shared" si="10"/>
        <v>0.46540880503144655</v>
      </c>
      <c r="N33" s="103">
        <v>795</v>
      </c>
      <c r="O33" s="106">
        <f t="shared" si="4"/>
        <v>0</v>
      </c>
      <c r="P33" s="106">
        <f t="shared" si="5"/>
        <v>0</v>
      </c>
      <c r="Q33" s="118" t="s">
        <v>205</v>
      </c>
      <c r="R33" s="103">
        <v>1590</v>
      </c>
      <c r="S33" s="108">
        <f>VLOOKUP(A33,'precios semana 2906'!A:B,2,0)</f>
        <v>850</v>
      </c>
      <c r="T33" s="109">
        <f t="shared" si="6"/>
        <v>0</v>
      </c>
      <c r="U33" s="109">
        <f t="shared" si="11"/>
        <v>-0.40125786163522004</v>
      </c>
      <c r="V33" s="109">
        <f t="shared" si="12"/>
        <v>-0.40125786163522004</v>
      </c>
      <c r="W33" s="109">
        <f t="shared" si="7"/>
        <v>-0.1266055045871558</v>
      </c>
      <c r="X33" s="110">
        <f t="shared" si="13"/>
        <v>-637.99999999999989</v>
      </c>
      <c r="Y33" s="109">
        <f t="shared" si="8"/>
        <v>-0.42264150943396217</v>
      </c>
      <c r="Z33" s="109">
        <f t="shared" si="9"/>
        <v>-0.15779816513761458</v>
      </c>
      <c r="AA33" s="98"/>
      <c r="AB33" s="98"/>
      <c r="AC33" s="98"/>
      <c r="AD33" s="98"/>
      <c r="AE33" s="98"/>
      <c r="AF33" s="98"/>
      <c r="AG33" s="98"/>
    </row>
    <row r="34" spans="1:33" x14ac:dyDescent="0.2">
      <c r="A34" s="98" t="s">
        <v>206</v>
      </c>
      <c r="B34" s="98" t="s">
        <v>116</v>
      </c>
      <c r="C34" s="99">
        <v>1</v>
      </c>
      <c r="D34" s="100">
        <v>650</v>
      </c>
      <c r="E34" s="101">
        <v>790</v>
      </c>
      <c r="F34" s="102">
        <f t="shared" si="0"/>
        <v>0.17721518987341772</v>
      </c>
      <c r="G34" s="103">
        <f t="shared" si="1"/>
        <v>728.00000000000011</v>
      </c>
      <c r="H34" s="103">
        <f t="shared" si="2"/>
        <v>702</v>
      </c>
      <c r="I34" s="103">
        <v>720</v>
      </c>
      <c r="J34" s="103">
        <v>790</v>
      </c>
      <c r="K34" s="104">
        <v>750</v>
      </c>
      <c r="L34" s="105">
        <f t="shared" si="3"/>
        <v>0.17721518987341772</v>
      </c>
      <c r="M34" s="105">
        <f t="shared" si="10"/>
        <v>0.13333333333333333</v>
      </c>
      <c r="N34" s="103">
        <v>790</v>
      </c>
      <c r="O34" s="106">
        <f t="shared" si="4"/>
        <v>8.8607594936708861E-2</v>
      </c>
      <c r="P34" s="106">
        <f t="shared" si="5"/>
        <v>5.0632911392405063E-2</v>
      </c>
      <c r="Q34" s="118" t="s">
        <v>207</v>
      </c>
      <c r="R34" s="103">
        <v>790</v>
      </c>
      <c r="S34" s="108">
        <f>VLOOKUP(A34,'precios semana 2906'!A:B,2,0)</f>
        <v>650</v>
      </c>
      <c r="T34" s="109">
        <f t="shared" si="6"/>
        <v>0</v>
      </c>
      <c r="U34" s="109">
        <f t="shared" si="11"/>
        <v>1.1111111111111294E-2</v>
      </c>
      <c r="V34" s="109">
        <f t="shared" si="12"/>
        <v>-2.9333333333333211E-2</v>
      </c>
      <c r="W34" s="109">
        <f t="shared" si="7"/>
        <v>-7.8481012658227711E-2</v>
      </c>
      <c r="X34" s="110">
        <f t="shared" si="13"/>
        <v>-21.999999999999886</v>
      </c>
      <c r="Y34" s="109">
        <f t="shared" si="8"/>
        <v>-6.3999999999999946E-2</v>
      </c>
      <c r="Z34" s="109">
        <f t="shared" si="9"/>
        <v>-0.11139240506329118</v>
      </c>
      <c r="AA34" s="98"/>
      <c r="AB34" s="98"/>
      <c r="AC34" s="98"/>
      <c r="AD34" s="98"/>
      <c r="AE34" s="98"/>
      <c r="AF34" s="98"/>
      <c r="AG34" s="98"/>
    </row>
    <row r="35" spans="1:33" x14ac:dyDescent="0.2">
      <c r="A35" s="111" t="s">
        <v>208</v>
      </c>
      <c r="B35" s="98" t="s">
        <v>139</v>
      </c>
      <c r="C35" s="99">
        <v>1</v>
      </c>
      <c r="D35" s="100">
        <v>600</v>
      </c>
      <c r="E35" s="101">
        <v>990</v>
      </c>
      <c r="F35" s="102">
        <f t="shared" si="0"/>
        <v>0.39393939393939392</v>
      </c>
      <c r="G35" s="103">
        <f t="shared" si="1"/>
        <v>672.00000000000011</v>
      </c>
      <c r="H35" s="103">
        <f t="shared" si="2"/>
        <v>648</v>
      </c>
      <c r="I35" s="103">
        <v>630</v>
      </c>
      <c r="J35" s="103">
        <v>990</v>
      </c>
      <c r="K35" s="104">
        <v>650</v>
      </c>
      <c r="L35" s="105">
        <f t="shared" si="3"/>
        <v>0.39393939393939392</v>
      </c>
      <c r="M35" s="105">
        <f t="shared" si="10"/>
        <v>7.6923076923076927E-2</v>
      </c>
      <c r="N35" s="103">
        <v>1250</v>
      </c>
      <c r="O35" s="106">
        <f t="shared" si="4"/>
        <v>0.36363636363636365</v>
      </c>
      <c r="P35" s="106">
        <f t="shared" si="5"/>
        <v>0.34343434343434343</v>
      </c>
      <c r="Q35" s="118" t="s">
        <v>209</v>
      </c>
      <c r="R35" s="103"/>
      <c r="S35" s="108">
        <f>VLOOKUP(A35,'precios semana 2906'!A:B,2,0)</f>
        <v>700</v>
      </c>
      <c r="T35" s="109">
        <f t="shared" si="6"/>
        <v>0.16666666666666674</v>
      </c>
      <c r="U35" s="109">
        <f t="shared" si="11"/>
        <v>6.6666666666666874E-2</v>
      </c>
      <c r="V35" s="109">
        <f t="shared" si="12"/>
        <v>3.3846153846154081E-2</v>
      </c>
      <c r="W35" s="109">
        <f t="shared" si="7"/>
        <v>-0.32121212121212106</v>
      </c>
      <c r="X35" s="110">
        <f t="shared" si="13"/>
        <v>22.000000000000114</v>
      </c>
      <c r="Y35" s="109">
        <f t="shared" si="8"/>
        <v>-3.0769230769230882E-3</v>
      </c>
      <c r="Z35" s="109">
        <f t="shared" si="9"/>
        <v>-0.34545454545454546</v>
      </c>
      <c r="AA35" s="98"/>
      <c r="AB35" s="98"/>
      <c r="AC35" s="98"/>
      <c r="AD35" s="98"/>
      <c r="AE35" s="98"/>
      <c r="AF35" s="98"/>
      <c r="AG35" s="98"/>
    </row>
    <row r="36" spans="1:33" x14ac:dyDescent="0.2">
      <c r="A36" s="98" t="s">
        <v>210</v>
      </c>
      <c r="B36" s="98" t="s">
        <v>116</v>
      </c>
      <c r="C36" s="99">
        <v>1</v>
      </c>
      <c r="D36" s="100">
        <v>1000</v>
      </c>
      <c r="E36" s="101">
        <v>1690</v>
      </c>
      <c r="F36" s="102">
        <f t="shared" si="0"/>
        <v>0.40828402366863903</v>
      </c>
      <c r="G36" s="103">
        <f t="shared" si="1"/>
        <v>1120</v>
      </c>
      <c r="H36" s="103">
        <f t="shared" si="2"/>
        <v>1080</v>
      </c>
      <c r="I36" s="103">
        <v>1690</v>
      </c>
      <c r="J36" s="103">
        <v>1490</v>
      </c>
      <c r="K36" s="104">
        <v>1790</v>
      </c>
      <c r="L36" s="105">
        <f t="shared" si="3"/>
        <v>0.32885906040268459</v>
      </c>
      <c r="M36" s="105">
        <f t="shared" si="10"/>
        <v>0.44134078212290501</v>
      </c>
      <c r="N36" s="103" t="s">
        <v>184</v>
      </c>
      <c r="O36" s="106">
        <f t="shared" si="4"/>
        <v>0</v>
      </c>
      <c r="P36" s="106">
        <f t="shared" si="5"/>
        <v>-5.9171597633136092E-2</v>
      </c>
      <c r="Q36" s="118" t="s">
        <v>211</v>
      </c>
      <c r="R36" s="103"/>
      <c r="S36" s="108">
        <f>VLOOKUP(A36,'precios semana 2906'!A:B,2,0)</f>
        <v>1000</v>
      </c>
      <c r="T36" s="109">
        <f t="shared" si="6"/>
        <v>0</v>
      </c>
      <c r="U36" s="109">
        <f t="shared" si="11"/>
        <v>-0.33727810650887569</v>
      </c>
      <c r="V36" s="109">
        <f t="shared" si="12"/>
        <v>-0.37430167597765363</v>
      </c>
      <c r="W36" s="109">
        <f t="shared" si="7"/>
        <v>-0.24832214765100669</v>
      </c>
      <c r="X36" s="110">
        <f t="shared" si="13"/>
        <v>-670</v>
      </c>
      <c r="Y36" s="109">
        <f t="shared" si="8"/>
        <v>-0.3966480446927374</v>
      </c>
      <c r="Z36" s="109">
        <f t="shared" si="9"/>
        <v>-0.27516778523489938</v>
      </c>
      <c r="AA36" s="98"/>
      <c r="AB36" s="98"/>
      <c r="AC36" s="98"/>
      <c r="AD36" s="98"/>
      <c r="AE36" s="98"/>
      <c r="AF36" s="98"/>
      <c r="AG36" s="98"/>
    </row>
    <row r="37" spans="1:33" x14ac:dyDescent="0.2">
      <c r="A37" s="98" t="s">
        <v>212</v>
      </c>
      <c r="B37" s="98" t="s">
        <v>116</v>
      </c>
      <c r="C37" s="99">
        <v>1</v>
      </c>
      <c r="D37" s="100">
        <v>1000</v>
      </c>
      <c r="E37" s="101">
        <v>1690</v>
      </c>
      <c r="F37" s="102">
        <f t="shared" si="0"/>
        <v>0.40828402366863903</v>
      </c>
      <c r="G37" s="103">
        <f t="shared" si="1"/>
        <v>1120</v>
      </c>
      <c r="H37" s="103">
        <f t="shared" si="2"/>
        <v>1080</v>
      </c>
      <c r="I37" s="103">
        <v>1690</v>
      </c>
      <c r="J37" s="103">
        <v>1490</v>
      </c>
      <c r="K37" s="104">
        <v>1790</v>
      </c>
      <c r="L37" s="105">
        <f t="shared" si="3"/>
        <v>0.32885906040268459</v>
      </c>
      <c r="M37" s="105">
        <f t="shared" si="10"/>
        <v>0.44134078212290501</v>
      </c>
      <c r="N37" s="103">
        <v>1790</v>
      </c>
      <c r="O37" s="106">
        <f t="shared" si="4"/>
        <v>0</v>
      </c>
      <c r="P37" s="106">
        <f t="shared" si="5"/>
        <v>-5.9171597633136092E-2</v>
      </c>
      <c r="Q37" s="118" t="s">
        <v>213</v>
      </c>
      <c r="R37" s="103">
        <v>1790</v>
      </c>
      <c r="S37" s="108">
        <f>VLOOKUP(A37,'precios semana 2906'!A:B,2,0)</f>
        <v>800</v>
      </c>
      <c r="T37" s="109">
        <f t="shared" si="6"/>
        <v>-0.19999999999999996</v>
      </c>
      <c r="U37" s="109">
        <f t="shared" si="11"/>
        <v>-0.33727810650887569</v>
      </c>
      <c r="V37" s="109">
        <f t="shared" si="12"/>
        <v>-0.37430167597765363</v>
      </c>
      <c r="W37" s="109">
        <f t="shared" si="7"/>
        <v>-0.24832214765100669</v>
      </c>
      <c r="X37" s="110">
        <f t="shared" si="13"/>
        <v>-670</v>
      </c>
      <c r="Y37" s="109">
        <f t="shared" si="8"/>
        <v>-0.3966480446927374</v>
      </c>
      <c r="Z37" s="109">
        <f t="shared" si="9"/>
        <v>-0.27516778523489938</v>
      </c>
      <c r="AA37" s="98"/>
      <c r="AB37" s="98"/>
      <c r="AC37" s="98"/>
      <c r="AD37" s="98"/>
      <c r="AE37" s="98"/>
      <c r="AF37" s="98"/>
      <c r="AG37" s="98"/>
    </row>
    <row r="38" spans="1:33" x14ac:dyDescent="0.2">
      <c r="A38" s="98" t="s">
        <v>214</v>
      </c>
      <c r="B38" s="98" t="s">
        <v>116</v>
      </c>
      <c r="C38" s="99">
        <v>1</v>
      </c>
      <c r="D38" s="100">
        <v>700</v>
      </c>
      <c r="E38" s="101">
        <v>1190</v>
      </c>
      <c r="F38" s="102">
        <f t="shared" si="0"/>
        <v>0.41176470588235292</v>
      </c>
      <c r="G38" s="103">
        <f t="shared" si="1"/>
        <v>784.00000000000011</v>
      </c>
      <c r="H38" s="103">
        <f t="shared" si="2"/>
        <v>756</v>
      </c>
      <c r="I38" s="103">
        <v>950</v>
      </c>
      <c r="J38" s="103">
        <v>990</v>
      </c>
      <c r="K38" s="104">
        <v>990</v>
      </c>
      <c r="L38" s="105">
        <f t="shared" si="3"/>
        <v>0.29292929292929293</v>
      </c>
      <c r="M38" s="105">
        <f t="shared" si="10"/>
        <v>0.29292929292929293</v>
      </c>
      <c r="N38" s="103">
        <v>1190</v>
      </c>
      <c r="O38" s="106">
        <f t="shared" si="4"/>
        <v>0.20168067226890757</v>
      </c>
      <c r="P38" s="106">
        <f t="shared" si="5"/>
        <v>0.16806722689075632</v>
      </c>
      <c r="Q38" s="118" t="s">
        <v>215</v>
      </c>
      <c r="R38" s="103">
        <v>1190</v>
      </c>
      <c r="S38" s="108">
        <f>VLOOKUP(A38,'precios semana 2906'!A:B,2,0)</f>
        <v>700</v>
      </c>
      <c r="T38" s="109">
        <f t="shared" si="6"/>
        <v>0</v>
      </c>
      <c r="U38" s="109">
        <f t="shared" si="11"/>
        <v>-0.17473684210526308</v>
      </c>
      <c r="V38" s="109">
        <f t="shared" si="12"/>
        <v>-0.20808080808080798</v>
      </c>
      <c r="W38" s="109">
        <f t="shared" si="7"/>
        <v>-0.20808080808080798</v>
      </c>
      <c r="X38" s="110">
        <f t="shared" si="13"/>
        <v>-205.99999999999989</v>
      </c>
      <c r="Y38" s="109">
        <f t="shared" si="8"/>
        <v>-0.23636363636363633</v>
      </c>
      <c r="Z38" s="109">
        <f t="shared" si="9"/>
        <v>-0.23636363636363633</v>
      </c>
      <c r="AA38" s="98"/>
      <c r="AB38" s="98"/>
      <c r="AC38" s="98"/>
      <c r="AD38" s="98"/>
      <c r="AE38" s="98"/>
      <c r="AF38" s="98"/>
      <c r="AG38" s="98"/>
    </row>
    <row r="39" spans="1:33" x14ac:dyDescent="0.2">
      <c r="A39" s="98" t="s">
        <v>216</v>
      </c>
      <c r="B39" s="98" t="s">
        <v>142</v>
      </c>
      <c r="C39" s="99">
        <v>0.5</v>
      </c>
      <c r="D39" s="100">
        <v>1600</v>
      </c>
      <c r="E39" s="101">
        <v>2190</v>
      </c>
      <c r="F39" s="102">
        <f t="shared" si="0"/>
        <v>0.26940639269406391</v>
      </c>
      <c r="G39" s="103">
        <f t="shared" si="1"/>
        <v>1792.0000000000002</v>
      </c>
      <c r="H39" s="103">
        <f t="shared" si="2"/>
        <v>1728</v>
      </c>
      <c r="I39" s="103">
        <v>995</v>
      </c>
      <c r="J39" s="103">
        <v>2190</v>
      </c>
      <c r="K39" s="104">
        <v>1995</v>
      </c>
      <c r="L39" s="105">
        <f t="shared" si="3"/>
        <v>0.26940639269406391</v>
      </c>
      <c r="M39" s="105">
        <f t="shared" si="10"/>
        <v>0.19799498746867167</v>
      </c>
      <c r="N39" s="103" t="s">
        <v>184</v>
      </c>
      <c r="O39" s="106">
        <f t="shared" si="4"/>
        <v>0.545662100456621</v>
      </c>
      <c r="P39" s="106">
        <f t="shared" si="5"/>
        <v>8.9041095890410954E-2</v>
      </c>
      <c r="Q39" s="118" t="s">
        <v>217</v>
      </c>
      <c r="R39" s="103"/>
      <c r="S39" s="108">
        <f>VLOOKUP(A39,'precios semana 2906'!A:B,2,0)</f>
        <v>1600</v>
      </c>
      <c r="T39" s="109">
        <f t="shared" si="6"/>
        <v>0</v>
      </c>
      <c r="U39" s="109">
        <f t="shared" si="11"/>
        <v>0.80100502512562843</v>
      </c>
      <c r="V39" s="109">
        <f t="shared" si="12"/>
        <v>-0.10175438596491215</v>
      </c>
      <c r="W39" s="109">
        <f t="shared" si="7"/>
        <v>-0.18173515981735144</v>
      </c>
      <c r="X39" s="110">
        <f t="shared" si="13"/>
        <v>-202.99999999999977</v>
      </c>
      <c r="Y39" s="109">
        <f t="shared" si="8"/>
        <v>-0.13383458646616542</v>
      </c>
      <c r="Z39" s="109">
        <f t="shared" si="9"/>
        <v>-0.21095890410958906</v>
      </c>
      <c r="AA39" s="98"/>
      <c r="AB39" s="98"/>
      <c r="AC39" s="98"/>
      <c r="AD39" s="98"/>
      <c r="AE39" s="98"/>
      <c r="AF39" s="98"/>
      <c r="AG39" s="98"/>
    </row>
    <row r="40" spans="1:33" x14ac:dyDescent="0.2">
      <c r="A40" s="98" t="s">
        <v>218</v>
      </c>
      <c r="B40" s="98" t="s">
        <v>139</v>
      </c>
      <c r="C40" s="99">
        <v>1</v>
      </c>
      <c r="D40" s="100">
        <v>800</v>
      </c>
      <c r="E40" s="101">
        <v>1350</v>
      </c>
      <c r="F40" s="102">
        <f t="shared" si="0"/>
        <v>0.40740740740740738</v>
      </c>
      <c r="G40" s="103">
        <f t="shared" si="1"/>
        <v>896.00000000000011</v>
      </c>
      <c r="H40" s="103">
        <f t="shared" si="2"/>
        <v>864</v>
      </c>
      <c r="I40" s="103">
        <v>1350</v>
      </c>
      <c r="J40" s="103">
        <v>990</v>
      </c>
      <c r="K40" s="104">
        <v>1450</v>
      </c>
      <c r="L40" s="105">
        <f t="shared" si="3"/>
        <v>0.19191919191919191</v>
      </c>
      <c r="M40" s="105">
        <f t="shared" si="10"/>
        <v>0.44827586206896552</v>
      </c>
      <c r="N40" s="103">
        <v>1990</v>
      </c>
      <c r="O40" s="106">
        <f t="shared" si="4"/>
        <v>0</v>
      </c>
      <c r="P40" s="106">
        <f t="shared" si="5"/>
        <v>-7.407407407407407E-2</v>
      </c>
      <c r="Q40" s="118" t="s">
        <v>219</v>
      </c>
      <c r="R40" s="103">
        <v>1990</v>
      </c>
      <c r="S40" s="108">
        <f>VLOOKUP(A40,'precios semana 2906'!A:B,2,0)</f>
        <v>800</v>
      </c>
      <c r="T40" s="109">
        <f t="shared" si="6"/>
        <v>0</v>
      </c>
      <c r="U40" s="109">
        <f t="shared" si="11"/>
        <v>-0.3362962962962962</v>
      </c>
      <c r="V40" s="109">
        <f t="shared" si="12"/>
        <v>-0.38206896551724134</v>
      </c>
      <c r="W40" s="109">
        <f t="shared" si="7"/>
        <v>-9.4949494949494784E-2</v>
      </c>
      <c r="X40" s="110">
        <f t="shared" si="13"/>
        <v>-553.99999999999989</v>
      </c>
      <c r="Y40" s="109">
        <f t="shared" si="8"/>
        <v>-0.40413793103448281</v>
      </c>
      <c r="Z40" s="109">
        <f t="shared" si="9"/>
        <v>-0.12727272727272732</v>
      </c>
      <c r="AA40" s="98"/>
      <c r="AB40" s="98"/>
      <c r="AC40" s="98"/>
      <c r="AD40" s="98"/>
      <c r="AE40" s="98"/>
      <c r="AF40" s="98"/>
      <c r="AG40" s="98"/>
    </row>
    <row r="41" spans="1:33" x14ac:dyDescent="0.2">
      <c r="A41" s="111" t="s">
        <v>220</v>
      </c>
      <c r="B41" s="98" t="s">
        <v>116</v>
      </c>
      <c r="C41" s="99">
        <v>1</v>
      </c>
      <c r="D41" s="100">
        <v>3000</v>
      </c>
      <c r="E41" s="101">
        <v>3990</v>
      </c>
      <c r="F41" s="102">
        <f t="shared" si="0"/>
        <v>0.24812030075187969</v>
      </c>
      <c r="G41" s="103">
        <f t="shared" si="1"/>
        <v>3360.0000000000005</v>
      </c>
      <c r="H41" s="103">
        <f t="shared" si="2"/>
        <v>3240</v>
      </c>
      <c r="I41" s="103">
        <v>1590</v>
      </c>
      <c r="J41" s="103">
        <v>4690</v>
      </c>
      <c r="K41" s="104">
        <v>1710</v>
      </c>
      <c r="L41" s="105">
        <f t="shared" si="3"/>
        <v>0.36034115138592748</v>
      </c>
      <c r="M41" s="105">
        <f t="shared" si="10"/>
        <v>-0.75438596491228072</v>
      </c>
      <c r="N41" s="103">
        <v>3990</v>
      </c>
      <c r="O41" s="106">
        <f t="shared" si="4"/>
        <v>0.60150375939849621</v>
      </c>
      <c r="P41" s="106">
        <f t="shared" si="5"/>
        <v>0.5714285714285714</v>
      </c>
      <c r="Q41" s="119" t="s">
        <v>221</v>
      </c>
      <c r="R41" s="103">
        <v>3990</v>
      </c>
      <c r="S41" s="108">
        <f>VLOOKUP(A41,'precios semana 2906'!A:B,2,0)</f>
        <v>3000</v>
      </c>
      <c r="T41" s="109">
        <f t="shared" si="6"/>
        <v>0</v>
      </c>
      <c r="U41" s="109">
        <f t="shared" si="11"/>
        <v>1.1132075471698117</v>
      </c>
      <c r="V41" s="109">
        <f t="shared" si="12"/>
        <v>0.96491228070175472</v>
      </c>
      <c r="W41" s="109">
        <f t="shared" si="7"/>
        <v>-0.28358208955223874</v>
      </c>
      <c r="X41" s="110">
        <f t="shared" si="13"/>
        <v>1650.0000000000005</v>
      </c>
      <c r="Y41" s="109">
        <f t="shared" si="8"/>
        <v>0.89473684210526305</v>
      </c>
      <c r="Z41" s="109">
        <f t="shared" si="9"/>
        <v>-0.30916844349680173</v>
      </c>
      <c r="AA41" s="98"/>
      <c r="AB41" s="98"/>
      <c r="AC41" s="98"/>
      <c r="AD41" s="98"/>
      <c r="AE41" s="98"/>
      <c r="AF41" s="98"/>
      <c r="AG41" s="98"/>
    </row>
    <row r="42" spans="1:33" x14ac:dyDescent="0.2">
      <c r="A42" s="111" t="s">
        <v>222</v>
      </c>
      <c r="B42" s="98" t="s">
        <v>116</v>
      </c>
      <c r="C42" s="99">
        <v>1</v>
      </c>
      <c r="D42" s="100">
        <v>3000</v>
      </c>
      <c r="E42" s="101">
        <v>3990</v>
      </c>
      <c r="F42" s="102">
        <f t="shared" si="0"/>
        <v>0.24812030075187969</v>
      </c>
      <c r="G42" s="103">
        <f t="shared" si="1"/>
        <v>3360.0000000000005</v>
      </c>
      <c r="H42" s="103">
        <f t="shared" si="2"/>
        <v>3240</v>
      </c>
      <c r="I42" s="103">
        <v>1590</v>
      </c>
      <c r="J42" s="103">
        <v>3990</v>
      </c>
      <c r="K42" s="104">
        <v>1690</v>
      </c>
      <c r="L42" s="105">
        <f t="shared" si="3"/>
        <v>0.24812030075187969</v>
      </c>
      <c r="M42" s="105">
        <f t="shared" si="10"/>
        <v>-0.7751479289940828</v>
      </c>
      <c r="N42" s="103">
        <v>3990</v>
      </c>
      <c r="O42" s="106">
        <f t="shared" si="4"/>
        <v>0.60150375939849621</v>
      </c>
      <c r="P42" s="106">
        <f t="shared" si="5"/>
        <v>0.5764411027568922</v>
      </c>
      <c r="Q42" s="119" t="s">
        <v>223</v>
      </c>
      <c r="R42" s="103">
        <v>3990</v>
      </c>
      <c r="S42" s="108">
        <f>VLOOKUP(A42,'precios semana 2906'!A:B,2,0)</f>
        <v>2800</v>
      </c>
      <c r="T42" s="109">
        <f t="shared" si="6"/>
        <v>-6.6666666666666652E-2</v>
      </c>
      <c r="U42" s="109">
        <f t="shared" si="11"/>
        <v>1.1132075471698117</v>
      </c>
      <c r="V42" s="109">
        <f t="shared" si="12"/>
        <v>0.98816568047337294</v>
      </c>
      <c r="W42" s="109">
        <f t="shared" si="7"/>
        <v>-0.1578947368421052</v>
      </c>
      <c r="X42" s="110">
        <f t="shared" si="13"/>
        <v>1670.0000000000005</v>
      </c>
      <c r="Y42" s="109">
        <f t="shared" si="8"/>
        <v>0.91715976331360949</v>
      </c>
      <c r="Z42" s="109">
        <f t="shared" si="9"/>
        <v>-0.18796992481203012</v>
      </c>
      <c r="AA42" s="98"/>
      <c r="AB42" s="98"/>
      <c r="AC42" s="98"/>
      <c r="AD42" s="98"/>
      <c r="AE42" s="98"/>
      <c r="AF42" s="98"/>
      <c r="AG42" s="98"/>
    </row>
    <row r="43" spans="1:33" x14ac:dyDescent="0.2">
      <c r="A43" s="98" t="s">
        <v>224</v>
      </c>
      <c r="B43" s="98" t="s">
        <v>142</v>
      </c>
      <c r="C43" s="99">
        <v>0.1</v>
      </c>
      <c r="D43" s="100">
        <v>600</v>
      </c>
      <c r="E43" s="101">
        <v>1345</v>
      </c>
      <c r="F43" s="102">
        <f t="shared" si="0"/>
        <v>0.55390334572490707</v>
      </c>
      <c r="G43" s="103">
        <f t="shared" si="1"/>
        <v>672.00000000000011</v>
      </c>
      <c r="H43" s="103">
        <f t="shared" si="2"/>
        <v>648</v>
      </c>
      <c r="I43" s="103">
        <v>1527</v>
      </c>
      <c r="J43" s="103">
        <v>745</v>
      </c>
      <c r="K43" s="104">
        <v>1345</v>
      </c>
      <c r="L43" s="105">
        <f t="shared" si="3"/>
        <v>0.19463087248322147</v>
      </c>
      <c r="M43" s="105">
        <f t="shared" si="10"/>
        <v>0.55390334572490707</v>
      </c>
      <c r="N43" s="103">
        <v>2690</v>
      </c>
      <c r="O43" s="106">
        <f t="shared" si="4"/>
        <v>-0.13531598513011153</v>
      </c>
      <c r="P43" s="106">
        <f t="shared" si="5"/>
        <v>0</v>
      </c>
      <c r="Q43" s="118" t="s">
        <v>225</v>
      </c>
      <c r="R43" s="103">
        <v>1345</v>
      </c>
      <c r="S43" s="108">
        <f>VLOOKUP(A43,'precios semana 2906'!A:B,2,0)</f>
        <v>600</v>
      </c>
      <c r="T43" s="109">
        <f t="shared" si="6"/>
        <v>0</v>
      </c>
      <c r="U43" s="109">
        <f t="shared" si="11"/>
        <v>-0.55992141453831035</v>
      </c>
      <c r="V43" s="109">
        <f t="shared" si="12"/>
        <v>-0.50037174721189581</v>
      </c>
      <c r="W43" s="109">
        <f t="shared" si="7"/>
        <v>-9.7986577181207846E-2</v>
      </c>
      <c r="X43" s="110">
        <f t="shared" si="13"/>
        <v>-672.99999999999989</v>
      </c>
      <c r="Y43" s="109">
        <f t="shared" si="8"/>
        <v>-0.51821561338289968</v>
      </c>
      <c r="Z43" s="109">
        <f t="shared" si="9"/>
        <v>-0.13020134228187918</v>
      </c>
      <c r="AA43" s="98"/>
      <c r="AB43" s="98"/>
      <c r="AC43" s="98"/>
      <c r="AD43" s="98"/>
      <c r="AE43" s="98"/>
      <c r="AF43" s="98"/>
      <c r="AG43" s="98"/>
    </row>
    <row r="44" spans="1:33" x14ac:dyDescent="0.2">
      <c r="A44" s="98" t="s">
        <v>226</v>
      </c>
      <c r="B44" s="98" t="s">
        <v>142</v>
      </c>
      <c r="C44" s="99">
        <v>1</v>
      </c>
      <c r="D44" s="100">
        <v>1500</v>
      </c>
      <c r="E44" s="101">
        <v>2190</v>
      </c>
      <c r="F44" s="102">
        <f t="shared" si="0"/>
        <v>0.31506849315068491</v>
      </c>
      <c r="G44" s="103">
        <f t="shared" si="1"/>
        <v>1680.0000000000002</v>
      </c>
      <c r="H44" s="103">
        <f t="shared" si="2"/>
        <v>1620</v>
      </c>
      <c r="I44" s="103">
        <v>1990</v>
      </c>
      <c r="J44" s="103">
        <v>1990</v>
      </c>
      <c r="K44" s="104">
        <v>1990</v>
      </c>
      <c r="L44" s="105">
        <f t="shared" si="3"/>
        <v>0.24623115577889448</v>
      </c>
      <c r="M44" s="105">
        <f t="shared" si="10"/>
        <v>0.24623115577889448</v>
      </c>
      <c r="N44" s="103">
        <v>1095</v>
      </c>
      <c r="O44" s="106">
        <f t="shared" si="4"/>
        <v>9.1324200913242004E-2</v>
      </c>
      <c r="P44" s="106">
        <f t="shared" si="5"/>
        <v>9.1324200913242004E-2</v>
      </c>
      <c r="Q44" s="119" t="s">
        <v>227</v>
      </c>
      <c r="R44" s="103">
        <v>2190</v>
      </c>
      <c r="S44" s="108">
        <f>VLOOKUP(A44,'precios semana 2906'!A:B,2,0)</f>
        <v>1500</v>
      </c>
      <c r="T44" s="109">
        <f t="shared" si="6"/>
        <v>0</v>
      </c>
      <c r="U44" s="109">
        <f t="shared" si="11"/>
        <v>-0.15577889447236171</v>
      </c>
      <c r="V44" s="109">
        <f t="shared" si="12"/>
        <v>-0.15577889447236171</v>
      </c>
      <c r="W44" s="109">
        <f t="shared" si="7"/>
        <v>-0.15577889447236171</v>
      </c>
      <c r="X44" s="110">
        <f t="shared" si="13"/>
        <v>-309.99999999999977</v>
      </c>
      <c r="Y44" s="109">
        <f t="shared" si="8"/>
        <v>-0.18592964824120606</v>
      </c>
      <c r="Z44" s="109">
        <f t="shared" si="9"/>
        <v>-0.18592964824120606</v>
      </c>
      <c r="AA44" s="98"/>
      <c r="AB44" s="98"/>
      <c r="AC44" s="98"/>
      <c r="AD44" s="98"/>
      <c r="AE44" s="98"/>
      <c r="AF44" s="98"/>
      <c r="AG44" s="98"/>
    </row>
    <row r="45" spans="1:33" x14ac:dyDescent="0.2">
      <c r="A45" s="98" t="s">
        <v>228</v>
      </c>
      <c r="B45" s="98" t="s">
        <v>142</v>
      </c>
      <c r="C45" s="99">
        <v>0.25</v>
      </c>
      <c r="D45" s="100">
        <v>900</v>
      </c>
      <c r="E45" s="101">
        <v>1990</v>
      </c>
      <c r="F45" s="102">
        <f t="shared" si="0"/>
        <v>0.54773869346733672</v>
      </c>
      <c r="G45" s="103">
        <f t="shared" si="1"/>
        <v>1008.0000000000001</v>
      </c>
      <c r="H45" s="103">
        <f t="shared" si="2"/>
        <v>972.00000000000011</v>
      </c>
      <c r="I45" s="103">
        <v>1990</v>
      </c>
      <c r="J45" s="103">
        <v>1495</v>
      </c>
      <c r="K45" s="104">
        <v>1990</v>
      </c>
      <c r="L45" s="105">
        <f t="shared" si="3"/>
        <v>0.39799331103678931</v>
      </c>
      <c r="M45" s="105">
        <f t="shared" si="10"/>
        <v>0.54773869346733672</v>
      </c>
      <c r="N45" s="103">
        <v>2990</v>
      </c>
      <c r="O45" s="106">
        <f t="shared" si="4"/>
        <v>0</v>
      </c>
      <c r="P45" s="106">
        <f t="shared" si="5"/>
        <v>0</v>
      </c>
      <c r="Q45" s="119" t="s">
        <v>229</v>
      </c>
      <c r="R45" s="103">
        <v>1495</v>
      </c>
      <c r="S45" s="108">
        <f>VLOOKUP(A45,'precios semana 2906'!A:B,2,0)</f>
        <v>900</v>
      </c>
      <c r="T45" s="109">
        <f t="shared" si="6"/>
        <v>0</v>
      </c>
      <c r="U45" s="109">
        <f t="shared" si="11"/>
        <v>-0.49346733668341702</v>
      </c>
      <c r="V45" s="109">
        <f t="shared" si="12"/>
        <v>-0.49346733668341702</v>
      </c>
      <c r="W45" s="109">
        <f t="shared" si="7"/>
        <v>-0.32575250836120395</v>
      </c>
      <c r="X45" s="110">
        <f t="shared" si="13"/>
        <v>-981.99999999999989</v>
      </c>
      <c r="Y45" s="109">
        <f t="shared" si="8"/>
        <v>-0.51155778894472359</v>
      </c>
      <c r="Z45" s="109">
        <f t="shared" si="9"/>
        <v>-0.34983277591973239</v>
      </c>
      <c r="AA45" s="98"/>
      <c r="AB45" s="98"/>
      <c r="AC45" s="98"/>
      <c r="AD45" s="98"/>
      <c r="AE45" s="98"/>
      <c r="AF45" s="98"/>
      <c r="AG45" s="98"/>
    </row>
    <row r="46" spans="1:33" x14ac:dyDescent="0.2">
      <c r="A46" s="98" t="s">
        <v>230</v>
      </c>
      <c r="B46" s="98" t="s">
        <v>142</v>
      </c>
      <c r="C46" s="99">
        <v>0.5</v>
      </c>
      <c r="D46" s="100">
        <v>1100</v>
      </c>
      <c r="E46" s="101">
        <v>1495</v>
      </c>
      <c r="F46" s="102">
        <f t="shared" si="0"/>
        <v>0.26421404682274247</v>
      </c>
      <c r="G46" s="103">
        <f t="shared" si="1"/>
        <v>1232.0000000000002</v>
      </c>
      <c r="H46" s="103">
        <f t="shared" si="2"/>
        <v>1188</v>
      </c>
      <c r="I46" s="103">
        <v>1145</v>
      </c>
      <c r="J46" s="103">
        <v>1295</v>
      </c>
      <c r="K46" s="104">
        <v>1245</v>
      </c>
      <c r="L46" s="105">
        <f t="shared" si="3"/>
        <v>0.15057915057915058</v>
      </c>
      <c r="M46" s="105">
        <f t="shared" si="10"/>
        <v>0.11646586345381527</v>
      </c>
      <c r="N46" s="103">
        <v>845</v>
      </c>
      <c r="O46" s="106">
        <f t="shared" si="4"/>
        <v>0.23411371237458195</v>
      </c>
      <c r="P46" s="106">
        <f t="shared" si="5"/>
        <v>0.16722408026755853</v>
      </c>
      <c r="Q46" s="119" t="s">
        <v>231</v>
      </c>
      <c r="R46" s="103">
        <v>1495</v>
      </c>
      <c r="S46" s="108">
        <f>VLOOKUP(A46,'precios semana 2906'!A:B,2,0)</f>
        <v>1100</v>
      </c>
      <c r="T46" s="109">
        <f t="shared" si="6"/>
        <v>0</v>
      </c>
      <c r="U46" s="109">
        <f t="shared" si="11"/>
        <v>7.5982532751091902E-2</v>
      </c>
      <c r="V46" s="109">
        <f t="shared" si="12"/>
        <v>-1.0441767068272934E-2</v>
      </c>
      <c r="W46" s="109">
        <f t="shared" si="7"/>
        <v>-4.8648648648648485E-2</v>
      </c>
      <c r="X46" s="110">
        <f t="shared" si="13"/>
        <v>-12.999999999999773</v>
      </c>
      <c r="Y46" s="109">
        <f t="shared" si="8"/>
        <v>-4.5783132530120452E-2</v>
      </c>
      <c r="Z46" s="109">
        <f t="shared" si="9"/>
        <v>-8.2625482625482638E-2</v>
      </c>
      <c r="AA46" s="98"/>
      <c r="AB46" s="98"/>
      <c r="AC46" s="98"/>
      <c r="AD46" s="98"/>
      <c r="AE46" s="98"/>
      <c r="AF46" s="98"/>
      <c r="AG46" s="98"/>
    </row>
    <row r="47" spans="1:33" ht="15.75" customHeight="1" x14ac:dyDescent="0.15">
      <c r="A47" s="98" t="s">
        <v>232</v>
      </c>
      <c r="B47" s="98" t="s">
        <v>142</v>
      </c>
      <c r="C47" s="99">
        <v>1</v>
      </c>
      <c r="D47" s="100">
        <v>800</v>
      </c>
      <c r="E47" s="101">
        <v>1290</v>
      </c>
      <c r="F47" s="102">
        <f t="shared" si="0"/>
        <v>0.37984496124031009</v>
      </c>
      <c r="G47" s="103">
        <f t="shared" si="1"/>
        <v>896.00000000000011</v>
      </c>
      <c r="H47" s="103">
        <f t="shared" si="2"/>
        <v>864</v>
      </c>
      <c r="I47" s="103">
        <v>1290</v>
      </c>
      <c r="J47" s="103">
        <v>1290</v>
      </c>
      <c r="K47" s="104">
        <v>1190</v>
      </c>
      <c r="L47" s="105">
        <f t="shared" si="3"/>
        <v>0.37984496124031009</v>
      </c>
      <c r="M47" s="105">
        <f t="shared" si="10"/>
        <v>0.32773109243697479</v>
      </c>
      <c r="N47" s="103">
        <v>695</v>
      </c>
      <c r="O47" s="106">
        <f t="shared" si="4"/>
        <v>0</v>
      </c>
      <c r="P47" s="106">
        <f t="shared" si="5"/>
        <v>7.7519379844961239E-2</v>
      </c>
      <c r="Q47" s="112" t="s">
        <v>233</v>
      </c>
      <c r="R47" s="103">
        <v>1390</v>
      </c>
      <c r="S47" s="108">
        <f>VLOOKUP(A47,'precios semana 2906'!A:B,2,0)</f>
        <v>800</v>
      </c>
      <c r="T47" s="109">
        <f t="shared" si="6"/>
        <v>0</v>
      </c>
      <c r="U47" s="109">
        <f t="shared" si="11"/>
        <v>-0.30542635658914719</v>
      </c>
      <c r="V47" s="109">
        <f t="shared" si="12"/>
        <v>-0.24705882352941166</v>
      </c>
      <c r="W47" s="109">
        <f t="shared" si="7"/>
        <v>-0.30542635658914719</v>
      </c>
      <c r="X47" s="110">
        <f t="shared" si="13"/>
        <v>-293.99999999999989</v>
      </c>
      <c r="Y47" s="109">
        <f t="shared" si="8"/>
        <v>-0.2739495798319328</v>
      </c>
      <c r="Z47" s="109">
        <f t="shared" si="9"/>
        <v>-0.33023255813953489</v>
      </c>
      <c r="AA47" s="98"/>
      <c r="AB47" s="98"/>
      <c r="AC47" s="98"/>
      <c r="AD47" s="98"/>
      <c r="AE47" s="98"/>
      <c r="AF47" s="98"/>
      <c r="AG47" s="98"/>
    </row>
    <row r="48" spans="1:33" ht="15.75" customHeight="1" x14ac:dyDescent="0.15">
      <c r="A48" s="98" t="s">
        <v>234</v>
      </c>
      <c r="B48" s="98" t="s">
        <v>235</v>
      </c>
      <c r="C48" s="99">
        <v>1</v>
      </c>
      <c r="D48" s="100">
        <v>1000</v>
      </c>
      <c r="E48" s="101">
        <v>1990</v>
      </c>
      <c r="F48" s="102">
        <f t="shared" si="0"/>
        <v>0.49748743718592964</v>
      </c>
      <c r="G48" s="103">
        <f t="shared" si="1"/>
        <v>1120</v>
      </c>
      <c r="H48" s="103">
        <f t="shared" si="2"/>
        <v>1080</v>
      </c>
      <c r="I48" s="103">
        <v>1990</v>
      </c>
      <c r="J48" s="103">
        <v>990</v>
      </c>
      <c r="K48" s="104">
        <v>2090</v>
      </c>
      <c r="L48" s="105">
        <f t="shared" si="3"/>
        <v>-1.0101010101010102E-2</v>
      </c>
      <c r="M48" s="105">
        <f t="shared" si="10"/>
        <v>0.52153110047846885</v>
      </c>
      <c r="N48" s="103">
        <v>2490</v>
      </c>
      <c r="O48" s="106">
        <f t="shared" si="4"/>
        <v>0</v>
      </c>
      <c r="P48" s="106">
        <f t="shared" si="5"/>
        <v>-5.0251256281407038E-2</v>
      </c>
      <c r="Q48" s="112" t="s">
        <v>236</v>
      </c>
      <c r="R48" s="103">
        <v>1290</v>
      </c>
      <c r="S48" s="108">
        <f>VLOOKUP(A48,'precios semana 2906'!A:B,2,0)</f>
        <v>1000</v>
      </c>
      <c r="T48" s="109">
        <f t="shared" si="6"/>
        <v>0</v>
      </c>
      <c r="U48" s="109">
        <f t="shared" si="11"/>
        <v>-0.43718592964824121</v>
      </c>
      <c r="V48" s="109">
        <f t="shared" si="12"/>
        <v>-0.46411483253588515</v>
      </c>
      <c r="W48" s="109">
        <f t="shared" si="7"/>
        <v>0.13131313131313127</v>
      </c>
      <c r="X48" s="110">
        <f t="shared" si="13"/>
        <v>-970</v>
      </c>
      <c r="Y48" s="109">
        <f t="shared" si="8"/>
        <v>-0.48325358851674638</v>
      </c>
      <c r="Z48" s="109">
        <f t="shared" si="9"/>
        <v>9.0909090909090828E-2</v>
      </c>
      <c r="AA48" s="98"/>
      <c r="AB48" s="98"/>
      <c r="AC48" s="98"/>
      <c r="AD48" s="98"/>
      <c r="AE48" s="98"/>
      <c r="AF48" s="98"/>
      <c r="AG48" s="98"/>
    </row>
    <row r="49" spans="1:33" ht="15.75" customHeight="1" x14ac:dyDescent="0.15">
      <c r="A49" s="98" t="s">
        <v>237</v>
      </c>
      <c r="B49" s="98" t="s">
        <v>116</v>
      </c>
      <c r="C49" s="99">
        <v>1</v>
      </c>
      <c r="D49" s="100">
        <v>600</v>
      </c>
      <c r="E49" s="101">
        <v>790</v>
      </c>
      <c r="F49" s="102">
        <f t="shared" si="0"/>
        <v>0.24050632911392406</v>
      </c>
      <c r="G49" s="103">
        <f t="shared" si="1"/>
        <v>672.00000000000011</v>
      </c>
      <c r="H49" s="103">
        <f t="shared" si="2"/>
        <v>648</v>
      </c>
      <c r="I49" s="103">
        <v>790</v>
      </c>
      <c r="J49" s="103">
        <v>790</v>
      </c>
      <c r="K49" s="104">
        <v>790</v>
      </c>
      <c r="L49" s="105">
        <f t="shared" si="3"/>
        <v>0.24050632911392406</v>
      </c>
      <c r="M49" s="105">
        <f t="shared" si="10"/>
        <v>0.24050632911392406</v>
      </c>
      <c r="N49" s="103">
        <v>790</v>
      </c>
      <c r="O49" s="106">
        <f t="shared" si="4"/>
        <v>0</v>
      </c>
      <c r="P49" s="106">
        <f t="shared" si="5"/>
        <v>0</v>
      </c>
      <c r="Q49" s="114" t="s">
        <v>238</v>
      </c>
      <c r="R49" s="103">
        <v>790</v>
      </c>
      <c r="S49" s="108">
        <f>VLOOKUP(A49,'precios semana 2906'!A:B,2,0)</f>
        <v>600</v>
      </c>
      <c r="T49" s="109">
        <f t="shared" si="6"/>
        <v>0</v>
      </c>
      <c r="U49" s="109">
        <f t="shared" si="11"/>
        <v>-0.14936708860759484</v>
      </c>
      <c r="V49" s="109">
        <f t="shared" si="12"/>
        <v>-0.14936708860759484</v>
      </c>
      <c r="W49" s="109">
        <f t="shared" si="7"/>
        <v>-0.14936708860759484</v>
      </c>
      <c r="X49" s="110">
        <f t="shared" si="13"/>
        <v>-117.99999999999989</v>
      </c>
      <c r="Y49" s="109">
        <f t="shared" si="8"/>
        <v>-0.17974683544303793</v>
      </c>
      <c r="Z49" s="109">
        <f t="shared" si="9"/>
        <v>-0.17974683544303793</v>
      </c>
      <c r="AA49" s="98"/>
      <c r="AB49" s="98"/>
      <c r="AC49" s="98"/>
      <c r="AD49" s="98"/>
      <c r="AE49" s="98"/>
      <c r="AF49" s="98"/>
      <c r="AG49" s="98"/>
    </row>
    <row r="50" spans="1:33" ht="15.75" customHeight="1" x14ac:dyDescent="0.15">
      <c r="A50" s="98" t="s">
        <v>239</v>
      </c>
      <c r="B50" s="98" t="s">
        <v>142</v>
      </c>
      <c r="C50" s="99">
        <v>0.1</v>
      </c>
      <c r="D50" s="100">
        <v>1800</v>
      </c>
      <c r="E50" s="101">
        <v>3490</v>
      </c>
      <c r="F50" s="102">
        <f t="shared" si="0"/>
        <v>0.48424068767908307</v>
      </c>
      <c r="G50" s="103">
        <f t="shared" si="1"/>
        <v>2016.0000000000002</v>
      </c>
      <c r="H50" s="103">
        <f t="shared" si="2"/>
        <v>1944.0000000000002</v>
      </c>
      <c r="I50" s="103">
        <v>1364</v>
      </c>
      <c r="J50" s="103">
        <v>2792</v>
      </c>
      <c r="K50" s="104">
        <v>2490</v>
      </c>
      <c r="L50" s="105">
        <f t="shared" si="3"/>
        <v>0.35530085959885388</v>
      </c>
      <c r="M50" s="105">
        <f t="shared" si="10"/>
        <v>0.27710843373493976</v>
      </c>
      <c r="N50" s="103">
        <v>10490</v>
      </c>
      <c r="O50" s="106">
        <f t="shared" si="4"/>
        <v>0.60916905444126079</v>
      </c>
      <c r="P50" s="106">
        <f t="shared" si="5"/>
        <v>0.28653295128939826</v>
      </c>
      <c r="Q50" s="120" t="s">
        <v>240</v>
      </c>
      <c r="R50" s="103"/>
      <c r="S50" s="108">
        <f>VLOOKUP(A50,'precios semana 2906'!A:B,2,0)</f>
        <v>2000</v>
      </c>
      <c r="T50" s="109">
        <f t="shared" si="6"/>
        <v>0.11111111111111116</v>
      </c>
      <c r="U50" s="109">
        <f t="shared" si="11"/>
        <v>0.47800586510263954</v>
      </c>
      <c r="V50" s="109">
        <f t="shared" si="12"/>
        <v>-0.19036144578313241</v>
      </c>
      <c r="W50" s="109">
        <f t="shared" si="7"/>
        <v>-0.27793696275071622</v>
      </c>
      <c r="X50" s="110">
        <f t="shared" si="13"/>
        <v>-473.99999999999977</v>
      </c>
      <c r="Y50" s="109">
        <f t="shared" si="8"/>
        <v>-0.21927710843373482</v>
      </c>
      <c r="Z50" s="109">
        <f t="shared" si="9"/>
        <v>-0.30372492836676213</v>
      </c>
      <c r="AA50" s="98"/>
      <c r="AB50" s="98"/>
      <c r="AC50" s="98"/>
      <c r="AD50" s="98"/>
      <c r="AE50" s="98"/>
      <c r="AF50" s="98"/>
      <c r="AG50" s="98"/>
    </row>
    <row r="51" spans="1:33" ht="15.75" customHeight="1" x14ac:dyDescent="0.15">
      <c r="A51" s="98" t="s">
        <v>241</v>
      </c>
      <c r="B51" s="98" t="s">
        <v>142</v>
      </c>
      <c r="C51" s="99">
        <v>0.5</v>
      </c>
      <c r="D51" s="100">
        <v>1600</v>
      </c>
      <c r="E51" s="101">
        <v>4690</v>
      </c>
      <c r="F51" s="102">
        <f t="shared" si="0"/>
        <v>0.65884861407249462</v>
      </c>
      <c r="G51" s="103">
        <f t="shared" si="1"/>
        <v>1792.0000000000002</v>
      </c>
      <c r="H51" s="103">
        <f t="shared" si="2"/>
        <v>1728</v>
      </c>
      <c r="I51" s="103">
        <v>3190</v>
      </c>
      <c r="J51" s="103">
        <v>5317</v>
      </c>
      <c r="K51" s="104">
        <v>4317</v>
      </c>
      <c r="L51" s="105">
        <f t="shared" si="3"/>
        <v>0.69907842768478468</v>
      </c>
      <c r="M51" s="105">
        <f t="shared" si="10"/>
        <v>0.6293722492471624</v>
      </c>
      <c r="N51" s="103">
        <v>4690</v>
      </c>
      <c r="O51" s="106">
        <f t="shared" si="4"/>
        <v>0.31982942430703626</v>
      </c>
      <c r="P51" s="106">
        <f t="shared" si="5"/>
        <v>7.9530916844349681E-2</v>
      </c>
      <c r="Q51" s="116" t="s">
        <v>242</v>
      </c>
      <c r="R51" s="103">
        <v>4690</v>
      </c>
      <c r="S51" s="108">
        <f>VLOOKUP(A51,'precios semana 2906'!A:B,2,0)</f>
        <v>1600</v>
      </c>
      <c r="T51" s="109">
        <f t="shared" si="6"/>
        <v>0</v>
      </c>
      <c r="U51" s="109">
        <f t="shared" si="11"/>
        <v>-0.43824451410658305</v>
      </c>
      <c r="V51" s="109">
        <f t="shared" si="12"/>
        <v>-0.58489691915682185</v>
      </c>
      <c r="W51" s="109">
        <f t="shared" si="7"/>
        <v>-0.66296783900695877</v>
      </c>
      <c r="X51" s="110">
        <f t="shared" si="13"/>
        <v>-2525</v>
      </c>
      <c r="Y51" s="109">
        <f t="shared" si="8"/>
        <v>-0.5997220291869354</v>
      </c>
      <c r="Z51" s="109">
        <f t="shared" si="9"/>
        <v>-0.67500470189956741</v>
      </c>
      <c r="AA51" s="98"/>
      <c r="AB51" s="98"/>
      <c r="AC51" s="98"/>
      <c r="AD51" s="98"/>
      <c r="AE51" s="98"/>
      <c r="AF51" s="98"/>
      <c r="AG51" s="98"/>
    </row>
    <row r="52" spans="1:33" ht="15.75" customHeight="1" x14ac:dyDescent="0.15">
      <c r="A52" s="98" t="s">
        <v>243</v>
      </c>
      <c r="B52" s="98" t="s">
        <v>142</v>
      </c>
      <c r="C52" s="99">
        <v>0.5</v>
      </c>
      <c r="D52" s="100">
        <v>1000</v>
      </c>
      <c r="E52" s="101">
        <v>2095</v>
      </c>
      <c r="F52" s="102">
        <f t="shared" si="0"/>
        <v>0.52267303102625295</v>
      </c>
      <c r="G52" s="103">
        <f t="shared" si="1"/>
        <v>1120</v>
      </c>
      <c r="H52" s="103">
        <f t="shared" si="2"/>
        <v>1080</v>
      </c>
      <c r="I52" s="103">
        <v>2095</v>
      </c>
      <c r="J52" s="103">
        <v>1500</v>
      </c>
      <c r="K52" s="104">
        <v>2145</v>
      </c>
      <c r="L52" s="105">
        <f t="shared" si="3"/>
        <v>0.33333333333333331</v>
      </c>
      <c r="M52" s="105">
        <f t="shared" si="10"/>
        <v>0.53379953379953382</v>
      </c>
      <c r="N52" s="103">
        <v>2190</v>
      </c>
      <c r="O52" s="106">
        <f t="shared" si="4"/>
        <v>0</v>
      </c>
      <c r="P52" s="106">
        <f t="shared" si="5"/>
        <v>-2.386634844868735E-2</v>
      </c>
      <c r="Q52" s="116" t="s">
        <v>244</v>
      </c>
      <c r="R52" s="103"/>
      <c r="S52" s="108">
        <f>VLOOKUP(A52,'precios semana 2906'!A:B,2,0)</f>
        <v>1000</v>
      </c>
      <c r="T52" s="109">
        <f t="shared" si="6"/>
        <v>0</v>
      </c>
      <c r="U52" s="109">
        <f t="shared" si="11"/>
        <v>-0.46539379474940334</v>
      </c>
      <c r="V52" s="109">
        <f t="shared" si="12"/>
        <v>-0.47785547785547788</v>
      </c>
      <c r="W52" s="109">
        <f t="shared" si="7"/>
        <v>-0.2533333333333333</v>
      </c>
      <c r="X52" s="110">
        <f t="shared" si="13"/>
        <v>-1025</v>
      </c>
      <c r="Y52" s="109">
        <f t="shared" si="8"/>
        <v>-0.49650349650349646</v>
      </c>
      <c r="Z52" s="109">
        <f t="shared" si="9"/>
        <v>-0.28000000000000003</v>
      </c>
      <c r="AA52" s="98"/>
      <c r="AB52" s="98"/>
      <c r="AC52" s="98"/>
      <c r="AD52" s="98"/>
      <c r="AE52" s="98"/>
      <c r="AF52" s="98"/>
      <c r="AG52" s="98"/>
    </row>
    <row r="53" spans="1:33" ht="15.75" customHeight="1" x14ac:dyDescent="0.15">
      <c r="A53" s="98" t="s">
        <v>245</v>
      </c>
      <c r="B53" s="98" t="s">
        <v>142</v>
      </c>
      <c r="C53" s="99">
        <v>1</v>
      </c>
      <c r="D53" s="100">
        <v>700</v>
      </c>
      <c r="E53" s="101">
        <v>1950</v>
      </c>
      <c r="F53" s="102">
        <f t="shared" si="0"/>
        <v>0.64102564102564108</v>
      </c>
      <c r="G53" s="103">
        <f t="shared" si="1"/>
        <v>784.00000000000011</v>
      </c>
      <c r="H53" s="103">
        <f t="shared" si="2"/>
        <v>756</v>
      </c>
      <c r="I53" s="103">
        <v>1950</v>
      </c>
      <c r="J53" s="103">
        <v>1690</v>
      </c>
      <c r="K53" s="104">
        <v>2090</v>
      </c>
      <c r="L53" s="105">
        <f t="shared" si="3"/>
        <v>0.58579881656804733</v>
      </c>
      <c r="M53" s="105">
        <f t="shared" si="10"/>
        <v>0.66507177033492826</v>
      </c>
      <c r="N53" s="103">
        <v>995</v>
      </c>
      <c r="O53" s="106">
        <f t="shared" si="4"/>
        <v>0</v>
      </c>
      <c r="P53" s="106">
        <f t="shared" si="5"/>
        <v>-7.179487179487179E-2</v>
      </c>
      <c r="Q53" s="114" t="s">
        <v>246</v>
      </c>
      <c r="R53" s="103"/>
      <c r="S53" s="108">
        <f>VLOOKUP(A53,'precios semana 2906'!A:B,2,0)</f>
        <v>700</v>
      </c>
      <c r="T53" s="109">
        <f t="shared" si="6"/>
        <v>0</v>
      </c>
      <c r="U53" s="109">
        <f t="shared" si="11"/>
        <v>-0.59794871794871796</v>
      </c>
      <c r="V53" s="109">
        <f t="shared" si="12"/>
        <v>-0.62488038277511948</v>
      </c>
      <c r="W53" s="109">
        <f t="shared" si="7"/>
        <v>-0.53609467455621296</v>
      </c>
      <c r="X53" s="110">
        <f t="shared" si="13"/>
        <v>-1306</v>
      </c>
      <c r="Y53" s="109">
        <f t="shared" si="8"/>
        <v>-0.63827751196172255</v>
      </c>
      <c r="Z53" s="109">
        <f t="shared" si="9"/>
        <v>-0.55266272189349119</v>
      </c>
      <c r="AA53" s="98"/>
      <c r="AB53" s="98"/>
      <c r="AC53" s="98"/>
      <c r="AD53" s="98"/>
      <c r="AE53" s="98"/>
      <c r="AF53" s="98"/>
      <c r="AG53" s="98"/>
    </row>
    <row r="54" spans="1:33" ht="15.75" customHeight="1" x14ac:dyDescent="0.15">
      <c r="A54" s="98" t="s">
        <v>247</v>
      </c>
      <c r="B54" s="98" t="s">
        <v>142</v>
      </c>
      <c r="C54" s="99">
        <v>0.5</v>
      </c>
      <c r="D54" s="100">
        <v>1500</v>
      </c>
      <c r="E54" s="101">
        <v>1990</v>
      </c>
      <c r="F54" s="102">
        <f t="shared" si="0"/>
        <v>0.24623115577889448</v>
      </c>
      <c r="G54" s="103">
        <f t="shared" si="1"/>
        <v>1680.0000000000002</v>
      </c>
      <c r="H54" s="103">
        <f t="shared" si="2"/>
        <v>1620</v>
      </c>
      <c r="I54" s="103">
        <v>1825</v>
      </c>
      <c r="J54" s="103">
        <v>1990</v>
      </c>
      <c r="K54" s="104">
        <v>1845</v>
      </c>
      <c r="L54" s="105">
        <f t="shared" si="3"/>
        <v>0.24623115577889448</v>
      </c>
      <c r="M54" s="105">
        <f t="shared" si="10"/>
        <v>0.18699186991869918</v>
      </c>
      <c r="N54" s="103">
        <v>1790</v>
      </c>
      <c r="O54" s="106">
        <f t="shared" si="4"/>
        <v>8.2914572864321606E-2</v>
      </c>
      <c r="P54" s="106">
        <f t="shared" si="5"/>
        <v>7.2864321608040197E-2</v>
      </c>
      <c r="Q54" s="116" t="s">
        <v>248</v>
      </c>
      <c r="R54" s="103"/>
      <c r="S54" s="108">
        <f>VLOOKUP(A54,'precios semana 2906'!A:B,2,0)</f>
        <v>1300</v>
      </c>
      <c r="T54" s="109">
        <f t="shared" si="6"/>
        <v>-0.1333333333333333</v>
      </c>
      <c r="U54" s="109">
        <f t="shared" si="11"/>
        <v>-7.9452054794520444E-2</v>
      </c>
      <c r="V54" s="109">
        <f t="shared" si="12"/>
        <v>-8.9430894308943021E-2</v>
      </c>
      <c r="W54" s="109">
        <f t="shared" si="7"/>
        <v>-0.15577889447236171</v>
      </c>
      <c r="X54" s="110">
        <f t="shared" si="13"/>
        <v>-164.99999999999977</v>
      </c>
      <c r="Y54" s="109">
        <f t="shared" si="8"/>
        <v>-0.12195121951219512</v>
      </c>
      <c r="Z54" s="109">
        <f t="shared" si="9"/>
        <v>-0.18592964824120606</v>
      </c>
      <c r="AA54" s="98"/>
      <c r="AB54" s="98"/>
      <c r="AC54" s="98"/>
      <c r="AD54" s="98"/>
      <c r="AE54" s="98"/>
      <c r="AF54" s="98"/>
      <c r="AG54" s="98"/>
    </row>
    <row r="55" spans="1:33" ht="15.75" customHeight="1" x14ac:dyDescent="0.15">
      <c r="A55" s="111" t="s">
        <v>249</v>
      </c>
      <c r="B55" s="98" t="s">
        <v>142</v>
      </c>
      <c r="C55" s="99">
        <v>0.5</v>
      </c>
      <c r="D55" s="100">
        <v>2100</v>
      </c>
      <c r="E55" s="101">
        <v>2490</v>
      </c>
      <c r="F55" s="102">
        <f t="shared" si="0"/>
        <v>0.15662650602409639</v>
      </c>
      <c r="G55" s="103">
        <f t="shared" si="1"/>
        <v>2352</v>
      </c>
      <c r="H55" s="103">
        <f t="shared" si="2"/>
        <v>2268</v>
      </c>
      <c r="I55" s="103">
        <v>2190</v>
      </c>
      <c r="J55" s="103">
        <v>2490</v>
      </c>
      <c r="K55" s="104">
        <v>2245</v>
      </c>
      <c r="L55" s="105">
        <f t="shared" si="3"/>
        <v>0.15662650602409639</v>
      </c>
      <c r="M55" s="105">
        <f t="shared" si="10"/>
        <v>6.4587973273942098E-2</v>
      </c>
      <c r="N55" s="103"/>
      <c r="O55" s="106">
        <f t="shared" si="4"/>
        <v>0.12048192771084337</v>
      </c>
      <c r="P55" s="106">
        <f t="shared" si="5"/>
        <v>9.8393574297188757E-2</v>
      </c>
      <c r="Q55" s="114" t="s">
        <v>248</v>
      </c>
      <c r="R55" s="103"/>
      <c r="S55" s="108">
        <f>VLOOKUP(A55,'precios semana 2906'!A:B,2,0)</f>
        <v>2000</v>
      </c>
      <c r="T55" s="109">
        <f t="shared" si="6"/>
        <v>-4.7619047619047672E-2</v>
      </c>
      <c r="U55" s="109">
        <f t="shared" si="11"/>
        <v>7.3972602739726057E-2</v>
      </c>
      <c r="V55" s="109">
        <f t="shared" si="12"/>
        <v>4.7661469933184764E-2</v>
      </c>
      <c r="W55" s="109">
        <f t="shared" si="7"/>
        <v>-5.5421686746987997E-2</v>
      </c>
      <c r="X55" s="110">
        <f t="shared" si="13"/>
        <v>107</v>
      </c>
      <c r="Y55" s="109">
        <f t="shared" si="8"/>
        <v>1.024498886414249E-2</v>
      </c>
      <c r="Z55" s="109">
        <f t="shared" si="9"/>
        <v>-8.9156626506024073E-2</v>
      </c>
      <c r="AA55" s="98"/>
      <c r="AB55" s="98"/>
      <c r="AC55" s="98"/>
      <c r="AD55" s="98"/>
      <c r="AE55" s="98"/>
      <c r="AF55" s="98"/>
      <c r="AG55" s="98"/>
    </row>
    <row r="56" spans="1:33" ht="15.75" customHeight="1" x14ac:dyDescent="0.15">
      <c r="A56" s="98" t="s">
        <v>250</v>
      </c>
      <c r="B56" s="98" t="s">
        <v>142</v>
      </c>
      <c r="C56" s="99">
        <v>0.5</v>
      </c>
      <c r="D56" s="100">
        <v>1200</v>
      </c>
      <c r="E56" s="101">
        <v>1395</v>
      </c>
      <c r="F56" s="102">
        <f t="shared" si="0"/>
        <v>0.13978494623655913</v>
      </c>
      <c r="G56" s="103">
        <f t="shared" si="1"/>
        <v>1344.0000000000002</v>
      </c>
      <c r="H56" s="103">
        <f t="shared" si="2"/>
        <v>1296</v>
      </c>
      <c r="I56" s="103">
        <v>1245</v>
      </c>
      <c r="J56" s="103">
        <v>1345</v>
      </c>
      <c r="K56" s="104">
        <v>1395</v>
      </c>
      <c r="L56" s="105">
        <f t="shared" si="3"/>
        <v>0.10780669144981413</v>
      </c>
      <c r="M56" s="105">
        <f t="shared" si="10"/>
        <v>0.13978494623655913</v>
      </c>
      <c r="N56" s="103">
        <v>1445</v>
      </c>
      <c r="O56" s="106">
        <f t="shared" si="4"/>
        <v>0.10752688172043011</v>
      </c>
      <c r="P56" s="106">
        <f t="shared" si="5"/>
        <v>0</v>
      </c>
      <c r="Q56" s="117" t="s">
        <v>251</v>
      </c>
      <c r="R56" s="103"/>
      <c r="S56" s="108">
        <f>VLOOKUP(A56,'precios semana 2906'!A:B,2,0)</f>
        <v>1200</v>
      </c>
      <c r="T56" s="109">
        <f t="shared" si="6"/>
        <v>0</v>
      </c>
      <c r="U56" s="109">
        <f t="shared" si="11"/>
        <v>7.951807228915686E-2</v>
      </c>
      <c r="V56" s="109">
        <f t="shared" si="12"/>
        <v>-3.6559139784946071E-2</v>
      </c>
      <c r="W56" s="109">
        <f t="shared" si="7"/>
        <v>-7.4349442379162411E-4</v>
      </c>
      <c r="X56" s="110">
        <f t="shared" si="13"/>
        <v>-50.999999999999773</v>
      </c>
      <c r="Y56" s="109">
        <f t="shared" si="8"/>
        <v>-7.096774193548383E-2</v>
      </c>
      <c r="Z56" s="109">
        <f t="shared" si="9"/>
        <v>-3.6431226765799241E-2</v>
      </c>
      <c r="AA56" s="98"/>
      <c r="AB56" s="98"/>
      <c r="AC56" s="98"/>
      <c r="AD56" s="98"/>
      <c r="AE56" s="98"/>
      <c r="AF56" s="98"/>
      <c r="AG56" s="98"/>
    </row>
    <row r="57" spans="1:33" ht="15.75" customHeight="1" x14ac:dyDescent="0.15">
      <c r="A57" s="98" t="s">
        <v>252</v>
      </c>
      <c r="B57" s="98" t="s">
        <v>116</v>
      </c>
      <c r="C57" s="99">
        <v>1</v>
      </c>
      <c r="D57" s="121">
        <v>1300</v>
      </c>
      <c r="E57" s="101">
        <v>1990</v>
      </c>
      <c r="F57" s="102">
        <f t="shared" si="0"/>
        <v>0.34673366834170855</v>
      </c>
      <c r="G57" s="103">
        <f t="shared" si="1"/>
        <v>1456.0000000000002</v>
      </c>
      <c r="H57" s="103">
        <f t="shared" si="2"/>
        <v>1404</v>
      </c>
      <c r="I57" s="103">
        <v>1260</v>
      </c>
      <c r="J57" s="103">
        <v>2490</v>
      </c>
      <c r="K57" s="104">
        <v>1505</v>
      </c>
      <c r="L57" s="105">
        <f t="shared" si="3"/>
        <v>0.47791164658634538</v>
      </c>
      <c r="M57" s="105">
        <f t="shared" si="10"/>
        <v>0.13621262458471761</v>
      </c>
      <c r="N57" s="103">
        <v>2690</v>
      </c>
      <c r="O57" s="106">
        <f t="shared" si="4"/>
        <v>0.36683417085427134</v>
      </c>
      <c r="P57" s="106">
        <f t="shared" si="5"/>
        <v>0.24371859296482412</v>
      </c>
      <c r="Q57" s="114" t="s">
        <v>253</v>
      </c>
      <c r="R57" s="103">
        <v>2690</v>
      </c>
      <c r="S57" s="108">
        <f>VLOOKUP(A57,'precios semana 2906'!A:B,2,0)</f>
        <v>1300</v>
      </c>
      <c r="T57" s="109">
        <f t="shared" si="6"/>
        <v>0</v>
      </c>
      <c r="U57" s="109">
        <f t="shared" si="11"/>
        <v>0.15555555555555567</v>
      </c>
      <c r="V57" s="109">
        <f t="shared" si="12"/>
        <v>-3.2558139534883623E-2</v>
      </c>
      <c r="W57" s="109">
        <f t="shared" si="7"/>
        <v>-0.41526104417670673</v>
      </c>
      <c r="X57" s="110">
        <f t="shared" si="13"/>
        <v>-48.999999999999773</v>
      </c>
      <c r="Y57" s="109">
        <f t="shared" si="8"/>
        <v>-6.710963455149499E-2</v>
      </c>
      <c r="Z57" s="109">
        <f t="shared" si="9"/>
        <v>-0.43614457831325304</v>
      </c>
      <c r="AA57" s="98"/>
      <c r="AB57" s="98"/>
      <c r="AC57" s="98"/>
      <c r="AD57" s="98"/>
      <c r="AE57" s="98"/>
      <c r="AF57" s="98"/>
      <c r="AG57" s="98"/>
    </row>
    <row r="58" spans="1:33" ht="15.75" customHeight="1" x14ac:dyDescent="0.15">
      <c r="A58" s="98" t="s">
        <v>254</v>
      </c>
      <c r="B58" s="98" t="s">
        <v>142</v>
      </c>
      <c r="C58" s="99">
        <v>1</v>
      </c>
      <c r="D58" s="100">
        <v>1750</v>
      </c>
      <c r="E58" s="101">
        <v>2590</v>
      </c>
      <c r="F58" s="102">
        <f t="shared" si="0"/>
        <v>0.32432432432432434</v>
      </c>
      <c r="G58" s="103">
        <f t="shared" si="1"/>
        <v>1960.0000000000002</v>
      </c>
      <c r="H58" s="103">
        <f t="shared" si="2"/>
        <v>1890.0000000000002</v>
      </c>
      <c r="I58" s="103">
        <v>1990</v>
      </c>
      <c r="J58" s="103">
        <v>2190</v>
      </c>
      <c r="K58" s="104">
        <v>2590</v>
      </c>
      <c r="L58" s="105">
        <f t="shared" si="3"/>
        <v>0.20091324200913241</v>
      </c>
      <c r="M58" s="105">
        <f t="shared" si="10"/>
        <v>0.32432432432432434</v>
      </c>
      <c r="N58" s="103">
        <v>1445</v>
      </c>
      <c r="O58" s="106">
        <f t="shared" si="4"/>
        <v>0.23166023166023167</v>
      </c>
      <c r="P58" s="106">
        <f t="shared" si="5"/>
        <v>0</v>
      </c>
      <c r="Q58" s="114" t="s">
        <v>255</v>
      </c>
      <c r="R58" s="103"/>
      <c r="S58" s="108">
        <f>VLOOKUP(A58,'precios semana 2906'!A:B,2,0)</f>
        <v>1900</v>
      </c>
      <c r="T58" s="109">
        <f t="shared" si="6"/>
        <v>8.5714285714285632E-2</v>
      </c>
      <c r="U58" s="109">
        <f t="shared" si="11"/>
        <v>-1.5075376884421954E-2</v>
      </c>
      <c r="V58" s="109">
        <f t="shared" si="12"/>
        <v>-0.2432432432432432</v>
      </c>
      <c r="W58" s="109">
        <f t="shared" si="7"/>
        <v>-0.10502283105022825</v>
      </c>
      <c r="X58" s="110">
        <f t="shared" si="13"/>
        <v>-629.99999999999977</v>
      </c>
      <c r="Y58" s="109">
        <f t="shared" si="8"/>
        <v>-0.27027027027027017</v>
      </c>
      <c r="Z58" s="109">
        <f t="shared" si="9"/>
        <v>-0.1369863013698629</v>
      </c>
      <c r="AA58" s="98"/>
      <c r="AB58" s="98"/>
      <c r="AC58" s="98"/>
      <c r="AD58" s="98"/>
      <c r="AE58" s="98"/>
      <c r="AF58" s="98"/>
      <c r="AG58" s="98"/>
    </row>
    <row r="59" spans="1:33" ht="14" x14ac:dyDescent="0.15">
      <c r="A59" s="98" t="s">
        <v>256</v>
      </c>
      <c r="B59" s="98" t="s">
        <v>142</v>
      </c>
      <c r="C59" s="99">
        <v>1</v>
      </c>
      <c r="D59" s="100">
        <v>1750</v>
      </c>
      <c r="E59" s="101">
        <v>2590</v>
      </c>
      <c r="F59" s="102">
        <f t="shared" si="0"/>
        <v>0.32432432432432434</v>
      </c>
      <c r="G59" s="103">
        <f t="shared" si="1"/>
        <v>1960.0000000000002</v>
      </c>
      <c r="H59" s="103">
        <f t="shared" si="2"/>
        <v>1890.0000000000002</v>
      </c>
      <c r="I59" s="103">
        <v>1990</v>
      </c>
      <c r="J59" s="103">
        <v>2190</v>
      </c>
      <c r="K59" s="104">
        <v>2590</v>
      </c>
      <c r="L59" s="105">
        <f t="shared" si="3"/>
        <v>0.20091324200913241</v>
      </c>
      <c r="M59" s="105">
        <f t="shared" si="10"/>
        <v>0.32432432432432434</v>
      </c>
      <c r="N59" s="103">
        <v>1445</v>
      </c>
      <c r="O59" s="106">
        <f t="shared" si="4"/>
        <v>0.23166023166023167</v>
      </c>
      <c r="P59" s="106">
        <f t="shared" si="5"/>
        <v>0</v>
      </c>
      <c r="Q59" s="114" t="s">
        <v>257</v>
      </c>
      <c r="R59" s="103"/>
      <c r="S59" s="108">
        <f>VLOOKUP(A59,'precios semana 2906'!A:B,2,0)</f>
        <v>1900</v>
      </c>
      <c r="T59" s="109">
        <f t="shared" si="6"/>
        <v>8.5714285714285632E-2</v>
      </c>
      <c r="U59" s="109">
        <f t="shared" si="11"/>
        <v>-1.5075376884421954E-2</v>
      </c>
      <c r="V59" s="109">
        <f t="shared" si="12"/>
        <v>-0.2432432432432432</v>
      </c>
      <c r="W59" s="109">
        <f t="shared" si="7"/>
        <v>-0.10502283105022825</v>
      </c>
      <c r="X59" s="110">
        <f t="shared" si="13"/>
        <v>-629.99999999999977</v>
      </c>
      <c r="Y59" s="109">
        <f t="shared" si="8"/>
        <v>-0.27027027027027017</v>
      </c>
      <c r="Z59" s="109">
        <f t="shared" si="9"/>
        <v>-0.1369863013698629</v>
      </c>
      <c r="AA59" s="98"/>
      <c r="AB59" s="98"/>
      <c r="AC59" s="98"/>
      <c r="AD59" s="98"/>
      <c r="AE59" s="98"/>
      <c r="AF59" s="98"/>
      <c r="AG59" s="98"/>
    </row>
    <row r="60" spans="1:33" ht="14" x14ac:dyDescent="0.15">
      <c r="A60" s="98" t="s">
        <v>258</v>
      </c>
      <c r="B60" s="98" t="s">
        <v>142</v>
      </c>
      <c r="C60" s="99">
        <v>1</v>
      </c>
      <c r="D60" s="100">
        <v>1750</v>
      </c>
      <c r="E60" s="101">
        <v>2590</v>
      </c>
      <c r="F60" s="102">
        <f t="shared" si="0"/>
        <v>0.32432432432432434</v>
      </c>
      <c r="G60" s="103">
        <f t="shared" si="1"/>
        <v>1960.0000000000002</v>
      </c>
      <c r="H60" s="103">
        <f t="shared" si="2"/>
        <v>1890.0000000000002</v>
      </c>
      <c r="I60" s="103">
        <v>1890</v>
      </c>
      <c r="J60" s="103">
        <v>2190</v>
      </c>
      <c r="K60" s="104">
        <v>2590</v>
      </c>
      <c r="L60" s="105">
        <f t="shared" si="3"/>
        <v>0.20091324200913241</v>
      </c>
      <c r="M60" s="105">
        <f t="shared" si="10"/>
        <v>0.32432432432432434</v>
      </c>
      <c r="N60" s="103">
        <v>1445</v>
      </c>
      <c r="O60" s="106">
        <f t="shared" si="4"/>
        <v>0.27027027027027029</v>
      </c>
      <c r="P60" s="106">
        <f t="shared" si="5"/>
        <v>0</v>
      </c>
      <c r="Q60" s="120" t="s">
        <v>259</v>
      </c>
      <c r="R60" s="103"/>
      <c r="S60" s="108">
        <f>VLOOKUP(A60,'precios semana 2906'!A:B,2,0)</f>
        <v>1900</v>
      </c>
      <c r="T60" s="109">
        <f t="shared" si="6"/>
        <v>8.5714285714285632E-2</v>
      </c>
      <c r="U60" s="109">
        <f t="shared" si="11"/>
        <v>3.7037037037037202E-2</v>
      </c>
      <c r="V60" s="109">
        <f t="shared" si="12"/>
        <v>-0.2432432432432432</v>
      </c>
      <c r="W60" s="109">
        <f t="shared" si="7"/>
        <v>-0.10502283105022825</v>
      </c>
      <c r="X60" s="110">
        <f t="shared" si="13"/>
        <v>-629.99999999999977</v>
      </c>
      <c r="Y60" s="109">
        <f t="shared" si="8"/>
        <v>-0.27027027027027017</v>
      </c>
      <c r="Z60" s="109">
        <f t="shared" si="9"/>
        <v>-0.1369863013698629</v>
      </c>
      <c r="AA60" s="98"/>
      <c r="AB60" s="98"/>
      <c r="AC60" s="98"/>
      <c r="AD60" s="98"/>
      <c r="AE60" s="98"/>
      <c r="AF60" s="98"/>
      <c r="AG60" s="98"/>
    </row>
    <row r="61" spans="1:33" ht="14" x14ac:dyDescent="0.15">
      <c r="A61" s="98" t="s">
        <v>260</v>
      </c>
      <c r="B61" s="98" t="s">
        <v>142</v>
      </c>
      <c r="C61" s="99">
        <v>0.5</v>
      </c>
      <c r="D61" s="100">
        <v>1000</v>
      </c>
      <c r="E61" s="101">
        <v>1390</v>
      </c>
      <c r="F61" s="102">
        <f t="shared" si="0"/>
        <v>0.2805755395683453</v>
      </c>
      <c r="G61" s="103">
        <f t="shared" si="1"/>
        <v>1120</v>
      </c>
      <c r="H61" s="103">
        <f t="shared" si="2"/>
        <v>1080</v>
      </c>
      <c r="I61" s="103">
        <v>1295</v>
      </c>
      <c r="J61" s="103">
        <v>1690</v>
      </c>
      <c r="K61" s="104"/>
      <c r="L61" s="105">
        <f t="shared" si="3"/>
        <v>0.40828402366863903</v>
      </c>
      <c r="M61" s="105"/>
      <c r="N61" s="103"/>
      <c r="O61" s="106">
        <f t="shared" si="4"/>
        <v>6.83453237410072E-2</v>
      </c>
      <c r="P61" s="106">
        <f t="shared" si="5"/>
        <v>1</v>
      </c>
      <c r="Q61" s="114" t="s">
        <v>261</v>
      </c>
      <c r="R61" s="103"/>
      <c r="S61" s="108" t="str">
        <f>VLOOKUP(A61,'precios semana 2906'!A:B,2,0)</f>
        <v>Borrar/ fuera de temp.</v>
      </c>
      <c r="T61" s="109" t="e">
        <f t="shared" si="6"/>
        <v>#VALUE!</v>
      </c>
      <c r="U61" s="109">
        <f t="shared" si="11"/>
        <v>-0.13513513513513509</v>
      </c>
      <c r="V61" s="109"/>
      <c r="W61" s="109">
        <f t="shared" si="7"/>
        <v>-0.33727810650887569</v>
      </c>
      <c r="X61" s="110"/>
      <c r="Y61" s="109" t="e">
        <f t="shared" si="8"/>
        <v>#DIV/0!</v>
      </c>
      <c r="Z61" s="109">
        <f t="shared" si="9"/>
        <v>-0.36094674556213013</v>
      </c>
      <c r="AA61" s="98"/>
      <c r="AB61" s="98"/>
      <c r="AC61" s="98"/>
      <c r="AD61" s="98"/>
      <c r="AE61" s="98"/>
      <c r="AF61" s="98"/>
      <c r="AG61" s="98"/>
    </row>
    <row r="62" spans="1:33" ht="15" x14ac:dyDescent="0.2">
      <c r="A62" s="98" t="s">
        <v>262</v>
      </c>
      <c r="B62" s="98" t="s">
        <v>142</v>
      </c>
      <c r="C62" s="99">
        <v>1</v>
      </c>
      <c r="D62" s="100">
        <v>1350</v>
      </c>
      <c r="E62" s="101">
        <v>2290</v>
      </c>
      <c r="F62" s="102">
        <f t="shared" si="0"/>
        <v>0.41048034934497818</v>
      </c>
      <c r="G62" s="103">
        <f t="shared" si="1"/>
        <v>1512.0000000000002</v>
      </c>
      <c r="H62" s="103">
        <f t="shared" si="2"/>
        <v>1458</v>
      </c>
      <c r="I62" s="103">
        <v>2790</v>
      </c>
      <c r="J62" s="103">
        <v>2290</v>
      </c>
      <c r="K62" s="104">
        <v>2890</v>
      </c>
      <c r="L62" s="105">
        <f t="shared" si="3"/>
        <v>0.41048034934497818</v>
      </c>
      <c r="M62" s="105">
        <f t="shared" ref="M62:M73" si="14">(K62-D62)/K62</f>
        <v>0.53287197231833905</v>
      </c>
      <c r="N62" s="103">
        <v>1445</v>
      </c>
      <c r="O62" s="106">
        <f t="shared" si="4"/>
        <v>-0.2183406113537118</v>
      </c>
      <c r="P62" s="106">
        <f t="shared" si="5"/>
        <v>-0.26200873362445415</v>
      </c>
      <c r="Q62" s="118" t="s">
        <v>263</v>
      </c>
      <c r="R62" s="103"/>
      <c r="S62" s="108">
        <f>VLOOKUP(A62,'precios semana 2906'!A:B,2,0)</f>
        <v>1350</v>
      </c>
      <c r="T62" s="109">
        <f t="shared" si="6"/>
        <v>0</v>
      </c>
      <c r="U62" s="109">
        <f t="shared" si="11"/>
        <v>-0.45806451612903221</v>
      </c>
      <c r="V62" s="109">
        <f t="shared" ref="V62:V112" si="15">G62/K62-1</f>
        <v>-0.47681660899653966</v>
      </c>
      <c r="W62" s="109">
        <f t="shared" si="7"/>
        <v>-0.33973799126637549</v>
      </c>
      <c r="X62" s="110">
        <f t="shared" ref="X62:X73" si="16">G62-K62</f>
        <v>-1377.9999999999998</v>
      </c>
      <c r="Y62" s="109">
        <f t="shared" si="8"/>
        <v>-0.49550173010380627</v>
      </c>
      <c r="Z62" s="109">
        <f t="shared" si="9"/>
        <v>-0.36331877729257644</v>
      </c>
      <c r="AA62" s="98"/>
      <c r="AB62" s="98"/>
      <c r="AC62" s="98"/>
      <c r="AD62" s="98"/>
      <c r="AE62" s="98"/>
      <c r="AF62" s="98"/>
      <c r="AG62" s="98"/>
    </row>
    <row r="63" spans="1:33" ht="15" x14ac:dyDescent="0.2">
      <c r="A63" s="98" t="s">
        <v>264</v>
      </c>
      <c r="B63" s="98" t="s">
        <v>142</v>
      </c>
      <c r="C63" s="99">
        <v>1</v>
      </c>
      <c r="D63" s="100">
        <v>5500</v>
      </c>
      <c r="E63" s="101">
        <v>6500</v>
      </c>
      <c r="F63" s="102">
        <f t="shared" si="0"/>
        <v>0.15384615384615385</v>
      </c>
      <c r="G63" s="103">
        <f t="shared" si="1"/>
        <v>6160.0000000000009</v>
      </c>
      <c r="H63" s="103">
        <f t="shared" si="2"/>
        <v>5940</v>
      </c>
      <c r="I63" s="103">
        <v>5990</v>
      </c>
      <c r="J63" s="103">
        <v>5990</v>
      </c>
      <c r="K63" s="104">
        <v>6490</v>
      </c>
      <c r="L63" s="105">
        <f t="shared" si="3"/>
        <v>8.1803005008347252E-2</v>
      </c>
      <c r="M63" s="105">
        <f t="shared" si="14"/>
        <v>0.15254237288135594</v>
      </c>
      <c r="N63" s="103">
        <v>6490</v>
      </c>
      <c r="O63" s="106">
        <f t="shared" si="4"/>
        <v>7.8461538461538458E-2</v>
      </c>
      <c r="P63" s="106">
        <f t="shared" si="5"/>
        <v>1.5384615384615385E-3</v>
      </c>
      <c r="Q63" s="118" t="s">
        <v>265</v>
      </c>
      <c r="R63" s="103"/>
      <c r="S63" s="108" t="e">
        <f>VLOOKUP(A63,'precios semana 2906'!A:B,2,0)</f>
        <v>#N/A</v>
      </c>
      <c r="T63" s="109" t="e">
        <f t="shared" si="6"/>
        <v>#N/A</v>
      </c>
      <c r="U63" s="109">
        <f t="shared" si="11"/>
        <v>2.8380634390651194E-2</v>
      </c>
      <c r="V63" s="109">
        <f t="shared" si="15"/>
        <v>-5.0847457627118509E-2</v>
      </c>
      <c r="W63" s="109">
        <f t="shared" si="7"/>
        <v>2.8380634390651194E-2</v>
      </c>
      <c r="X63" s="110">
        <f t="shared" si="16"/>
        <v>-329.99999999999909</v>
      </c>
      <c r="Y63" s="109">
        <f t="shared" si="8"/>
        <v>-8.4745762711864403E-2</v>
      </c>
      <c r="Z63" s="109">
        <f t="shared" si="9"/>
        <v>-8.3472454090149917E-3</v>
      </c>
      <c r="AA63" s="98"/>
      <c r="AB63" s="98"/>
      <c r="AC63" s="98"/>
      <c r="AD63" s="98"/>
      <c r="AE63" s="98"/>
      <c r="AF63" s="98"/>
      <c r="AG63" s="98"/>
    </row>
    <row r="64" spans="1:33" ht="15" x14ac:dyDescent="0.2">
      <c r="A64" s="111" t="s">
        <v>266</v>
      </c>
      <c r="B64" s="98" t="s">
        <v>142</v>
      </c>
      <c r="C64" s="99">
        <v>1</v>
      </c>
      <c r="D64" s="100">
        <v>4300</v>
      </c>
      <c r="E64" s="101">
        <v>5300</v>
      </c>
      <c r="F64" s="102">
        <f t="shared" si="0"/>
        <v>0.18867924528301888</v>
      </c>
      <c r="G64" s="103">
        <f t="shared" si="1"/>
        <v>4816.0000000000009</v>
      </c>
      <c r="H64" s="103">
        <f t="shared" si="2"/>
        <v>4644</v>
      </c>
      <c r="I64" s="103">
        <v>2857</v>
      </c>
      <c r="J64" s="103"/>
      <c r="K64" s="104">
        <v>2890</v>
      </c>
      <c r="L64" s="105"/>
      <c r="M64" s="105">
        <f t="shared" si="14"/>
        <v>-0.48788927335640137</v>
      </c>
      <c r="N64" s="103" t="s">
        <v>184</v>
      </c>
      <c r="O64" s="106">
        <f t="shared" si="4"/>
        <v>0.46094339622641511</v>
      </c>
      <c r="P64" s="106">
        <f t="shared" si="5"/>
        <v>0.45471698113207548</v>
      </c>
      <c r="Q64" s="118" t="s">
        <v>267</v>
      </c>
      <c r="R64" s="103"/>
      <c r="S64" s="108">
        <f>VLOOKUP(A64,'precios semana 2906'!A:B,2,0)</f>
        <v>4000</v>
      </c>
      <c r="T64" s="109">
        <f t="shared" si="6"/>
        <v>-6.9767441860465129E-2</v>
      </c>
      <c r="U64" s="109">
        <f t="shared" si="11"/>
        <v>0.68568428421421102</v>
      </c>
      <c r="V64" s="109">
        <f t="shared" si="15"/>
        <v>0.66643598615916977</v>
      </c>
      <c r="W64" s="109"/>
      <c r="X64" s="110">
        <f t="shared" si="16"/>
        <v>1926.0000000000009</v>
      </c>
      <c r="Y64" s="109">
        <f t="shared" si="8"/>
        <v>0.60692041522491347</v>
      </c>
      <c r="Z64" s="109" t="e">
        <f t="shared" si="9"/>
        <v>#DIV/0!</v>
      </c>
      <c r="AA64" s="98"/>
      <c r="AB64" s="98"/>
      <c r="AC64" s="98"/>
      <c r="AD64" s="98"/>
      <c r="AE64" s="98"/>
      <c r="AF64" s="98"/>
      <c r="AG64" s="98"/>
    </row>
    <row r="65" spans="1:33" ht="15" x14ac:dyDescent="0.2">
      <c r="A65" s="111" t="s">
        <v>268</v>
      </c>
      <c r="B65" s="98" t="s">
        <v>142</v>
      </c>
      <c r="C65" s="99">
        <v>0.5</v>
      </c>
      <c r="D65" s="100">
        <v>1000</v>
      </c>
      <c r="E65" s="101">
        <v>2290</v>
      </c>
      <c r="F65" s="102">
        <f t="shared" si="0"/>
        <v>0.5633187772925764</v>
      </c>
      <c r="G65" s="103">
        <f t="shared" si="1"/>
        <v>1120</v>
      </c>
      <c r="H65" s="103">
        <f t="shared" si="2"/>
        <v>1080</v>
      </c>
      <c r="I65" s="103">
        <v>1075</v>
      </c>
      <c r="J65" s="103">
        <v>1145</v>
      </c>
      <c r="K65" s="104">
        <v>1095</v>
      </c>
      <c r="L65" s="105">
        <f t="shared" ref="L65:L74" si="17">(J65-D65)/J65</f>
        <v>0.12663755458515283</v>
      </c>
      <c r="M65" s="105">
        <f t="shared" si="14"/>
        <v>8.6757990867579904E-2</v>
      </c>
      <c r="N65" s="103">
        <v>1345</v>
      </c>
      <c r="O65" s="106">
        <f t="shared" si="4"/>
        <v>0.53056768558951961</v>
      </c>
      <c r="P65" s="106">
        <f t="shared" si="5"/>
        <v>0.52183406113537123</v>
      </c>
      <c r="Q65" s="118" t="s">
        <v>269</v>
      </c>
      <c r="R65" s="103"/>
      <c r="S65" s="108">
        <f>VLOOKUP(A65,'precios semana 2906'!A:B,2,0)</f>
        <v>1800</v>
      </c>
      <c r="T65" s="109">
        <f t="shared" si="6"/>
        <v>0.8</v>
      </c>
      <c r="U65" s="109">
        <f t="shared" si="11"/>
        <v>4.1860465116279055E-2</v>
      </c>
      <c r="V65" s="109">
        <f t="shared" si="15"/>
        <v>2.2831050228310446E-2</v>
      </c>
      <c r="W65" s="109">
        <f t="shared" ref="W65:W74" si="18">G65/J65-1</f>
        <v>-2.183406113537123E-2</v>
      </c>
      <c r="X65" s="110">
        <f t="shared" si="16"/>
        <v>25</v>
      </c>
      <c r="Y65" s="109">
        <f t="shared" si="8"/>
        <v>-1.3698630136986356E-2</v>
      </c>
      <c r="Z65" s="109">
        <f t="shared" si="9"/>
        <v>-5.6768558951965087E-2</v>
      </c>
      <c r="AA65" s="98"/>
      <c r="AB65" s="98"/>
      <c r="AC65" s="98"/>
      <c r="AD65" s="98"/>
      <c r="AE65" s="98"/>
      <c r="AF65" s="98"/>
      <c r="AG65" s="98"/>
    </row>
    <row r="66" spans="1:33" ht="15" x14ac:dyDescent="0.2">
      <c r="A66" s="98" t="s">
        <v>270</v>
      </c>
      <c r="B66" s="98" t="s">
        <v>142</v>
      </c>
      <c r="C66" s="99">
        <v>0.5</v>
      </c>
      <c r="D66" s="100">
        <v>1000</v>
      </c>
      <c r="E66" s="101">
        <v>1645</v>
      </c>
      <c r="F66" s="102">
        <f t="shared" si="0"/>
        <v>0.39209726443769</v>
      </c>
      <c r="G66" s="103">
        <f t="shared" si="1"/>
        <v>1120</v>
      </c>
      <c r="H66" s="103">
        <f t="shared" si="2"/>
        <v>1080</v>
      </c>
      <c r="I66" s="103">
        <v>1645</v>
      </c>
      <c r="J66" s="103">
        <v>1245</v>
      </c>
      <c r="K66" s="104">
        <v>1745</v>
      </c>
      <c r="L66" s="105">
        <f t="shared" si="17"/>
        <v>0.19678714859437751</v>
      </c>
      <c r="M66" s="105">
        <f t="shared" si="14"/>
        <v>0.42693409742120342</v>
      </c>
      <c r="N66" s="103">
        <v>1695</v>
      </c>
      <c r="O66" s="106">
        <f t="shared" si="4"/>
        <v>0</v>
      </c>
      <c r="P66" s="106">
        <f t="shared" si="5"/>
        <v>-6.0790273556231005E-2</v>
      </c>
      <c r="Q66" s="118" t="s">
        <v>271</v>
      </c>
      <c r="R66" s="103"/>
      <c r="S66" s="108">
        <f>VLOOKUP(A66,'precios semana 2906'!A:B,2,0)</f>
        <v>2000</v>
      </c>
      <c r="T66" s="109">
        <f t="shared" si="6"/>
        <v>1</v>
      </c>
      <c r="U66" s="109">
        <f t="shared" si="11"/>
        <v>-0.31914893617021278</v>
      </c>
      <c r="V66" s="109">
        <f t="shared" si="15"/>
        <v>-0.3581661891117478</v>
      </c>
      <c r="W66" s="109">
        <f t="shared" si="18"/>
        <v>-0.10040160642570284</v>
      </c>
      <c r="X66" s="110">
        <f t="shared" si="16"/>
        <v>-625</v>
      </c>
      <c r="Y66" s="109">
        <f t="shared" si="8"/>
        <v>-0.38108882521489973</v>
      </c>
      <c r="Z66" s="109">
        <f t="shared" si="9"/>
        <v>-0.13253012048192769</v>
      </c>
      <c r="AA66" s="98"/>
      <c r="AB66" s="98"/>
      <c r="AC66" s="98"/>
      <c r="AD66" s="98"/>
      <c r="AE66" s="98"/>
      <c r="AF66" s="98"/>
      <c r="AG66" s="98"/>
    </row>
    <row r="67" spans="1:33" ht="15" x14ac:dyDescent="0.2">
      <c r="A67" s="111" t="s">
        <v>272</v>
      </c>
      <c r="B67" s="98" t="s">
        <v>116</v>
      </c>
      <c r="C67" s="99">
        <v>1</v>
      </c>
      <c r="D67" s="100">
        <v>2900</v>
      </c>
      <c r="E67" s="101">
        <v>3490</v>
      </c>
      <c r="F67" s="102">
        <f t="shared" si="0"/>
        <v>0.16905444126074498</v>
      </c>
      <c r="G67" s="103">
        <f t="shared" si="1"/>
        <v>3248.0000000000005</v>
      </c>
      <c r="H67" s="103">
        <f t="shared" si="2"/>
        <v>3132</v>
      </c>
      <c r="I67" s="103">
        <v>2590</v>
      </c>
      <c r="J67" s="103">
        <v>3490</v>
      </c>
      <c r="K67" s="104">
        <v>2690</v>
      </c>
      <c r="L67" s="105">
        <f t="shared" si="17"/>
        <v>0.16905444126074498</v>
      </c>
      <c r="M67" s="105">
        <f t="shared" si="14"/>
        <v>-7.8066914498141265E-2</v>
      </c>
      <c r="N67" s="103">
        <v>3990</v>
      </c>
      <c r="O67" s="106">
        <f t="shared" si="4"/>
        <v>0.25787965616045844</v>
      </c>
      <c r="P67" s="106">
        <f t="shared" si="5"/>
        <v>0.22922636103151864</v>
      </c>
      <c r="Q67" s="118" t="s">
        <v>273</v>
      </c>
      <c r="R67" s="103"/>
      <c r="S67" s="108">
        <f>VLOOKUP(A67,'precios semana 2906'!A:B,2,0)</f>
        <v>3000</v>
      </c>
      <c r="T67" s="109">
        <f t="shared" si="6"/>
        <v>3.4482758620689724E-2</v>
      </c>
      <c r="U67" s="109">
        <f t="shared" si="11"/>
        <v>0.25405405405405412</v>
      </c>
      <c r="V67" s="109">
        <f t="shared" si="15"/>
        <v>0.20743494423791842</v>
      </c>
      <c r="W67" s="109">
        <f t="shared" si="18"/>
        <v>-6.9340974212034223E-2</v>
      </c>
      <c r="X67" s="110">
        <f t="shared" si="16"/>
        <v>558.00000000000045</v>
      </c>
      <c r="Y67" s="109">
        <f t="shared" si="8"/>
        <v>0.16431226765799267</v>
      </c>
      <c r="Z67" s="109">
        <f t="shared" si="9"/>
        <v>-0.10257879656160462</v>
      </c>
      <c r="AA67" s="98"/>
      <c r="AB67" s="98"/>
      <c r="AC67" s="98"/>
      <c r="AD67" s="98"/>
      <c r="AE67" s="98"/>
      <c r="AF67" s="98"/>
      <c r="AG67" s="98"/>
    </row>
    <row r="68" spans="1:33" ht="15" x14ac:dyDescent="0.2">
      <c r="A68" s="98" t="s">
        <v>274</v>
      </c>
      <c r="B68" s="98" t="s">
        <v>142</v>
      </c>
      <c r="C68" s="99">
        <v>1</v>
      </c>
      <c r="D68" s="100">
        <v>1300</v>
      </c>
      <c r="E68" s="101">
        <v>1790</v>
      </c>
      <c r="F68" s="102">
        <f t="shared" si="0"/>
        <v>0.27374301675977653</v>
      </c>
      <c r="G68" s="103">
        <f t="shared" si="1"/>
        <v>1456.0000000000002</v>
      </c>
      <c r="H68" s="103">
        <f t="shared" si="2"/>
        <v>1404</v>
      </c>
      <c r="I68" s="103">
        <v>1450</v>
      </c>
      <c r="J68" s="103">
        <v>1990</v>
      </c>
      <c r="K68" s="104">
        <v>1590</v>
      </c>
      <c r="L68" s="105">
        <f t="shared" si="17"/>
        <v>0.34673366834170855</v>
      </c>
      <c r="M68" s="105">
        <f t="shared" si="14"/>
        <v>0.18238993710691823</v>
      </c>
      <c r="N68" s="103">
        <v>1990</v>
      </c>
      <c r="O68" s="106">
        <f t="shared" si="4"/>
        <v>0.18994413407821228</v>
      </c>
      <c r="P68" s="106">
        <f t="shared" si="5"/>
        <v>0.11173184357541899</v>
      </c>
      <c r="Q68" s="118" t="s">
        <v>275</v>
      </c>
      <c r="R68" s="103"/>
      <c r="S68" s="108">
        <f>VLOOKUP(A68,'precios semana 2906'!A:B,2,0)</f>
        <v>1400</v>
      </c>
      <c r="T68" s="109">
        <f t="shared" si="6"/>
        <v>7.6923076923076872E-2</v>
      </c>
      <c r="U68" s="109">
        <f t="shared" si="11"/>
        <v>4.1379310344829001E-3</v>
      </c>
      <c r="V68" s="109">
        <f t="shared" si="15"/>
        <v>-8.4276729559748298E-2</v>
      </c>
      <c r="W68" s="109">
        <f t="shared" si="18"/>
        <v>-0.26834170854271344</v>
      </c>
      <c r="X68" s="110">
        <f t="shared" si="16"/>
        <v>-133.99999999999977</v>
      </c>
      <c r="Y68" s="109">
        <f t="shared" si="8"/>
        <v>-0.11698113207547167</v>
      </c>
      <c r="Z68" s="109">
        <f t="shared" si="9"/>
        <v>-0.29447236180904524</v>
      </c>
      <c r="AA68" s="98"/>
      <c r="AB68" s="98"/>
      <c r="AC68" s="98"/>
      <c r="AD68" s="98"/>
      <c r="AE68" s="98"/>
      <c r="AF68" s="98"/>
      <c r="AG68" s="98"/>
    </row>
    <row r="69" spans="1:33" ht="15" x14ac:dyDescent="0.2">
      <c r="A69" s="111" t="s">
        <v>276</v>
      </c>
      <c r="B69" s="98" t="s">
        <v>142</v>
      </c>
      <c r="C69" s="99">
        <v>0.5</v>
      </c>
      <c r="D69" s="100">
        <v>900</v>
      </c>
      <c r="E69" s="101">
        <v>1075</v>
      </c>
      <c r="F69" s="102">
        <f t="shared" si="0"/>
        <v>0.16279069767441862</v>
      </c>
      <c r="G69" s="103">
        <f t="shared" si="1"/>
        <v>1008.0000000000001</v>
      </c>
      <c r="H69" s="103">
        <f t="shared" si="2"/>
        <v>972.00000000000011</v>
      </c>
      <c r="I69" s="103">
        <v>1075</v>
      </c>
      <c r="J69" s="103">
        <v>745</v>
      </c>
      <c r="K69" s="104">
        <v>965</v>
      </c>
      <c r="L69" s="105">
        <f t="shared" si="17"/>
        <v>-0.20805369127516779</v>
      </c>
      <c r="M69" s="105">
        <f t="shared" si="14"/>
        <v>6.7357512953367879E-2</v>
      </c>
      <c r="N69" s="103">
        <v>3190</v>
      </c>
      <c r="O69" s="106">
        <f t="shared" si="4"/>
        <v>0</v>
      </c>
      <c r="P69" s="106">
        <f t="shared" si="5"/>
        <v>0.10232558139534884</v>
      </c>
      <c r="Q69" s="118" t="s">
        <v>277</v>
      </c>
      <c r="R69" s="103">
        <v>1595</v>
      </c>
      <c r="S69" s="108">
        <f>VLOOKUP(A69,'precios semana 2906'!A:B,2,0)</f>
        <v>900</v>
      </c>
      <c r="T69" s="109">
        <f t="shared" si="6"/>
        <v>0</v>
      </c>
      <c r="U69" s="109">
        <f t="shared" si="11"/>
        <v>-6.2325581395348717E-2</v>
      </c>
      <c r="V69" s="109">
        <f t="shared" si="15"/>
        <v>4.4559585492228049E-2</v>
      </c>
      <c r="W69" s="109">
        <f t="shared" si="18"/>
        <v>0.35302013422818801</v>
      </c>
      <c r="X69" s="110">
        <f t="shared" si="16"/>
        <v>43.000000000000114</v>
      </c>
      <c r="Y69" s="109">
        <f t="shared" si="8"/>
        <v>7.2538860103628089E-3</v>
      </c>
      <c r="Z69" s="109">
        <f t="shared" si="9"/>
        <v>0.30469798657718128</v>
      </c>
      <c r="AA69" s="98"/>
      <c r="AB69" s="98"/>
      <c r="AC69" s="98"/>
      <c r="AD69" s="98"/>
      <c r="AE69" s="98"/>
      <c r="AF69" s="98"/>
      <c r="AG69" s="98"/>
    </row>
    <row r="70" spans="1:33" ht="15" x14ac:dyDescent="0.2">
      <c r="A70" s="111" t="s">
        <v>278</v>
      </c>
      <c r="B70" s="98" t="s">
        <v>142</v>
      </c>
      <c r="C70" s="99">
        <v>0.5</v>
      </c>
      <c r="D70" s="100">
        <v>1800</v>
      </c>
      <c r="E70" s="101">
        <v>1995</v>
      </c>
      <c r="F70" s="102">
        <f t="shared" si="0"/>
        <v>9.7744360902255634E-2</v>
      </c>
      <c r="G70" s="103">
        <f t="shared" si="1"/>
        <v>2016.0000000000002</v>
      </c>
      <c r="H70" s="103">
        <f t="shared" si="2"/>
        <v>1944.0000000000002</v>
      </c>
      <c r="I70" s="103">
        <v>1645</v>
      </c>
      <c r="J70" s="103">
        <v>1995</v>
      </c>
      <c r="K70" s="104">
        <v>1995</v>
      </c>
      <c r="L70" s="105">
        <f t="shared" si="17"/>
        <v>9.7744360902255634E-2</v>
      </c>
      <c r="M70" s="105">
        <f t="shared" si="14"/>
        <v>9.7744360902255634E-2</v>
      </c>
      <c r="N70" s="103"/>
      <c r="O70" s="106">
        <f t="shared" si="4"/>
        <v>0.17543859649122806</v>
      </c>
      <c r="P70" s="106">
        <f t="shared" si="5"/>
        <v>0</v>
      </c>
      <c r="Q70" s="118" t="s">
        <v>279</v>
      </c>
      <c r="R70" s="103"/>
      <c r="S70" s="108">
        <f>VLOOKUP(A70,'precios semana 2906'!A:B,2,0)</f>
        <v>2000</v>
      </c>
      <c r="T70" s="109">
        <f t="shared" si="6"/>
        <v>0.11111111111111116</v>
      </c>
      <c r="U70" s="109">
        <f t="shared" si="11"/>
        <v>0.22553191489361724</v>
      </c>
      <c r="V70" s="109">
        <f t="shared" si="15"/>
        <v>1.0526315789473717E-2</v>
      </c>
      <c r="W70" s="109">
        <f t="shared" si="18"/>
        <v>1.0526315789473717E-2</v>
      </c>
      <c r="X70" s="110">
        <f t="shared" si="16"/>
        <v>21.000000000000227</v>
      </c>
      <c r="Y70" s="109">
        <f t="shared" si="8"/>
        <v>-2.5563909774436011E-2</v>
      </c>
      <c r="Z70" s="109">
        <f t="shared" si="9"/>
        <v>-2.5563909774436011E-2</v>
      </c>
      <c r="AA70" s="98"/>
      <c r="AB70" s="98"/>
      <c r="AC70" s="98"/>
      <c r="AD70" s="98"/>
      <c r="AE70" s="98"/>
      <c r="AF70" s="98"/>
      <c r="AG70" s="98"/>
    </row>
    <row r="71" spans="1:33" ht="15" x14ac:dyDescent="0.2">
      <c r="A71" s="98" t="s">
        <v>280</v>
      </c>
      <c r="B71" s="98" t="s">
        <v>142</v>
      </c>
      <c r="C71" s="99">
        <v>0.5</v>
      </c>
      <c r="D71" s="100">
        <v>900</v>
      </c>
      <c r="E71" s="101">
        <v>2245</v>
      </c>
      <c r="F71" s="102">
        <f t="shared" si="0"/>
        <v>0.59910913140311806</v>
      </c>
      <c r="G71" s="103">
        <f t="shared" si="1"/>
        <v>1008.0000000000001</v>
      </c>
      <c r="H71" s="103">
        <f t="shared" si="2"/>
        <v>972.00000000000011</v>
      </c>
      <c r="I71" s="103"/>
      <c r="J71" s="103">
        <v>4490</v>
      </c>
      <c r="K71" s="104">
        <v>2245</v>
      </c>
      <c r="L71" s="105">
        <f t="shared" si="17"/>
        <v>0.79955456570155903</v>
      </c>
      <c r="M71" s="105">
        <f t="shared" si="14"/>
        <v>0.59910913140311806</v>
      </c>
      <c r="N71" s="103"/>
      <c r="O71" s="106"/>
      <c r="P71" s="106">
        <f t="shared" si="5"/>
        <v>0</v>
      </c>
      <c r="Q71" s="118" t="s">
        <v>281</v>
      </c>
      <c r="R71" s="103"/>
      <c r="S71" s="108">
        <f>VLOOKUP(A71,'precios semana 2906'!A:B,2,0)</f>
        <v>1400</v>
      </c>
      <c r="T71" s="109">
        <f t="shared" si="6"/>
        <v>0.55555555555555558</v>
      </c>
      <c r="U71" s="109" t="e">
        <f t="shared" si="11"/>
        <v>#DIV/0!</v>
      </c>
      <c r="V71" s="109">
        <f t="shared" si="15"/>
        <v>-0.55100222717149216</v>
      </c>
      <c r="W71" s="109">
        <f t="shared" si="18"/>
        <v>-0.77550111358574614</v>
      </c>
      <c r="X71" s="110">
        <f t="shared" si="16"/>
        <v>-1237</v>
      </c>
      <c r="Y71" s="109">
        <f t="shared" si="8"/>
        <v>-0.56703786191536742</v>
      </c>
      <c r="Z71" s="109">
        <f t="shared" si="9"/>
        <v>-0.78351893095768377</v>
      </c>
      <c r="AA71" s="98"/>
      <c r="AB71" s="98"/>
      <c r="AC71" s="98"/>
      <c r="AD71" s="98"/>
      <c r="AE71" s="98"/>
      <c r="AF71" s="98"/>
      <c r="AG71" s="98"/>
    </row>
    <row r="72" spans="1:33" ht="15" x14ac:dyDescent="0.2">
      <c r="A72" s="98" t="s">
        <v>282</v>
      </c>
      <c r="B72" s="98" t="s">
        <v>142</v>
      </c>
      <c r="C72" s="99">
        <v>0.5</v>
      </c>
      <c r="D72" s="100">
        <v>2000</v>
      </c>
      <c r="E72" s="101">
        <v>3495</v>
      </c>
      <c r="F72" s="102">
        <f t="shared" si="0"/>
        <v>0.42775393419170243</v>
      </c>
      <c r="G72" s="103">
        <f t="shared" si="1"/>
        <v>2240</v>
      </c>
      <c r="H72" s="103">
        <f t="shared" si="2"/>
        <v>2160</v>
      </c>
      <c r="I72" s="103">
        <v>3884</v>
      </c>
      <c r="J72" s="103">
        <v>4490</v>
      </c>
      <c r="K72" s="104">
        <v>3495</v>
      </c>
      <c r="L72" s="105">
        <f t="shared" si="17"/>
        <v>0.55456570155902007</v>
      </c>
      <c r="M72" s="105">
        <f t="shared" si="14"/>
        <v>0.42775393419170243</v>
      </c>
      <c r="N72" s="103"/>
      <c r="O72" s="106">
        <f t="shared" ref="O72:O74" si="19">(E72-I72)/E72</f>
        <v>-0.11130185979971388</v>
      </c>
      <c r="P72" s="106">
        <f t="shared" si="5"/>
        <v>0</v>
      </c>
      <c r="Q72" s="118" t="s">
        <v>283</v>
      </c>
      <c r="R72" s="103"/>
      <c r="S72" s="108">
        <f>VLOOKUP(A72,'precios semana 2906'!A:B,2,0)</f>
        <v>2000</v>
      </c>
      <c r="T72" s="109">
        <f t="shared" si="6"/>
        <v>0</v>
      </c>
      <c r="U72" s="109">
        <f t="shared" si="11"/>
        <v>-0.42327497425334704</v>
      </c>
      <c r="V72" s="109">
        <f t="shared" si="15"/>
        <v>-0.35908440629470673</v>
      </c>
      <c r="W72" s="109">
        <f t="shared" si="18"/>
        <v>-0.50111358574610243</v>
      </c>
      <c r="X72" s="110">
        <f t="shared" si="16"/>
        <v>-1255</v>
      </c>
      <c r="Y72" s="109">
        <f t="shared" si="8"/>
        <v>-0.38197424892703857</v>
      </c>
      <c r="Z72" s="109">
        <f t="shared" si="9"/>
        <v>-0.51893095768374164</v>
      </c>
      <c r="AA72" s="98"/>
      <c r="AB72" s="98"/>
      <c r="AC72" s="98"/>
      <c r="AD72" s="98"/>
      <c r="AE72" s="98"/>
      <c r="AF72" s="98"/>
      <c r="AG72" s="98"/>
    </row>
    <row r="73" spans="1:33" ht="15" x14ac:dyDescent="0.2">
      <c r="A73" s="111" t="s">
        <v>284</v>
      </c>
      <c r="B73" s="98" t="s">
        <v>142</v>
      </c>
      <c r="C73" s="99">
        <v>0.1</v>
      </c>
      <c r="D73" s="100">
        <v>1900</v>
      </c>
      <c r="E73" s="122">
        <v>2200</v>
      </c>
      <c r="F73" s="102">
        <f t="shared" si="0"/>
        <v>0.13636363636363635</v>
      </c>
      <c r="G73" s="103">
        <f t="shared" si="1"/>
        <v>2128</v>
      </c>
      <c r="H73" s="103">
        <f t="shared" si="2"/>
        <v>2052</v>
      </c>
      <c r="I73" s="103">
        <f>14700*0.1</f>
        <v>1470</v>
      </c>
      <c r="J73" s="103">
        <v>1699</v>
      </c>
      <c r="K73" s="104">
        <f>15414*0.1</f>
        <v>1541.4</v>
      </c>
      <c r="L73" s="105">
        <f t="shared" si="17"/>
        <v>-0.11830488522660389</v>
      </c>
      <c r="M73" s="105">
        <f t="shared" si="14"/>
        <v>-0.23264564681458408</v>
      </c>
      <c r="N73" s="103">
        <f>7990/5</f>
        <v>1598</v>
      </c>
      <c r="O73" s="106">
        <f t="shared" si="19"/>
        <v>0.33181818181818185</v>
      </c>
      <c r="P73" s="106">
        <f t="shared" si="5"/>
        <v>0.29936363636363633</v>
      </c>
      <c r="Q73" s="118" t="s">
        <v>285</v>
      </c>
      <c r="R73" s="103"/>
      <c r="S73" s="108">
        <f>VLOOKUP(A73,'precios semana 2906'!A:B,2,0)</f>
        <v>1900</v>
      </c>
      <c r="T73" s="109">
        <f t="shared" si="6"/>
        <v>0</v>
      </c>
      <c r="U73" s="109">
        <f t="shared" si="11"/>
        <v>0.44761904761904758</v>
      </c>
      <c r="V73" s="109">
        <f t="shared" si="15"/>
        <v>0.3805631244323342</v>
      </c>
      <c r="W73" s="109">
        <f t="shared" si="18"/>
        <v>0.25250147145379631</v>
      </c>
      <c r="X73" s="110">
        <f t="shared" si="16"/>
        <v>586.59999999999991</v>
      </c>
      <c r="Y73" s="109">
        <f t="shared" si="8"/>
        <v>0.33125729855975083</v>
      </c>
      <c r="Z73" s="109">
        <f t="shared" si="9"/>
        <v>0.20776927604473228</v>
      </c>
      <c r="AA73" s="98"/>
      <c r="AB73" s="98"/>
      <c r="AC73" s="98"/>
      <c r="AD73" s="98"/>
      <c r="AE73" s="98"/>
      <c r="AF73" s="98"/>
      <c r="AG73" s="98"/>
    </row>
    <row r="74" spans="1:33" ht="15" x14ac:dyDescent="0.2">
      <c r="A74" s="98" t="s">
        <v>286</v>
      </c>
      <c r="B74" s="98" t="s">
        <v>142</v>
      </c>
      <c r="C74" s="99">
        <v>0.1</v>
      </c>
      <c r="D74" s="100">
        <v>2200</v>
      </c>
      <c r="E74" s="122">
        <v>3990</v>
      </c>
      <c r="F74" s="102">
        <f t="shared" si="0"/>
        <v>0.44862155388471175</v>
      </c>
      <c r="G74" s="103">
        <f t="shared" si="1"/>
        <v>2464.0000000000005</v>
      </c>
      <c r="H74" s="103">
        <f t="shared" si="2"/>
        <v>2376</v>
      </c>
      <c r="I74" s="103"/>
      <c r="J74" s="103">
        <v>3645</v>
      </c>
      <c r="K74" s="104"/>
      <c r="L74" s="105">
        <f t="shared" si="17"/>
        <v>0.39643347050754457</v>
      </c>
      <c r="M74" s="105"/>
      <c r="N74" s="103"/>
      <c r="O74" s="106">
        <f t="shared" si="19"/>
        <v>1</v>
      </c>
      <c r="P74" s="106">
        <f t="shared" si="5"/>
        <v>1</v>
      </c>
      <c r="Q74" s="119" t="s">
        <v>287</v>
      </c>
      <c r="R74" s="103"/>
      <c r="S74" s="108">
        <f>VLOOKUP(A74,'precios semana 2906'!A:B,2,0)</f>
        <v>2200</v>
      </c>
      <c r="T74" s="109">
        <f t="shared" si="6"/>
        <v>0</v>
      </c>
      <c r="U74" s="109" t="e">
        <f t="shared" si="11"/>
        <v>#DIV/0!</v>
      </c>
      <c r="V74" s="109" t="e">
        <f t="shared" si="15"/>
        <v>#DIV/0!</v>
      </c>
      <c r="W74" s="109">
        <f t="shared" si="18"/>
        <v>-0.32400548696844977</v>
      </c>
      <c r="X74" s="110"/>
      <c r="Y74" s="109" t="e">
        <f t="shared" si="8"/>
        <v>#DIV/0!</v>
      </c>
      <c r="Z74" s="109">
        <f t="shared" si="9"/>
        <v>-0.3481481481481481</v>
      </c>
      <c r="AA74" s="98"/>
      <c r="AB74" s="98"/>
      <c r="AC74" s="98"/>
      <c r="AD74" s="98"/>
      <c r="AE74" s="98"/>
      <c r="AF74" s="98"/>
      <c r="AG74" s="98"/>
    </row>
    <row r="75" spans="1:33" ht="13" x14ac:dyDescent="0.15">
      <c r="A75" s="98" t="s">
        <v>288</v>
      </c>
      <c r="B75" s="98" t="s">
        <v>142</v>
      </c>
      <c r="C75" s="99">
        <v>0.1</v>
      </c>
      <c r="D75" s="100">
        <v>2150</v>
      </c>
      <c r="E75" s="122"/>
      <c r="F75" s="102"/>
      <c r="G75" s="103">
        <f t="shared" si="1"/>
        <v>2408.0000000000005</v>
      </c>
      <c r="H75" s="103">
        <f t="shared" si="2"/>
        <v>2322</v>
      </c>
      <c r="I75" s="103"/>
      <c r="J75" s="103"/>
      <c r="K75" s="104"/>
      <c r="L75" s="105"/>
      <c r="M75" s="105"/>
      <c r="N75" s="103"/>
      <c r="O75" s="106"/>
      <c r="P75" s="106"/>
      <c r="Q75" s="123" t="s">
        <v>289</v>
      </c>
      <c r="R75" s="103"/>
      <c r="S75" s="108">
        <f>VLOOKUP(A75,'precios semana 2906'!A:B,2,0)</f>
        <v>2150</v>
      </c>
      <c r="T75" s="109">
        <f t="shared" si="6"/>
        <v>0</v>
      </c>
      <c r="U75" s="109" t="e">
        <f t="shared" si="11"/>
        <v>#DIV/0!</v>
      </c>
      <c r="V75" s="109" t="e">
        <f t="shared" si="15"/>
        <v>#DIV/0!</v>
      </c>
      <c r="W75" s="109"/>
      <c r="X75" s="110"/>
      <c r="Y75" s="109" t="e">
        <f t="shared" si="8"/>
        <v>#DIV/0!</v>
      </c>
      <c r="Z75" s="109" t="e">
        <f t="shared" si="9"/>
        <v>#DIV/0!</v>
      </c>
      <c r="AA75" s="98"/>
      <c r="AB75" s="98"/>
      <c r="AC75" s="98"/>
      <c r="AD75" s="98"/>
      <c r="AE75" s="98"/>
      <c r="AF75" s="98"/>
      <c r="AG75" s="98"/>
    </row>
    <row r="76" spans="1:33" ht="15" x14ac:dyDescent="0.2">
      <c r="A76" s="98" t="s">
        <v>290</v>
      </c>
      <c r="B76" s="98" t="s">
        <v>142</v>
      </c>
      <c r="C76" s="99">
        <v>0.1</v>
      </c>
      <c r="D76" s="100">
        <v>2300</v>
      </c>
      <c r="E76" s="122">
        <v>2990</v>
      </c>
      <c r="F76" s="102">
        <f t="shared" ref="F76:F86" si="20">(E76-D76)/E76</f>
        <v>0.23076923076923078</v>
      </c>
      <c r="G76" s="103">
        <f t="shared" si="1"/>
        <v>2576.0000000000005</v>
      </c>
      <c r="H76" s="103">
        <f t="shared" si="2"/>
        <v>2484</v>
      </c>
      <c r="I76" s="103"/>
      <c r="J76" s="103">
        <v>2995</v>
      </c>
      <c r="K76" s="104">
        <v>2690</v>
      </c>
      <c r="L76" s="105">
        <f t="shared" ref="L76:L79" si="21">(J76-D76)/J76</f>
        <v>0.23205342237061768</v>
      </c>
      <c r="M76" s="105">
        <f t="shared" ref="M76:M79" si="22">(K76-D76)/K76</f>
        <v>0.1449814126394052</v>
      </c>
      <c r="N76" s="103"/>
      <c r="O76" s="106"/>
      <c r="P76" s="106">
        <f t="shared" ref="P76:P79" si="23">(E76-K76)/E76</f>
        <v>0.10033444816053512</v>
      </c>
      <c r="Q76" s="119" t="s">
        <v>291</v>
      </c>
      <c r="R76" s="103"/>
      <c r="S76" s="108">
        <f>VLOOKUP(A76,'precios semana 2906'!A:B,2,0)</f>
        <v>2300</v>
      </c>
      <c r="T76" s="109">
        <f t="shared" si="6"/>
        <v>0</v>
      </c>
      <c r="U76" s="109" t="e">
        <f t="shared" si="11"/>
        <v>#DIV/0!</v>
      </c>
      <c r="V76" s="109">
        <f t="shared" si="15"/>
        <v>-4.2379182156133677E-2</v>
      </c>
      <c r="W76" s="109">
        <f t="shared" ref="W76:W79" si="24">G76/J76-1</f>
        <v>-0.13989983305509168</v>
      </c>
      <c r="X76" s="110">
        <f t="shared" ref="X76:X79" si="25">G76-K76</f>
        <v>-113.99999999999955</v>
      </c>
      <c r="Y76" s="109">
        <f t="shared" si="8"/>
        <v>-7.6579925650557601E-2</v>
      </c>
      <c r="Z76" s="109">
        <f t="shared" si="9"/>
        <v>-0.17061769616026712</v>
      </c>
      <c r="AA76" s="98"/>
      <c r="AB76" s="98"/>
      <c r="AC76" s="98"/>
      <c r="AD76" s="98"/>
      <c r="AE76" s="98"/>
      <c r="AF76" s="98"/>
      <c r="AG76" s="98"/>
    </row>
    <row r="77" spans="1:33" ht="15" x14ac:dyDescent="0.2">
      <c r="A77" s="98" t="s">
        <v>292</v>
      </c>
      <c r="B77" s="98" t="s">
        <v>142</v>
      </c>
      <c r="C77" s="99">
        <v>0.1</v>
      </c>
      <c r="D77" s="100">
        <v>1200</v>
      </c>
      <c r="E77" s="122">
        <v>1490</v>
      </c>
      <c r="F77" s="102">
        <f t="shared" si="20"/>
        <v>0.19463087248322147</v>
      </c>
      <c r="G77" s="103">
        <f t="shared" si="1"/>
        <v>1344.0000000000002</v>
      </c>
      <c r="H77" s="103">
        <f t="shared" si="2"/>
        <v>1296</v>
      </c>
      <c r="I77" s="103">
        <f>18225*0.1</f>
        <v>1822.5</v>
      </c>
      <c r="J77" s="103">
        <v>2995</v>
      </c>
      <c r="K77" s="104">
        <f>24271*0.1</f>
        <v>2427.1</v>
      </c>
      <c r="L77" s="105">
        <f t="shared" si="21"/>
        <v>0.59933222036727885</v>
      </c>
      <c r="M77" s="105">
        <f t="shared" si="22"/>
        <v>0.50558279428124098</v>
      </c>
      <c r="N77" s="103">
        <f>12990/5</f>
        <v>2598</v>
      </c>
      <c r="O77" s="106">
        <f t="shared" ref="O77:O79" si="26">(E77-I77)/E77</f>
        <v>-0.22315436241610739</v>
      </c>
      <c r="P77" s="106">
        <f t="shared" si="23"/>
        <v>-0.62892617449664423</v>
      </c>
      <c r="Q77" s="119" t="s">
        <v>293</v>
      </c>
      <c r="R77" s="103"/>
      <c r="S77" s="108">
        <f>VLOOKUP(A77,'precios semana 2906'!A:B,2,0)</f>
        <v>1200</v>
      </c>
      <c r="T77" s="109">
        <f t="shared" si="6"/>
        <v>0</v>
      </c>
      <c r="U77" s="109">
        <f t="shared" si="11"/>
        <v>-0.26255144032921796</v>
      </c>
      <c r="V77" s="109">
        <f t="shared" si="15"/>
        <v>-0.44625272959498974</v>
      </c>
      <c r="W77" s="109">
        <f t="shared" si="24"/>
        <v>-0.55125208681135218</v>
      </c>
      <c r="X77" s="110">
        <f t="shared" si="25"/>
        <v>-1083.0999999999997</v>
      </c>
      <c r="Y77" s="109">
        <f t="shared" si="8"/>
        <v>-0.4660294178237403</v>
      </c>
      <c r="Z77" s="109">
        <f t="shared" si="9"/>
        <v>-0.56727879799666114</v>
      </c>
      <c r="AA77" s="98"/>
      <c r="AB77" s="98"/>
      <c r="AC77" s="98"/>
      <c r="AD77" s="98"/>
      <c r="AE77" s="98"/>
      <c r="AF77" s="98"/>
      <c r="AG77" s="98"/>
    </row>
    <row r="78" spans="1:33" ht="15" x14ac:dyDescent="0.2">
      <c r="A78" s="98" t="s">
        <v>294</v>
      </c>
      <c r="B78" s="98" t="s">
        <v>142</v>
      </c>
      <c r="C78" s="99">
        <v>0.1</v>
      </c>
      <c r="D78" s="100">
        <v>750</v>
      </c>
      <c r="E78" s="122">
        <v>1490</v>
      </c>
      <c r="F78" s="102">
        <f t="shared" si="20"/>
        <v>0.49664429530201343</v>
      </c>
      <c r="G78" s="103">
        <f t="shared" si="1"/>
        <v>840.00000000000011</v>
      </c>
      <c r="H78" s="103">
        <f t="shared" si="2"/>
        <v>810</v>
      </c>
      <c r="I78" s="103">
        <f>9735*0.1</f>
        <v>973.5</v>
      </c>
      <c r="J78" s="103">
        <v>1490</v>
      </c>
      <c r="K78" s="104">
        <f>9900*0.1</f>
        <v>990</v>
      </c>
      <c r="L78" s="105">
        <f t="shared" si="21"/>
        <v>0.49664429530201343</v>
      </c>
      <c r="M78" s="105">
        <f t="shared" si="22"/>
        <v>0.24242424242424243</v>
      </c>
      <c r="N78" s="103" t="s">
        <v>295</v>
      </c>
      <c r="O78" s="106">
        <f t="shared" si="26"/>
        <v>0.34664429530201341</v>
      </c>
      <c r="P78" s="106">
        <f t="shared" si="23"/>
        <v>0.33557046979865773</v>
      </c>
      <c r="Q78" s="119" t="s">
        <v>296</v>
      </c>
      <c r="R78" s="103"/>
      <c r="S78" s="108">
        <f>VLOOKUP(A78,'precios semana 2906'!A:B,2,0)</f>
        <v>750</v>
      </c>
      <c r="T78" s="109">
        <f t="shared" si="6"/>
        <v>0</v>
      </c>
      <c r="U78" s="109">
        <f t="shared" si="11"/>
        <v>-0.13713405238828957</v>
      </c>
      <c r="V78" s="109">
        <f t="shared" si="15"/>
        <v>-0.15151515151515138</v>
      </c>
      <c r="W78" s="109">
        <f t="shared" si="24"/>
        <v>-0.43624161073825496</v>
      </c>
      <c r="X78" s="110">
        <f t="shared" si="25"/>
        <v>-149.99999999999989</v>
      </c>
      <c r="Y78" s="109">
        <f t="shared" si="8"/>
        <v>-0.18181818181818177</v>
      </c>
      <c r="Z78" s="109">
        <f t="shared" si="9"/>
        <v>-0.4563758389261745</v>
      </c>
      <c r="AA78" s="98"/>
      <c r="AB78" s="98"/>
      <c r="AC78" s="98"/>
      <c r="AD78" s="98"/>
      <c r="AE78" s="98"/>
      <c r="AF78" s="98"/>
      <c r="AG78" s="98"/>
    </row>
    <row r="79" spans="1:33" ht="15" x14ac:dyDescent="0.2">
      <c r="A79" s="98" t="s">
        <v>297</v>
      </c>
      <c r="B79" s="98" t="s">
        <v>142</v>
      </c>
      <c r="C79" s="99">
        <v>0.1</v>
      </c>
      <c r="D79" s="100">
        <v>800</v>
      </c>
      <c r="E79" s="122">
        <v>1590</v>
      </c>
      <c r="F79" s="102">
        <f t="shared" si="20"/>
        <v>0.49685534591194969</v>
      </c>
      <c r="G79" s="103">
        <f t="shared" si="1"/>
        <v>896.00000000000011</v>
      </c>
      <c r="H79" s="103">
        <f t="shared" si="2"/>
        <v>864</v>
      </c>
      <c r="I79" s="103">
        <f>14166*0.1</f>
        <v>1416.6000000000001</v>
      </c>
      <c r="J79" s="103">
        <v>1596</v>
      </c>
      <c r="K79" s="104">
        <f>9967*0.1</f>
        <v>996.7</v>
      </c>
      <c r="L79" s="105">
        <f t="shared" si="21"/>
        <v>0.49874686716791977</v>
      </c>
      <c r="M79" s="105">
        <f t="shared" si="22"/>
        <v>0.19735125915521223</v>
      </c>
      <c r="N79" s="103">
        <f>5990/5</f>
        <v>1198</v>
      </c>
      <c r="O79" s="106">
        <f t="shared" si="26"/>
        <v>0.10905660377358482</v>
      </c>
      <c r="P79" s="106">
        <f t="shared" si="23"/>
        <v>0.37314465408805031</v>
      </c>
      <c r="Q79" s="119" t="s">
        <v>298</v>
      </c>
      <c r="R79" s="103"/>
      <c r="S79" s="108">
        <f>VLOOKUP(A79,'precios semana 2906'!A:B,2,0)</f>
        <v>800</v>
      </c>
      <c r="T79" s="109">
        <f t="shared" si="6"/>
        <v>0</v>
      </c>
      <c r="U79" s="109">
        <f t="shared" si="11"/>
        <v>-0.36749964704221372</v>
      </c>
      <c r="V79" s="109">
        <f t="shared" si="15"/>
        <v>-0.10103341025383761</v>
      </c>
      <c r="W79" s="109">
        <f t="shared" si="24"/>
        <v>-0.4385964912280701</v>
      </c>
      <c r="X79" s="110">
        <f t="shared" si="25"/>
        <v>-100.69999999999993</v>
      </c>
      <c r="Y79" s="109">
        <f t="shared" si="8"/>
        <v>-0.13313935988762926</v>
      </c>
      <c r="Z79" s="109">
        <f t="shared" si="9"/>
        <v>-0.45864661654135341</v>
      </c>
      <c r="AA79" s="98"/>
      <c r="AB79" s="98"/>
      <c r="AC79" s="98"/>
      <c r="AD79" s="98"/>
      <c r="AE79" s="98"/>
      <c r="AF79" s="98"/>
      <c r="AG79" s="98"/>
    </row>
    <row r="80" spans="1:33" ht="13" x14ac:dyDescent="0.15">
      <c r="A80" s="98" t="s">
        <v>299</v>
      </c>
      <c r="B80" s="98" t="s">
        <v>142</v>
      </c>
      <c r="C80" s="99">
        <v>0.1</v>
      </c>
      <c r="D80" s="100">
        <v>1500</v>
      </c>
      <c r="E80" s="122">
        <v>2550</v>
      </c>
      <c r="F80" s="102">
        <f t="shared" si="20"/>
        <v>0.41176470588235292</v>
      </c>
      <c r="G80" s="103">
        <f t="shared" si="1"/>
        <v>1680.0000000000002</v>
      </c>
      <c r="H80" s="103">
        <f t="shared" si="2"/>
        <v>1620</v>
      </c>
      <c r="I80" s="103"/>
      <c r="J80" s="103"/>
      <c r="K80" s="104"/>
      <c r="L80" s="105"/>
      <c r="M80" s="105"/>
      <c r="N80" s="103"/>
      <c r="O80" s="106"/>
      <c r="P80" s="106"/>
      <c r="Q80" s="123" t="s">
        <v>300</v>
      </c>
      <c r="R80" s="103"/>
      <c r="S80" s="108">
        <f>VLOOKUP(A80,'precios semana 2906'!A:B,2,0)</f>
        <v>1500</v>
      </c>
      <c r="T80" s="109">
        <f t="shared" si="6"/>
        <v>0</v>
      </c>
      <c r="U80" s="109" t="e">
        <f t="shared" si="11"/>
        <v>#DIV/0!</v>
      </c>
      <c r="V80" s="109" t="e">
        <f t="shared" si="15"/>
        <v>#DIV/0!</v>
      </c>
      <c r="W80" s="109"/>
      <c r="X80" s="110"/>
      <c r="Y80" s="109" t="e">
        <f t="shared" si="8"/>
        <v>#DIV/0!</v>
      </c>
      <c r="Z80" s="109" t="e">
        <f t="shared" si="9"/>
        <v>#DIV/0!</v>
      </c>
      <c r="AA80" s="98"/>
      <c r="AB80" s="98"/>
      <c r="AC80" s="98"/>
      <c r="AD80" s="98"/>
      <c r="AE80" s="98"/>
      <c r="AF80" s="98"/>
      <c r="AG80" s="98"/>
    </row>
    <row r="81" spans="1:33" ht="15" x14ac:dyDescent="0.2">
      <c r="A81" s="98" t="s">
        <v>301</v>
      </c>
      <c r="B81" s="98" t="s">
        <v>142</v>
      </c>
      <c r="C81" s="99">
        <v>0.01</v>
      </c>
      <c r="D81" s="100">
        <v>1500</v>
      </c>
      <c r="E81" s="122">
        <v>2550</v>
      </c>
      <c r="F81" s="102">
        <f t="shared" si="20"/>
        <v>0.41176470588235292</v>
      </c>
      <c r="G81" s="103">
        <f t="shared" si="1"/>
        <v>1680.0000000000002</v>
      </c>
      <c r="H81" s="103">
        <f t="shared" si="2"/>
        <v>1620</v>
      </c>
      <c r="I81" s="103"/>
      <c r="J81" s="103">
        <v>2550</v>
      </c>
      <c r="K81" s="104"/>
      <c r="L81" s="105">
        <f t="shared" ref="L81:L82" si="27">(J81-D81)/J81</f>
        <v>0.41176470588235292</v>
      </c>
      <c r="M81" s="105"/>
      <c r="N81" s="103"/>
      <c r="O81" s="106"/>
      <c r="P81" s="106"/>
      <c r="Q81" s="119" t="s">
        <v>302</v>
      </c>
      <c r="R81" s="103"/>
      <c r="S81" s="108">
        <f>VLOOKUP(A81,'precios semana 2906'!A:B,2,0)</f>
        <v>1500</v>
      </c>
      <c r="T81" s="109">
        <f t="shared" si="6"/>
        <v>0</v>
      </c>
      <c r="U81" s="109" t="e">
        <f t="shared" si="11"/>
        <v>#DIV/0!</v>
      </c>
      <c r="V81" s="109" t="e">
        <f t="shared" si="15"/>
        <v>#DIV/0!</v>
      </c>
      <c r="W81" s="109">
        <f t="shared" ref="W81:W82" si="28">G81/J81-1</f>
        <v>-0.34117647058823519</v>
      </c>
      <c r="X81" s="110"/>
      <c r="Y81" s="109" t="e">
        <f t="shared" si="8"/>
        <v>#DIV/0!</v>
      </c>
      <c r="Z81" s="109">
        <f t="shared" si="9"/>
        <v>-0.36470588235294121</v>
      </c>
      <c r="AA81" s="98"/>
      <c r="AB81" s="98"/>
      <c r="AC81" s="98"/>
      <c r="AD81" s="98"/>
      <c r="AE81" s="98"/>
      <c r="AF81" s="98"/>
      <c r="AG81" s="98"/>
    </row>
    <row r="82" spans="1:33" ht="15" x14ac:dyDescent="0.2">
      <c r="A82" s="98" t="s">
        <v>303</v>
      </c>
      <c r="B82" s="98" t="s">
        <v>142</v>
      </c>
      <c r="C82" s="99">
        <v>0.1</v>
      </c>
      <c r="D82" s="100">
        <v>850</v>
      </c>
      <c r="E82" s="122">
        <v>1990</v>
      </c>
      <c r="F82" s="102">
        <f t="shared" si="20"/>
        <v>0.57286432160804024</v>
      </c>
      <c r="G82" s="103">
        <f t="shared" si="1"/>
        <v>952.00000000000011</v>
      </c>
      <c r="H82" s="103">
        <f t="shared" si="2"/>
        <v>918.00000000000011</v>
      </c>
      <c r="I82" s="103">
        <v>1790</v>
      </c>
      <c r="J82" s="103">
        <v>1990</v>
      </c>
      <c r="K82" s="104">
        <v>1920</v>
      </c>
      <c r="L82" s="105">
        <f t="shared" si="27"/>
        <v>0.57286432160804024</v>
      </c>
      <c r="M82" s="105">
        <f>(K82-D82)/K82</f>
        <v>0.55729166666666663</v>
      </c>
      <c r="N82" s="103">
        <f>2999/2</f>
        <v>1499.5</v>
      </c>
      <c r="O82" s="106">
        <f t="shared" ref="O82:O83" si="29">(E82-I82)/E82</f>
        <v>0.10050251256281408</v>
      </c>
      <c r="P82" s="106">
        <f>(E82-K82)/E82</f>
        <v>3.5175879396984924E-2</v>
      </c>
      <c r="Q82" s="119" t="s">
        <v>304</v>
      </c>
      <c r="R82" s="103"/>
      <c r="S82" s="108">
        <f>VLOOKUP(A82,'precios semana 2906'!A:B,2,0)</f>
        <v>850</v>
      </c>
      <c r="T82" s="109">
        <f t="shared" si="6"/>
        <v>0</v>
      </c>
      <c r="U82" s="109">
        <f t="shared" si="11"/>
        <v>-0.46815642458100548</v>
      </c>
      <c r="V82" s="109">
        <f t="shared" si="15"/>
        <v>-0.50416666666666665</v>
      </c>
      <c r="W82" s="109">
        <f t="shared" si="28"/>
        <v>-0.52160804020100504</v>
      </c>
      <c r="X82" s="110">
        <f>G82-K82</f>
        <v>-967.99999999999989</v>
      </c>
      <c r="Y82" s="109">
        <f t="shared" si="8"/>
        <v>-0.52187499999999987</v>
      </c>
      <c r="Z82" s="109">
        <f t="shared" si="9"/>
        <v>-0.53869346733668344</v>
      </c>
      <c r="AA82" s="98"/>
      <c r="AB82" s="98"/>
      <c r="AC82" s="98"/>
      <c r="AD82" s="98"/>
      <c r="AE82" s="98"/>
      <c r="AF82" s="98"/>
      <c r="AG82" s="98"/>
    </row>
    <row r="83" spans="1:33" ht="15" x14ac:dyDescent="0.2">
      <c r="A83" s="98" t="s">
        <v>305</v>
      </c>
      <c r="B83" s="98" t="s">
        <v>142</v>
      </c>
      <c r="C83" s="99">
        <v>0.1</v>
      </c>
      <c r="D83" s="100">
        <v>900</v>
      </c>
      <c r="E83" s="122">
        <v>1390</v>
      </c>
      <c r="F83" s="102">
        <f t="shared" si="20"/>
        <v>0.35251798561151076</v>
      </c>
      <c r="G83" s="103">
        <f t="shared" si="1"/>
        <v>1008.0000000000001</v>
      </c>
      <c r="H83" s="103">
        <f t="shared" si="2"/>
        <v>972.00000000000011</v>
      </c>
      <c r="I83" s="103">
        <f>11475*0.1</f>
        <v>1147.5</v>
      </c>
      <c r="J83" s="103"/>
      <c r="K83" s="104">
        <v>1316</v>
      </c>
      <c r="L83" s="105"/>
      <c r="M83" s="105"/>
      <c r="N83" s="103"/>
      <c r="O83" s="106">
        <f t="shared" si="29"/>
        <v>0.17446043165467626</v>
      </c>
      <c r="P83" s="106"/>
      <c r="Q83" s="124" t="s">
        <v>306</v>
      </c>
      <c r="R83" s="103"/>
      <c r="S83" s="108" t="e">
        <f>VLOOKUP(A83,'precios semana 2906'!A:B,2,0)</f>
        <v>#N/A</v>
      </c>
      <c r="T83" s="109" t="e">
        <f t="shared" si="6"/>
        <v>#N/A</v>
      </c>
      <c r="U83" s="109">
        <f t="shared" si="11"/>
        <v>-0.12156862745098029</v>
      </c>
      <c r="V83" s="109">
        <f t="shared" si="15"/>
        <v>-0.23404255319148926</v>
      </c>
      <c r="W83" s="109"/>
      <c r="X83" s="110"/>
      <c r="Y83" s="109">
        <f t="shared" si="8"/>
        <v>-0.26139817629179318</v>
      </c>
      <c r="Z83" s="109" t="e">
        <f t="shared" si="9"/>
        <v>#DIV/0!</v>
      </c>
      <c r="AA83" s="98"/>
      <c r="AB83" s="98"/>
      <c r="AC83" s="98"/>
      <c r="AD83" s="98"/>
      <c r="AE83" s="98"/>
      <c r="AF83" s="98"/>
      <c r="AG83" s="98"/>
    </row>
    <row r="84" spans="1:33" ht="15" x14ac:dyDescent="0.2">
      <c r="A84" s="98" t="s">
        <v>307</v>
      </c>
      <c r="B84" s="98" t="s">
        <v>142</v>
      </c>
      <c r="C84" s="99">
        <v>0.01</v>
      </c>
      <c r="D84" s="100">
        <v>600</v>
      </c>
      <c r="E84" s="122">
        <v>1245</v>
      </c>
      <c r="F84" s="102">
        <f t="shared" si="20"/>
        <v>0.51807228915662651</v>
      </c>
      <c r="G84" s="103">
        <f t="shared" si="1"/>
        <v>672.00000000000011</v>
      </c>
      <c r="H84" s="103">
        <f t="shared" si="2"/>
        <v>648</v>
      </c>
      <c r="I84" s="103"/>
      <c r="J84" s="103">
        <v>1245</v>
      </c>
      <c r="K84" s="104"/>
      <c r="L84" s="105">
        <f t="shared" ref="L84:L85" si="30">(J84-D84)/J84</f>
        <v>0.51807228915662651</v>
      </c>
      <c r="M84" s="105"/>
      <c r="N84" s="103"/>
      <c r="O84" s="106"/>
      <c r="P84" s="106"/>
      <c r="Q84" s="119" t="s">
        <v>308</v>
      </c>
      <c r="R84" s="103"/>
      <c r="S84" s="108">
        <f>VLOOKUP(A84,'precios semana 2906'!A:B,2,0)</f>
        <v>600</v>
      </c>
      <c r="T84" s="109">
        <f t="shared" si="6"/>
        <v>0</v>
      </c>
      <c r="U84" s="109" t="e">
        <f t="shared" si="11"/>
        <v>#DIV/0!</v>
      </c>
      <c r="V84" s="109" t="e">
        <f t="shared" si="15"/>
        <v>#DIV/0!</v>
      </c>
      <c r="W84" s="109">
        <f t="shared" ref="W84:W85" si="31">G84/J84-1</f>
        <v>-0.46024096385542157</v>
      </c>
      <c r="X84" s="110"/>
      <c r="Y84" s="109" t="e">
        <f t="shared" si="8"/>
        <v>#DIV/0!</v>
      </c>
      <c r="Z84" s="109">
        <f t="shared" si="9"/>
        <v>-0.47951807228915666</v>
      </c>
      <c r="AA84" s="98"/>
      <c r="AB84" s="98"/>
      <c r="AC84" s="98"/>
      <c r="AD84" s="98"/>
      <c r="AE84" s="98"/>
      <c r="AF84" s="98"/>
      <c r="AG84" s="98"/>
    </row>
    <row r="85" spans="1:33" ht="15" x14ac:dyDescent="0.2">
      <c r="A85" s="98" t="s">
        <v>309</v>
      </c>
      <c r="B85" s="98" t="s">
        <v>142</v>
      </c>
      <c r="C85" s="99">
        <v>0.1</v>
      </c>
      <c r="D85" s="100">
        <v>1850</v>
      </c>
      <c r="E85" s="122">
        <v>3990</v>
      </c>
      <c r="F85" s="102">
        <f t="shared" si="20"/>
        <v>0.53634085213032578</v>
      </c>
      <c r="G85" s="103">
        <f t="shared" si="1"/>
        <v>2072</v>
      </c>
      <c r="H85" s="103">
        <f t="shared" si="2"/>
        <v>1998.0000000000002</v>
      </c>
      <c r="I85" s="103"/>
      <c r="J85" s="103">
        <v>6980</v>
      </c>
      <c r="K85" s="104"/>
      <c r="L85" s="105">
        <f t="shared" si="30"/>
        <v>0.73495702005730656</v>
      </c>
      <c r="M85" s="105"/>
      <c r="N85" s="103"/>
      <c r="O85" s="106"/>
      <c r="P85" s="106"/>
      <c r="Q85" s="119" t="s">
        <v>310</v>
      </c>
      <c r="R85" s="103"/>
      <c r="S85" s="108">
        <f>VLOOKUP(A85,'precios semana 2906'!A:B,2,0)</f>
        <v>1850</v>
      </c>
      <c r="T85" s="109">
        <f t="shared" si="6"/>
        <v>0</v>
      </c>
      <c r="U85" s="109" t="e">
        <f t="shared" si="11"/>
        <v>#DIV/0!</v>
      </c>
      <c r="V85" s="109" t="e">
        <f t="shared" si="15"/>
        <v>#DIV/0!</v>
      </c>
      <c r="W85" s="109">
        <f t="shared" si="31"/>
        <v>-0.70315186246418337</v>
      </c>
      <c r="X85" s="110"/>
      <c r="Y85" s="109" t="e">
        <f t="shared" si="8"/>
        <v>#DIV/0!</v>
      </c>
      <c r="Z85" s="109">
        <f t="shared" si="9"/>
        <v>-0.71375358166189107</v>
      </c>
      <c r="AA85" s="98"/>
      <c r="AB85" s="98"/>
      <c r="AC85" s="98"/>
      <c r="AD85" s="98"/>
      <c r="AE85" s="98"/>
      <c r="AF85" s="98"/>
      <c r="AG85" s="98"/>
    </row>
    <row r="86" spans="1:33" ht="15" x14ac:dyDescent="0.2">
      <c r="A86" s="98" t="s">
        <v>311</v>
      </c>
      <c r="B86" s="98" t="s">
        <v>142</v>
      </c>
      <c r="C86" s="99">
        <v>0.1</v>
      </c>
      <c r="D86" s="100">
        <v>1700</v>
      </c>
      <c r="E86" s="122">
        <v>2750</v>
      </c>
      <c r="F86" s="102">
        <f t="shared" si="20"/>
        <v>0.38181818181818183</v>
      </c>
      <c r="G86" s="103">
        <f t="shared" si="1"/>
        <v>1904.0000000000002</v>
      </c>
      <c r="H86" s="103">
        <f t="shared" si="2"/>
        <v>1836.0000000000002</v>
      </c>
      <c r="I86" s="103"/>
      <c r="J86" s="103"/>
      <c r="K86" s="104"/>
      <c r="L86" s="105"/>
      <c r="M86" s="105"/>
      <c r="N86" s="103"/>
      <c r="O86" s="106"/>
      <c r="P86" s="106"/>
      <c r="Q86" s="119" t="s">
        <v>312</v>
      </c>
      <c r="R86" s="103"/>
      <c r="S86" s="108">
        <f>VLOOKUP(A86,'precios semana 2906'!A:B,2,0)</f>
        <v>1700</v>
      </c>
      <c r="T86" s="109">
        <f t="shared" si="6"/>
        <v>0</v>
      </c>
      <c r="U86" s="109" t="e">
        <f t="shared" si="11"/>
        <v>#DIV/0!</v>
      </c>
      <c r="V86" s="109" t="e">
        <f t="shared" si="15"/>
        <v>#DIV/0!</v>
      </c>
      <c r="W86" s="109"/>
      <c r="X86" s="110"/>
      <c r="Y86" s="109" t="e">
        <f t="shared" si="8"/>
        <v>#DIV/0!</v>
      </c>
      <c r="Z86" s="109" t="e">
        <f t="shared" si="9"/>
        <v>#DIV/0!</v>
      </c>
      <c r="AA86" s="98"/>
      <c r="AB86" s="98"/>
      <c r="AC86" s="98"/>
      <c r="AD86" s="98"/>
      <c r="AE86" s="98"/>
      <c r="AF86" s="98"/>
      <c r="AG86" s="98"/>
    </row>
    <row r="87" spans="1:33" ht="15" x14ac:dyDescent="0.2">
      <c r="A87" s="98" t="s">
        <v>313</v>
      </c>
      <c r="B87" s="98" t="s">
        <v>142</v>
      </c>
      <c r="C87" s="99">
        <v>0.25</v>
      </c>
      <c r="D87" s="100">
        <v>2550</v>
      </c>
      <c r="E87" s="122" t="s">
        <v>295</v>
      </c>
      <c r="F87" s="102"/>
      <c r="G87" s="103">
        <f t="shared" si="1"/>
        <v>2856.0000000000005</v>
      </c>
      <c r="H87" s="103">
        <f t="shared" si="2"/>
        <v>2754</v>
      </c>
      <c r="I87" s="103"/>
      <c r="J87" s="103"/>
      <c r="K87" s="104">
        <v>3329.25</v>
      </c>
      <c r="L87" s="105"/>
      <c r="M87" s="105">
        <f>(K87-D87)/K87</f>
        <v>0.234061725613877</v>
      </c>
      <c r="N87" s="103"/>
      <c r="O87" s="106"/>
      <c r="P87" s="106"/>
      <c r="Q87" s="119" t="s">
        <v>314</v>
      </c>
      <c r="R87" s="103"/>
      <c r="S87" s="108">
        <f>VLOOKUP(A87,'precios semana 2906'!A:B,2,0)</f>
        <v>2550</v>
      </c>
      <c r="T87" s="109">
        <f t="shared" si="6"/>
        <v>0</v>
      </c>
      <c r="U87" s="109" t="e">
        <f t="shared" si="11"/>
        <v>#DIV/0!</v>
      </c>
      <c r="V87" s="109">
        <f t="shared" si="15"/>
        <v>-0.14214913268754215</v>
      </c>
      <c r="W87" s="109"/>
      <c r="X87" s="110">
        <f>G87-K87</f>
        <v>-473.24999999999955</v>
      </c>
      <c r="Y87" s="109">
        <f t="shared" si="8"/>
        <v>-0.17278666366298712</v>
      </c>
      <c r="Z87" s="109" t="e">
        <f t="shared" si="9"/>
        <v>#DIV/0!</v>
      </c>
      <c r="AA87" s="98"/>
      <c r="AB87" s="98"/>
      <c r="AC87" s="98"/>
      <c r="AD87" s="98"/>
      <c r="AE87" s="98"/>
      <c r="AF87" s="98"/>
      <c r="AG87" s="98"/>
    </row>
    <row r="88" spans="1:33" ht="15" x14ac:dyDescent="0.2">
      <c r="A88" s="98" t="s">
        <v>315</v>
      </c>
      <c r="B88" s="98" t="s">
        <v>142</v>
      </c>
      <c r="C88" s="99">
        <v>0.1</v>
      </c>
      <c r="D88" s="100">
        <v>1450</v>
      </c>
      <c r="E88" s="122" t="s">
        <v>295</v>
      </c>
      <c r="F88" s="102"/>
      <c r="G88" s="103">
        <f t="shared" si="1"/>
        <v>1624.0000000000002</v>
      </c>
      <c r="H88" s="103">
        <f t="shared" si="2"/>
        <v>1566</v>
      </c>
      <c r="I88" s="103"/>
      <c r="J88" s="103"/>
      <c r="K88" s="104"/>
      <c r="L88" s="105"/>
      <c r="M88" s="105"/>
      <c r="N88" s="103"/>
      <c r="O88" s="106"/>
      <c r="P88" s="106"/>
      <c r="Q88" s="119" t="s">
        <v>316</v>
      </c>
      <c r="R88" s="103"/>
      <c r="S88" s="108">
        <f>VLOOKUP(A88,'precios semana 2906'!A:B,2,0)</f>
        <v>1450</v>
      </c>
      <c r="T88" s="109">
        <f t="shared" si="6"/>
        <v>0</v>
      </c>
      <c r="U88" s="109" t="e">
        <f t="shared" si="11"/>
        <v>#DIV/0!</v>
      </c>
      <c r="V88" s="109" t="e">
        <f t="shared" si="15"/>
        <v>#DIV/0!</v>
      </c>
      <c r="W88" s="109"/>
      <c r="X88" s="110"/>
      <c r="Y88" s="109" t="e">
        <f t="shared" si="8"/>
        <v>#DIV/0!</v>
      </c>
      <c r="Z88" s="109" t="e">
        <f t="shared" si="9"/>
        <v>#DIV/0!</v>
      </c>
      <c r="AA88" s="98"/>
      <c r="AB88" s="98"/>
      <c r="AC88" s="98"/>
      <c r="AD88" s="98"/>
      <c r="AE88" s="98"/>
      <c r="AF88" s="98"/>
      <c r="AG88" s="98"/>
    </row>
    <row r="89" spans="1:33" ht="15" x14ac:dyDescent="0.2">
      <c r="A89" s="98" t="s">
        <v>317</v>
      </c>
      <c r="B89" s="98" t="s">
        <v>142</v>
      </c>
      <c r="C89" s="99">
        <v>0.1</v>
      </c>
      <c r="D89" s="100">
        <v>300</v>
      </c>
      <c r="E89" s="122">
        <v>690</v>
      </c>
      <c r="F89" s="102">
        <f>(E89-D89)/E89</f>
        <v>0.56521739130434778</v>
      </c>
      <c r="G89" s="103">
        <f t="shared" si="1"/>
        <v>336.00000000000006</v>
      </c>
      <c r="H89" s="103">
        <f t="shared" si="2"/>
        <v>324</v>
      </c>
      <c r="I89" s="103">
        <v>512.4</v>
      </c>
      <c r="J89" s="103">
        <v>716</v>
      </c>
      <c r="K89" s="104">
        <v>897.5</v>
      </c>
      <c r="L89" s="105">
        <f>(J89-D89)/J89</f>
        <v>0.58100558659217882</v>
      </c>
      <c r="M89" s="105">
        <f t="shared" ref="M89:M90" si="32">(K89-D89)/K89</f>
        <v>0.66573816155988863</v>
      </c>
      <c r="N89" s="103">
        <f>2790/5</f>
        <v>558</v>
      </c>
      <c r="O89" s="106">
        <f>(E89-I89)/E89</f>
        <v>0.25739130434782614</v>
      </c>
      <c r="P89" s="106">
        <f>(E89-K89)/E89</f>
        <v>-0.30072463768115942</v>
      </c>
      <c r="Q89" s="119" t="s">
        <v>318</v>
      </c>
      <c r="R89" s="103"/>
      <c r="S89" s="108">
        <f>VLOOKUP(A89,'precios semana 2906'!A:B,2,0)</f>
        <v>300</v>
      </c>
      <c r="T89" s="109">
        <f t="shared" si="6"/>
        <v>0</v>
      </c>
      <c r="U89" s="109">
        <f t="shared" si="11"/>
        <v>-0.34426229508196704</v>
      </c>
      <c r="V89" s="109">
        <f t="shared" si="15"/>
        <v>-0.62562674094707516</v>
      </c>
      <c r="W89" s="109">
        <f>G89/J89-1</f>
        <v>-0.53072625698324016</v>
      </c>
      <c r="X89" s="110">
        <f t="shared" ref="X89:X90" si="33">G89-K89</f>
        <v>-561.5</v>
      </c>
      <c r="Y89" s="109">
        <f t="shared" si="8"/>
        <v>-0.63899721448467961</v>
      </c>
      <c r="Z89" s="109">
        <f t="shared" si="9"/>
        <v>-0.54748603351955305</v>
      </c>
      <c r="AA89" s="98"/>
      <c r="AB89" s="98"/>
      <c r="AC89" s="98"/>
      <c r="AD89" s="98"/>
      <c r="AE89" s="98"/>
      <c r="AF89" s="98"/>
      <c r="AG89" s="98"/>
    </row>
    <row r="90" spans="1:33" ht="15" x14ac:dyDescent="0.2">
      <c r="A90" s="98" t="s">
        <v>319</v>
      </c>
      <c r="B90" s="98" t="s">
        <v>142</v>
      </c>
      <c r="C90" s="99">
        <v>0.5</v>
      </c>
      <c r="D90" s="100">
        <v>780</v>
      </c>
      <c r="E90" s="122" t="s">
        <v>295</v>
      </c>
      <c r="F90" s="102"/>
      <c r="G90" s="103">
        <f t="shared" si="1"/>
        <v>873.60000000000014</v>
      </c>
      <c r="H90" s="103">
        <f t="shared" si="2"/>
        <v>842.40000000000009</v>
      </c>
      <c r="I90" s="103">
        <v>1050</v>
      </c>
      <c r="J90" s="103"/>
      <c r="K90" s="104">
        <v>2230</v>
      </c>
      <c r="L90" s="105"/>
      <c r="M90" s="105">
        <f t="shared" si="32"/>
        <v>0.65022421524663676</v>
      </c>
      <c r="N90" s="103">
        <v>1190</v>
      </c>
      <c r="O90" s="106"/>
      <c r="P90" s="106"/>
      <c r="Q90" s="119" t="s">
        <v>320</v>
      </c>
      <c r="R90" s="103"/>
      <c r="S90" s="108">
        <f>VLOOKUP(A90,'precios semana 2906'!A:B,2,0)</f>
        <v>780</v>
      </c>
      <c r="T90" s="109">
        <f t="shared" si="6"/>
        <v>0</v>
      </c>
      <c r="U90" s="109">
        <f t="shared" si="11"/>
        <v>-0.16799999999999982</v>
      </c>
      <c r="V90" s="109">
        <f t="shared" si="15"/>
        <v>-0.60825112107623314</v>
      </c>
      <c r="W90" s="109"/>
      <c r="X90" s="110">
        <f t="shared" si="33"/>
        <v>-1356.3999999999999</v>
      </c>
      <c r="Y90" s="109">
        <f t="shared" si="8"/>
        <v>-0.62224215246636772</v>
      </c>
      <c r="Z90" s="109" t="e">
        <f t="shared" si="9"/>
        <v>#DIV/0!</v>
      </c>
      <c r="AA90" s="98"/>
      <c r="AB90" s="98"/>
      <c r="AC90" s="98"/>
      <c r="AD90" s="98"/>
      <c r="AE90" s="98"/>
      <c r="AF90" s="98"/>
      <c r="AG90" s="98"/>
    </row>
    <row r="91" spans="1:33" ht="15" x14ac:dyDescent="0.2">
      <c r="A91" s="98" t="s">
        <v>321</v>
      </c>
      <c r="B91" s="98" t="s">
        <v>142</v>
      </c>
      <c r="C91" s="99">
        <v>0.1</v>
      </c>
      <c r="D91" s="100">
        <v>1430</v>
      </c>
      <c r="E91" s="122" t="s">
        <v>295</v>
      </c>
      <c r="F91" s="102"/>
      <c r="G91" s="103">
        <f t="shared" si="1"/>
        <v>1601.6000000000001</v>
      </c>
      <c r="H91" s="103">
        <f t="shared" si="2"/>
        <v>1544.4</v>
      </c>
      <c r="I91" s="103"/>
      <c r="J91" s="103"/>
      <c r="K91" s="104"/>
      <c r="L91" s="105"/>
      <c r="M91" s="105"/>
      <c r="N91" s="103"/>
      <c r="O91" s="106"/>
      <c r="P91" s="106"/>
      <c r="Q91" s="119" t="s">
        <v>322</v>
      </c>
      <c r="R91" s="103"/>
      <c r="S91" s="108">
        <f>VLOOKUP(A91,'precios semana 2906'!A:B,2,0)</f>
        <v>1430</v>
      </c>
      <c r="T91" s="109">
        <f t="shared" si="6"/>
        <v>0</v>
      </c>
      <c r="U91" s="109" t="e">
        <f t="shared" si="11"/>
        <v>#DIV/0!</v>
      </c>
      <c r="V91" s="109" t="e">
        <f t="shared" si="15"/>
        <v>#DIV/0!</v>
      </c>
      <c r="W91" s="109"/>
      <c r="X91" s="110"/>
      <c r="Y91" s="109" t="e">
        <f t="shared" si="8"/>
        <v>#DIV/0!</v>
      </c>
      <c r="Z91" s="109" t="e">
        <f t="shared" si="9"/>
        <v>#DIV/0!</v>
      </c>
      <c r="AA91" s="98"/>
      <c r="AB91" s="98"/>
      <c r="AC91" s="98"/>
      <c r="AD91" s="98"/>
      <c r="AE91" s="98"/>
      <c r="AF91" s="98"/>
      <c r="AG91" s="98"/>
    </row>
    <row r="92" spans="1:33" ht="15" x14ac:dyDescent="0.2">
      <c r="A92" s="98" t="s">
        <v>323</v>
      </c>
      <c r="B92" s="98" t="s">
        <v>142</v>
      </c>
      <c r="C92" s="99">
        <v>0.1</v>
      </c>
      <c r="D92" s="100">
        <v>660</v>
      </c>
      <c r="E92" s="122">
        <v>3490</v>
      </c>
      <c r="F92" s="102">
        <f t="shared" ref="F92:F97" si="34">(E92-D92)/E92</f>
        <v>0.81088825214899718</v>
      </c>
      <c r="G92" s="103">
        <f t="shared" si="1"/>
        <v>739.2</v>
      </c>
      <c r="H92" s="103">
        <f t="shared" si="2"/>
        <v>712.80000000000007</v>
      </c>
      <c r="I92" s="103"/>
      <c r="J92" s="103">
        <v>3495</v>
      </c>
      <c r="K92" s="104"/>
      <c r="L92" s="105">
        <f t="shared" ref="L92:L97" si="35">(J92-D92)/J92</f>
        <v>0.81115879828326176</v>
      </c>
      <c r="M92" s="105"/>
      <c r="N92" s="103"/>
      <c r="O92" s="106"/>
      <c r="P92" s="106"/>
      <c r="Q92" s="119" t="s">
        <v>324</v>
      </c>
      <c r="R92" s="103"/>
      <c r="S92" s="108">
        <f>VLOOKUP(A92,'precios semana 2906'!A:B,2,0)</f>
        <v>660</v>
      </c>
      <c r="T92" s="109">
        <f t="shared" si="6"/>
        <v>0</v>
      </c>
      <c r="U92" s="109" t="e">
        <f t="shared" si="11"/>
        <v>#DIV/0!</v>
      </c>
      <c r="V92" s="109" t="e">
        <f t="shared" si="15"/>
        <v>#DIV/0!</v>
      </c>
      <c r="W92" s="109">
        <f t="shared" ref="W92:W97" si="36">G92/J92-1</f>
        <v>-0.78849785407725315</v>
      </c>
      <c r="X92" s="110"/>
      <c r="Y92" s="109" t="e">
        <f t="shared" si="8"/>
        <v>#DIV/0!</v>
      </c>
      <c r="Z92" s="109">
        <f t="shared" si="9"/>
        <v>-0.79605150214592268</v>
      </c>
      <c r="AA92" s="98"/>
      <c r="AB92" s="98"/>
      <c r="AC92" s="98"/>
      <c r="AD92" s="98"/>
      <c r="AE92" s="98"/>
      <c r="AF92" s="98"/>
      <c r="AG92" s="98"/>
    </row>
    <row r="93" spans="1:33" ht="15" x14ac:dyDescent="0.2">
      <c r="A93" s="98" t="s">
        <v>325</v>
      </c>
      <c r="B93" s="98" t="s">
        <v>142</v>
      </c>
      <c r="C93" s="99">
        <v>0.1</v>
      </c>
      <c r="D93" s="100">
        <v>330</v>
      </c>
      <c r="E93" s="122">
        <v>750</v>
      </c>
      <c r="F93" s="102">
        <f t="shared" si="34"/>
        <v>0.56000000000000005</v>
      </c>
      <c r="G93" s="103">
        <f t="shared" si="1"/>
        <v>369.6</v>
      </c>
      <c r="H93" s="103">
        <f t="shared" si="2"/>
        <v>356.40000000000003</v>
      </c>
      <c r="I93" s="103">
        <v>666.7</v>
      </c>
      <c r="J93" s="103">
        <v>756</v>
      </c>
      <c r="K93" s="104">
        <v>635</v>
      </c>
      <c r="L93" s="105">
        <f t="shared" si="35"/>
        <v>0.56349206349206349</v>
      </c>
      <c r="M93" s="105">
        <f t="shared" ref="M93:M99" si="37">(K93-D93)/K93</f>
        <v>0.48031496062992124</v>
      </c>
      <c r="N93" s="103">
        <f>2990/5</f>
        <v>598</v>
      </c>
      <c r="O93" s="106">
        <f t="shared" ref="O93:O97" si="38">(E93-I93)/E93</f>
        <v>0.11106666666666661</v>
      </c>
      <c r="P93" s="106">
        <f t="shared" ref="P93:P97" si="39">(E93-K93)/E93</f>
        <v>0.15333333333333332</v>
      </c>
      <c r="Q93" s="119" t="s">
        <v>326</v>
      </c>
      <c r="R93" s="103"/>
      <c r="S93" s="108">
        <f>VLOOKUP(A93,'precios semana 2906'!A:B,2,0)</f>
        <v>330</v>
      </c>
      <c r="T93" s="109">
        <f t="shared" si="6"/>
        <v>0</v>
      </c>
      <c r="U93" s="109">
        <f t="shared" si="11"/>
        <v>-0.44562771861406925</v>
      </c>
      <c r="V93" s="109">
        <f t="shared" si="15"/>
        <v>-0.41795275590551173</v>
      </c>
      <c r="W93" s="109">
        <f t="shared" si="36"/>
        <v>-0.51111111111111107</v>
      </c>
      <c r="X93" s="110">
        <f t="shared" ref="X93:X99" si="40">G93-K93</f>
        <v>-265.39999999999998</v>
      </c>
      <c r="Y93" s="109">
        <f t="shared" si="8"/>
        <v>-0.43874015748031492</v>
      </c>
      <c r="Z93" s="109">
        <f t="shared" si="9"/>
        <v>-0.52857142857142847</v>
      </c>
      <c r="AA93" s="98"/>
      <c r="AB93" s="98"/>
      <c r="AC93" s="98"/>
      <c r="AD93" s="98"/>
      <c r="AE93" s="98"/>
      <c r="AF93" s="98"/>
      <c r="AG93" s="98"/>
    </row>
    <row r="94" spans="1:33" ht="15" x14ac:dyDescent="0.2">
      <c r="A94" s="98" t="s">
        <v>327</v>
      </c>
      <c r="B94" s="98" t="s">
        <v>142</v>
      </c>
      <c r="C94" s="99">
        <v>0.1</v>
      </c>
      <c r="D94" s="100">
        <v>520</v>
      </c>
      <c r="E94" s="122">
        <v>830</v>
      </c>
      <c r="F94" s="102">
        <f t="shared" si="34"/>
        <v>0.37349397590361444</v>
      </c>
      <c r="G94" s="103">
        <f t="shared" si="1"/>
        <v>582.40000000000009</v>
      </c>
      <c r="H94" s="103">
        <f t="shared" si="2"/>
        <v>561.6</v>
      </c>
      <c r="I94" s="103">
        <v>993.30000000000007</v>
      </c>
      <c r="J94" s="103">
        <v>823</v>
      </c>
      <c r="K94" s="104">
        <v>890</v>
      </c>
      <c r="L94" s="105">
        <f t="shared" si="35"/>
        <v>0.36816524908869985</v>
      </c>
      <c r="M94" s="105">
        <f t="shared" si="37"/>
        <v>0.4157303370786517</v>
      </c>
      <c r="N94" s="103"/>
      <c r="O94" s="106">
        <f t="shared" si="38"/>
        <v>-0.19674698795180731</v>
      </c>
      <c r="P94" s="106">
        <f t="shared" si="39"/>
        <v>-7.2289156626506021E-2</v>
      </c>
      <c r="Q94" s="119" t="s">
        <v>328</v>
      </c>
      <c r="R94" s="103"/>
      <c r="S94" s="108">
        <f>VLOOKUP(A94,'precios semana 2906'!A:B,2,0)</f>
        <v>520</v>
      </c>
      <c r="T94" s="109">
        <f t="shared" si="6"/>
        <v>0</v>
      </c>
      <c r="U94" s="109">
        <f t="shared" si="11"/>
        <v>-0.41367159971811129</v>
      </c>
      <c r="V94" s="109">
        <f t="shared" si="15"/>
        <v>-0.34561797752808976</v>
      </c>
      <c r="W94" s="109">
        <f t="shared" si="36"/>
        <v>-0.29234507897934381</v>
      </c>
      <c r="X94" s="110">
        <f t="shared" si="40"/>
        <v>-307.59999999999991</v>
      </c>
      <c r="Y94" s="109">
        <f t="shared" si="8"/>
        <v>-0.36898876404494374</v>
      </c>
      <c r="Z94" s="109">
        <f t="shared" si="9"/>
        <v>-0.31761846901579582</v>
      </c>
      <c r="AA94" s="98"/>
      <c r="AB94" s="98"/>
      <c r="AC94" s="98"/>
      <c r="AD94" s="98"/>
      <c r="AE94" s="98"/>
      <c r="AF94" s="98"/>
      <c r="AG94" s="98"/>
    </row>
    <row r="95" spans="1:33" ht="13" x14ac:dyDescent="0.15">
      <c r="A95" s="98" t="s">
        <v>329</v>
      </c>
      <c r="B95" s="98" t="s">
        <v>142</v>
      </c>
      <c r="C95" s="99">
        <v>0.1</v>
      </c>
      <c r="D95" s="100">
        <v>580</v>
      </c>
      <c r="E95" s="122">
        <v>1980</v>
      </c>
      <c r="F95" s="102">
        <f t="shared" si="34"/>
        <v>0.70707070707070707</v>
      </c>
      <c r="G95" s="103">
        <f t="shared" si="1"/>
        <v>649.6</v>
      </c>
      <c r="H95" s="103">
        <f t="shared" si="2"/>
        <v>626.40000000000009</v>
      </c>
      <c r="I95" s="103">
        <v>975</v>
      </c>
      <c r="J95" s="103">
        <v>1972</v>
      </c>
      <c r="K95" s="104">
        <v>745</v>
      </c>
      <c r="L95" s="105">
        <f t="shared" si="35"/>
        <v>0.70588235294117652</v>
      </c>
      <c r="M95" s="105">
        <f t="shared" si="37"/>
        <v>0.22147651006711411</v>
      </c>
      <c r="N95" s="103">
        <f>5990/5</f>
        <v>1198</v>
      </c>
      <c r="O95" s="106">
        <f t="shared" si="38"/>
        <v>0.50757575757575757</v>
      </c>
      <c r="P95" s="106">
        <f t="shared" si="39"/>
        <v>0.6237373737373737</v>
      </c>
      <c r="Q95" s="125" t="s">
        <v>330</v>
      </c>
      <c r="R95" s="103"/>
      <c r="S95" s="108">
        <f>VLOOKUP(A95,'precios semana 2906'!A:B,2,0)</f>
        <v>580</v>
      </c>
      <c r="T95" s="109">
        <f t="shared" si="6"/>
        <v>0</v>
      </c>
      <c r="U95" s="109">
        <f t="shared" si="11"/>
        <v>-0.33374358974358975</v>
      </c>
      <c r="V95" s="109">
        <f t="shared" si="15"/>
        <v>-0.12805369127516775</v>
      </c>
      <c r="W95" s="109">
        <f t="shared" si="36"/>
        <v>-0.67058823529411771</v>
      </c>
      <c r="X95" s="110">
        <f t="shared" si="40"/>
        <v>-95.399999999999977</v>
      </c>
      <c r="Y95" s="109">
        <f t="shared" si="8"/>
        <v>-0.15919463087248309</v>
      </c>
      <c r="Z95" s="109">
        <f t="shared" si="9"/>
        <v>-0.68235294117647061</v>
      </c>
      <c r="AA95" s="98"/>
      <c r="AB95" s="98"/>
      <c r="AC95" s="98"/>
      <c r="AD95" s="98"/>
      <c r="AE95" s="98"/>
      <c r="AF95" s="98"/>
      <c r="AG95" s="98"/>
    </row>
    <row r="96" spans="1:33" ht="15" x14ac:dyDescent="0.2">
      <c r="A96" s="98" t="s">
        <v>331</v>
      </c>
      <c r="B96" s="98" t="s">
        <v>142</v>
      </c>
      <c r="C96" s="99">
        <v>0.1</v>
      </c>
      <c r="D96" s="100">
        <v>580</v>
      </c>
      <c r="E96" s="122">
        <v>1980</v>
      </c>
      <c r="F96" s="102">
        <f t="shared" si="34"/>
        <v>0.70707070707070707</v>
      </c>
      <c r="G96" s="103">
        <f t="shared" si="1"/>
        <v>649.6</v>
      </c>
      <c r="H96" s="103">
        <f t="shared" si="2"/>
        <v>626.40000000000009</v>
      </c>
      <c r="I96" s="103">
        <f>11162*0.1</f>
        <v>1116.2</v>
      </c>
      <c r="J96" s="103">
        <v>1972</v>
      </c>
      <c r="K96" s="104">
        <f>11800*0.1</f>
        <v>1180</v>
      </c>
      <c r="L96" s="105">
        <f t="shared" si="35"/>
        <v>0.70588235294117652</v>
      </c>
      <c r="M96" s="105">
        <f t="shared" si="37"/>
        <v>0.50847457627118642</v>
      </c>
      <c r="N96" s="103"/>
      <c r="O96" s="106">
        <f t="shared" si="38"/>
        <v>0.43626262626262624</v>
      </c>
      <c r="P96" s="106">
        <f t="shared" si="39"/>
        <v>0.40404040404040403</v>
      </c>
      <c r="Q96" s="119" t="s">
        <v>332</v>
      </c>
      <c r="R96" s="103"/>
      <c r="S96" s="108">
        <f>VLOOKUP(A96,'precios semana 2906'!A:B,2,0)</f>
        <v>580</v>
      </c>
      <c r="T96" s="109">
        <f t="shared" si="6"/>
        <v>0</v>
      </c>
      <c r="U96" s="109">
        <f t="shared" si="11"/>
        <v>-0.41802544346891235</v>
      </c>
      <c r="V96" s="109">
        <f t="shared" si="15"/>
        <v>-0.44949152542372883</v>
      </c>
      <c r="W96" s="109">
        <f t="shared" si="36"/>
        <v>-0.67058823529411771</v>
      </c>
      <c r="X96" s="110">
        <f t="shared" si="40"/>
        <v>-530.4</v>
      </c>
      <c r="Y96" s="109">
        <f t="shared" si="8"/>
        <v>-0.46915254237288129</v>
      </c>
      <c r="Z96" s="109">
        <f t="shared" si="9"/>
        <v>-0.68235294117647061</v>
      </c>
      <c r="AA96" s="98"/>
      <c r="AB96" s="98"/>
      <c r="AC96" s="98"/>
      <c r="AD96" s="98"/>
      <c r="AE96" s="98"/>
      <c r="AF96" s="98"/>
      <c r="AG96" s="98"/>
    </row>
    <row r="97" spans="1:33" ht="15" x14ac:dyDescent="0.2">
      <c r="A97" s="98" t="s">
        <v>333</v>
      </c>
      <c r="B97" s="98" t="s">
        <v>142</v>
      </c>
      <c r="C97" s="99">
        <v>0.1</v>
      </c>
      <c r="D97" s="100">
        <v>330</v>
      </c>
      <c r="E97" s="122">
        <v>750</v>
      </c>
      <c r="F97" s="102">
        <f t="shared" si="34"/>
        <v>0.56000000000000005</v>
      </c>
      <c r="G97" s="103">
        <f t="shared" si="1"/>
        <v>369.6</v>
      </c>
      <c r="H97" s="103">
        <f t="shared" si="2"/>
        <v>356.40000000000003</v>
      </c>
      <c r="I97" s="103">
        <v>707.1</v>
      </c>
      <c r="J97" s="103">
        <v>756</v>
      </c>
      <c r="K97" s="104">
        <v>779</v>
      </c>
      <c r="L97" s="105">
        <f t="shared" si="35"/>
        <v>0.56349206349206349</v>
      </c>
      <c r="M97" s="105">
        <f t="shared" si="37"/>
        <v>0.57637997432605903</v>
      </c>
      <c r="N97" s="103">
        <f>2990/5</f>
        <v>598</v>
      </c>
      <c r="O97" s="106">
        <f t="shared" si="38"/>
        <v>5.7199999999999973E-2</v>
      </c>
      <c r="P97" s="106">
        <f t="shared" si="39"/>
        <v>-3.8666666666666669E-2</v>
      </c>
      <c r="Q97" s="119" t="s">
        <v>334</v>
      </c>
      <c r="R97" s="103"/>
      <c r="S97" s="108">
        <f>VLOOKUP(A97,'precios semana 2906'!A:B,2,0)</f>
        <v>330</v>
      </c>
      <c r="T97" s="109">
        <f t="shared" si="6"/>
        <v>0</v>
      </c>
      <c r="U97" s="109">
        <f t="shared" si="11"/>
        <v>-0.47730165464573604</v>
      </c>
      <c r="V97" s="109">
        <f t="shared" si="15"/>
        <v>-0.52554557124518608</v>
      </c>
      <c r="W97" s="109">
        <f t="shared" si="36"/>
        <v>-0.51111111111111107</v>
      </c>
      <c r="X97" s="110">
        <f t="shared" si="40"/>
        <v>-409.4</v>
      </c>
      <c r="Y97" s="109">
        <f t="shared" si="8"/>
        <v>-0.54249037227214369</v>
      </c>
      <c r="Z97" s="109">
        <f t="shared" si="9"/>
        <v>-0.52857142857142847</v>
      </c>
      <c r="AA97" s="98"/>
      <c r="AB97" s="98"/>
      <c r="AC97" s="98"/>
      <c r="AD97" s="98"/>
      <c r="AE97" s="98"/>
      <c r="AF97" s="98"/>
      <c r="AG97" s="98"/>
    </row>
    <row r="98" spans="1:33" ht="15" x14ac:dyDescent="0.2">
      <c r="A98" s="98" t="s">
        <v>335</v>
      </c>
      <c r="B98" s="98" t="s">
        <v>142</v>
      </c>
      <c r="C98" s="99">
        <v>0.1</v>
      </c>
      <c r="D98" s="100">
        <v>1020</v>
      </c>
      <c r="E98" s="122" t="s">
        <v>295</v>
      </c>
      <c r="F98" s="102"/>
      <c r="G98" s="103">
        <f t="shared" si="1"/>
        <v>1142.4000000000001</v>
      </c>
      <c r="H98" s="103">
        <f t="shared" si="2"/>
        <v>1101.6000000000001</v>
      </c>
      <c r="I98" s="103"/>
      <c r="J98" s="103"/>
      <c r="K98" s="104">
        <f>16300*0.1</f>
        <v>1630</v>
      </c>
      <c r="L98" s="105"/>
      <c r="M98" s="105">
        <f t="shared" si="37"/>
        <v>0.37423312883435583</v>
      </c>
      <c r="N98" s="103"/>
      <c r="O98" s="106"/>
      <c r="P98" s="106"/>
      <c r="Q98" s="119" t="s">
        <v>336</v>
      </c>
      <c r="R98" s="103"/>
      <c r="S98" s="108">
        <f>VLOOKUP(A98,'precios semana 2906'!A:B,2,0)</f>
        <v>1020</v>
      </c>
      <c r="T98" s="109">
        <f t="shared" si="6"/>
        <v>0</v>
      </c>
      <c r="U98" s="109" t="e">
        <f t="shared" si="11"/>
        <v>#DIV/0!</v>
      </c>
      <c r="V98" s="109">
        <f t="shared" si="15"/>
        <v>-0.29914110429447849</v>
      </c>
      <c r="W98" s="109"/>
      <c r="X98" s="110">
        <f t="shared" si="40"/>
        <v>-487.59999999999991</v>
      </c>
      <c r="Y98" s="109">
        <f t="shared" si="8"/>
        <v>-0.32417177914110418</v>
      </c>
      <c r="Z98" s="109" t="e">
        <f t="shared" si="9"/>
        <v>#DIV/0!</v>
      </c>
      <c r="AA98" s="98"/>
      <c r="AB98" s="98"/>
      <c r="AC98" s="98"/>
      <c r="AD98" s="98"/>
      <c r="AE98" s="98"/>
      <c r="AF98" s="98"/>
      <c r="AG98" s="98"/>
    </row>
    <row r="99" spans="1:33" ht="15" x14ac:dyDescent="0.2">
      <c r="A99" s="111" t="s">
        <v>337</v>
      </c>
      <c r="B99" s="98" t="s">
        <v>142</v>
      </c>
      <c r="C99" s="99">
        <v>0.1</v>
      </c>
      <c r="D99" s="100">
        <v>1580</v>
      </c>
      <c r="E99" s="122">
        <v>2100</v>
      </c>
      <c r="F99" s="102">
        <f>(E99-D99)/E99</f>
        <v>0.24761904761904763</v>
      </c>
      <c r="G99" s="103">
        <f t="shared" si="1"/>
        <v>1769.6000000000001</v>
      </c>
      <c r="H99" s="103">
        <f t="shared" si="2"/>
        <v>1706.4</v>
      </c>
      <c r="I99" s="103">
        <f>19414*0.1</f>
        <v>1941.4</v>
      </c>
      <c r="J99" s="103">
        <v>2080</v>
      </c>
      <c r="K99" s="104">
        <f>14986*0.1</f>
        <v>1498.6000000000001</v>
      </c>
      <c r="L99" s="105">
        <f>(J99-D99)/J99</f>
        <v>0.24038461538461539</v>
      </c>
      <c r="M99" s="105">
        <f t="shared" si="37"/>
        <v>-5.4317362872013782E-2</v>
      </c>
      <c r="N99" s="103">
        <f>4990/2.5</f>
        <v>1996</v>
      </c>
      <c r="O99" s="106">
        <f>(E99-I99)/E99</f>
        <v>7.5523809523809479E-2</v>
      </c>
      <c r="P99" s="106">
        <f>(E99-K99)/E99</f>
        <v>0.28638095238095229</v>
      </c>
      <c r="Q99" s="119" t="s">
        <v>338</v>
      </c>
      <c r="R99" s="103"/>
      <c r="S99" s="108">
        <f>VLOOKUP(A99,'precios semana 2906'!A:B,2,0)</f>
        <v>1580</v>
      </c>
      <c r="T99" s="109">
        <f t="shared" si="6"/>
        <v>0</v>
      </c>
      <c r="U99" s="109">
        <f t="shared" si="11"/>
        <v>-8.8492840218399094E-2</v>
      </c>
      <c r="V99" s="109">
        <f t="shared" si="15"/>
        <v>0.1808354464166555</v>
      </c>
      <c r="W99" s="109">
        <f>G99/J99-1</f>
        <v>-0.14923076923076917</v>
      </c>
      <c r="X99" s="110">
        <f t="shared" si="40"/>
        <v>271</v>
      </c>
      <c r="Y99" s="109">
        <f t="shared" si="8"/>
        <v>0.13866275190177491</v>
      </c>
      <c r="Z99" s="109">
        <f t="shared" si="9"/>
        <v>-0.17961538461538462</v>
      </c>
      <c r="AA99" s="98"/>
      <c r="AB99" s="98"/>
      <c r="AC99" s="98"/>
      <c r="AD99" s="98"/>
      <c r="AE99" s="98"/>
      <c r="AF99" s="98"/>
      <c r="AG99" s="98"/>
    </row>
    <row r="100" spans="1:33" ht="15" x14ac:dyDescent="0.2">
      <c r="A100" s="98" t="s">
        <v>339</v>
      </c>
      <c r="B100" s="98" t="s">
        <v>142</v>
      </c>
      <c r="C100" s="99">
        <v>0.1</v>
      </c>
      <c r="D100" s="100">
        <v>960</v>
      </c>
      <c r="E100" s="122" t="s">
        <v>295</v>
      </c>
      <c r="F100" s="102"/>
      <c r="G100" s="103">
        <f t="shared" si="1"/>
        <v>1075.2</v>
      </c>
      <c r="H100" s="103">
        <f t="shared" si="2"/>
        <v>1036.8000000000002</v>
      </c>
      <c r="I100" s="103"/>
      <c r="J100" s="103"/>
      <c r="K100" s="104"/>
      <c r="L100" s="105"/>
      <c r="M100" s="105"/>
      <c r="N100" s="103"/>
      <c r="O100" s="106"/>
      <c r="P100" s="106"/>
      <c r="Q100" s="126" t="s">
        <v>340</v>
      </c>
      <c r="R100" s="103"/>
      <c r="S100" s="108">
        <f>VLOOKUP(A100,'precios semana 2906'!A:B,2,0)</f>
        <v>960</v>
      </c>
      <c r="T100" s="109">
        <f t="shared" si="6"/>
        <v>0</v>
      </c>
      <c r="U100" s="109" t="e">
        <f t="shared" si="11"/>
        <v>#DIV/0!</v>
      </c>
      <c r="V100" s="109" t="e">
        <f t="shared" si="15"/>
        <v>#DIV/0!</v>
      </c>
      <c r="W100" s="109"/>
      <c r="X100" s="110"/>
      <c r="Y100" s="109" t="e">
        <f t="shared" si="8"/>
        <v>#DIV/0!</v>
      </c>
      <c r="Z100" s="109" t="e">
        <f t="shared" si="9"/>
        <v>#DIV/0!</v>
      </c>
      <c r="AA100" s="98"/>
      <c r="AB100" s="98"/>
      <c r="AC100" s="98"/>
      <c r="AD100" s="98"/>
      <c r="AE100" s="98"/>
      <c r="AF100" s="98"/>
      <c r="AG100" s="98"/>
    </row>
    <row r="101" spans="1:33" ht="15" x14ac:dyDescent="0.2">
      <c r="A101" s="98" t="s">
        <v>341</v>
      </c>
      <c r="B101" s="98" t="s">
        <v>142</v>
      </c>
      <c r="C101" s="99">
        <v>0.1</v>
      </c>
      <c r="D101" s="100">
        <v>720</v>
      </c>
      <c r="E101" s="122" t="s">
        <v>295</v>
      </c>
      <c r="F101" s="102"/>
      <c r="G101" s="103">
        <f t="shared" si="1"/>
        <v>806.40000000000009</v>
      </c>
      <c r="H101" s="103">
        <f t="shared" si="2"/>
        <v>777.6</v>
      </c>
      <c r="I101" s="103"/>
      <c r="J101" s="103"/>
      <c r="K101" s="104">
        <f>21450*0.1</f>
        <v>2145</v>
      </c>
      <c r="L101" s="105"/>
      <c r="M101" s="105">
        <f>(K101-D101)/K101</f>
        <v>0.66433566433566438</v>
      </c>
      <c r="N101" s="103"/>
      <c r="O101" s="106"/>
      <c r="P101" s="106"/>
      <c r="Q101" s="119" t="s">
        <v>342</v>
      </c>
      <c r="R101" s="103"/>
      <c r="S101" s="108">
        <f>VLOOKUP(A101,'precios semana 2906'!A:B,2,0)</f>
        <v>720</v>
      </c>
      <c r="T101" s="109">
        <f t="shared" si="6"/>
        <v>0</v>
      </c>
      <c r="U101" s="109" t="e">
        <f t="shared" si="11"/>
        <v>#DIV/0!</v>
      </c>
      <c r="V101" s="109">
        <f t="shared" si="15"/>
        <v>-0.624055944055944</v>
      </c>
      <c r="W101" s="109"/>
      <c r="X101" s="110">
        <f>G101-K101</f>
        <v>-1338.6</v>
      </c>
      <c r="Y101" s="109">
        <f t="shared" si="8"/>
        <v>-0.6374825174825175</v>
      </c>
      <c r="Z101" s="109" t="e">
        <f t="shared" si="9"/>
        <v>#DIV/0!</v>
      </c>
      <c r="AA101" s="98"/>
      <c r="AB101" s="98"/>
      <c r="AC101" s="98"/>
      <c r="AD101" s="98"/>
      <c r="AE101" s="98"/>
      <c r="AF101" s="98"/>
      <c r="AG101" s="98"/>
    </row>
    <row r="102" spans="1:33" ht="13" x14ac:dyDescent="0.15">
      <c r="A102" s="98" t="s">
        <v>343</v>
      </c>
      <c r="B102" s="98" t="s">
        <v>142</v>
      </c>
      <c r="C102" s="99">
        <v>0.1</v>
      </c>
      <c r="D102" s="100">
        <v>560</v>
      </c>
      <c r="E102" s="122">
        <v>790</v>
      </c>
      <c r="F102" s="102">
        <f t="shared" ref="F102:F105" si="41">(E102-D102)/E102</f>
        <v>0.29113924050632911</v>
      </c>
      <c r="G102" s="103">
        <f t="shared" si="1"/>
        <v>627.20000000000005</v>
      </c>
      <c r="H102" s="103">
        <f t="shared" si="2"/>
        <v>604.80000000000007</v>
      </c>
      <c r="I102" s="103"/>
      <c r="J102" s="103">
        <v>796</v>
      </c>
      <c r="K102" s="104"/>
      <c r="L102" s="105">
        <f t="shared" ref="L102:L105" si="42">(J102-D102)/J102</f>
        <v>0.29648241206030151</v>
      </c>
      <c r="M102" s="105"/>
      <c r="N102" s="103"/>
      <c r="O102" s="106">
        <f t="shared" ref="O102:O105" si="43">(E102-I102)/E102</f>
        <v>1</v>
      </c>
      <c r="P102" s="106">
        <f t="shared" ref="P102:P105" si="44">(E102-K102)/E102</f>
        <v>1</v>
      </c>
      <c r="Q102" s="125" t="s">
        <v>344</v>
      </c>
      <c r="R102" s="103"/>
      <c r="S102" s="108">
        <f>VLOOKUP(A102,'precios semana 2906'!A:B,2,0)</f>
        <v>560</v>
      </c>
      <c r="T102" s="109">
        <f t="shared" si="6"/>
        <v>0</v>
      </c>
      <c r="U102" s="109" t="e">
        <f t="shared" si="11"/>
        <v>#DIV/0!</v>
      </c>
      <c r="V102" s="109" t="e">
        <f t="shared" si="15"/>
        <v>#DIV/0!</v>
      </c>
      <c r="W102" s="109">
        <f t="shared" ref="W102:W105" si="45">G102/J102-1</f>
        <v>-0.21206030150753763</v>
      </c>
      <c r="X102" s="110"/>
      <c r="Y102" s="109" t="e">
        <f t="shared" si="8"/>
        <v>#DIV/0!</v>
      </c>
      <c r="Z102" s="109">
        <f t="shared" si="9"/>
        <v>-0.24020100502512554</v>
      </c>
      <c r="AA102" s="98"/>
      <c r="AB102" s="98"/>
      <c r="AC102" s="98"/>
      <c r="AD102" s="98"/>
      <c r="AE102" s="98"/>
      <c r="AF102" s="98"/>
      <c r="AG102" s="98"/>
    </row>
    <row r="103" spans="1:33" ht="13" x14ac:dyDescent="0.15">
      <c r="A103" s="98" t="s">
        <v>345</v>
      </c>
      <c r="B103" s="98" t="s">
        <v>142</v>
      </c>
      <c r="C103" s="99">
        <v>0.1</v>
      </c>
      <c r="D103" s="100">
        <v>1040</v>
      </c>
      <c r="E103" s="122">
        <v>1390</v>
      </c>
      <c r="F103" s="102">
        <f t="shared" si="41"/>
        <v>0.25179856115107913</v>
      </c>
      <c r="G103" s="103">
        <f t="shared" si="1"/>
        <v>1164.8000000000002</v>
      </c>
      <c r="H103" s="103">
        <f t="shared" si="2"/>
        <v>1123.2</v>
      </c>
      <c r="I103" s="103"/>
      <c r="J103" s="103">
        <v>1396</v>
      </c>
      <c r="K103" s="104"/>
      <c r="L103" s="105">
        <f t="shared" si="42"/>
        <v>0.25501432664756446</v>
      </c>
      <c r="M103" s="105"/>
      <c r="N103" s="103"/>
      <c r="O103" s="106">
        <f t="shared" si="43"/>
        <v>1</v>
      </c>
      <c r="P103" s="106">
        <f t="shared" si="44"/>
        <v>1</v>
      </c>
      <c r="Q103" s="125" t="s">
        <v>346</v>
      </c>
      <c r="R103" s="103"/>
      <c r="S103" s="108">
        <f>VLOOKUP(A103,'precios semana 2906'!A:B,2,0)</f>
        <v>1040</v>
      </c>
      <c r="T103" s="109">
        <f t="shared" si="6"/>
        <v>0</v>
      </c>
      <c r="U103" s="109" t="e">
        <f t="shared" si="11"/>
        <v>#DIV/0!</v>
      </c>
      <c r="V103" s="109" t="e">
        <f t="shared" si="15"/>
        <v>#DIV/0!</v>
      </c>
      <c r="W103" s="109">
        <f t="shared" si="45"/>
        <v>-0.16561604584527212</v>
      </c>
      <c r="X103" s="110"/>
      <c r="Y103" s="109" t="e">
        <f t="shared" si="8"/>
        <v>#DIV/0!</v>
      </c>
      <c r="Z103" s="109">
        <f t="shared" si="9"/>
        <v>-0.19541547277936955</v>
      </c>
      <c r="AA103" s="98"/>
      <c r="AB103" s="98"/>
      <c r="AC103" s="98"/>
      <c r="AD103" s="98"/>
      <c r="AE103" s="98"/>
      <c r="AF103" s="98"/>
      <c r="AG103" s="98"/>
    </row>
    <row r="104" spans="1:33" ht="13" x14ac:dyDescent="0.15">
      <c r="A104" s="98" t="s">
        <v>347</v>
      </c>
      <c r="B104" s="98" t="s">
        <v>142</v>
      </c>
      <c r="C104" s="99">
        <v>0.1</v>
      </c>
      <c r="D104" s="100">
        <v>990</v>
      </c>
      <c r="E104" s="122">
        <v>1390</v>
      </c>
      <c r="F104" s="102">
        <f t="shared" si="41"/>
        <v>0.28776978417266186</v>
      </c>
      <c r="G104" s="103">
        <f t="shared" si="1"/>
        <v>1108.8000000000002</v>
      </c>
      <c r="H104" s="103">
        <f t="shared" si="2"/>
        <v>1069.2</v>
      </c>
      <c r="I104" s="103"/>
      <c r="J104" s="103">
        <v>1396</v>
      </c>
      <c r="K104" s="104"/>
      <c r="L104" s="105">
        <f t="shared" si="42"/>
        <v>0.29083094555873923</v>
      </c>
      <c r="M104" s="105"/>
      <c r="N104" s="103">
        <f>5990/5</f>
        <v>1198</v>
      </c>
      <c r="O104" s="106">
        <f t="shared" si="43"/>
        <v>1</v>
      </c>
      <c r="P104" s="106">
        <f t="shared" si="44"/>
        <v>1</v>
      </c>
      <c r="Q104" s="125" t="s">
        <v>348</v>
      </c>
      <c r="R104" s="103"/>
      <c r="S104" s="108">
        <f>VLOOKUP(A104,'precios semana 2906'!A:B,2,0)</f>
        <v>990</v>
      </c>
      <c r="T104" s="109">
        <f t="shared" si="6"/>
        <v>0</v>
      </c>
      <c r="U104" s="109" t="e">
        <f t="shared" si="11"/>
        <v>#DIV/0!</v>
      </c>
      <c r="V104" s="109" t="e">
        <f t="shared" si="15"/>
        <v>#DIV/0!</v>
      </c>
      <c r="W104" s="109">
        <f t="shared" si="45"/>
        <v>-0.2057306590257878</v>
      </c>
      <c r="X104" s="110"/>
      <c r="Y104" s="109" t="e">
        <f t="shared" si="8"/>
        <v>#DIV/0!</v>
      </c>
      <c r="Z104" s="109">
        <f t="shared" si="9"/>
        <v>-0.23409742120343835</v>
      </c>
      <c r="AA104" s="98"/>
      <c r="AB104" s="98"/>
      <c r="AC104" s="98"/>
      <c r="AD104" s="98"/>
      <c r="AE104" s="98"/>
      <c r="AF104" s="98"/>
      <c r="AG104" s="98"/>
    </row>
    <row r="105" spans="1:33" ht="13" x14ac:dyDescent="0.15">
      <c r="A105" s="98" t="s">
        <v>349</v>
      </c>
      <c r="B105" s="98" t="s">
        <v>142</v>
      </c>
      <c r="C105" s="99">
        <v>0.5</v>
      </c>
      <c r="D105" s="100">
        <v>1200</v>
      </c>
      <c r="E105" s="122">
        <v>2990</v>
      </c>
      <c r="F105" s="102">
        <f t="shared" si="41"/>
        <v>0.59866220735785958</v>
      </c>
      <c r="G105" s="103">
        <f t="shared" si="1"/>
        <v>1344.0000000000002</v>
      </c>
      <c r="H105" s="103">
        <f t="shared" si="2"/>
        <v>1296</v>
      </c>
      <c r="I105" s="103"/>
      <c r="J105" s="103">
        <v>1498</v>
      </c>
      <c r="K105" s="104"/>
      <c r="L105" s="105">
        <f t="shared" si="42"/>
        <v>0.19893190921228304</v>
      </c>
      <c r="M105" s="105"/>
      <c r="N105" s="103">
        <f>11990/4</f>
        <v>2997.5</v>
      </c>
      <c r="O105" s="106">
        <f t="shared" si="43"/>
        <v>1</v>
      </c>
      <c r="P105" s="106">
        <f t="shared" si="44"/>
        <v>1</v>
      </c>
      <c r="Q105" s="125" t="s">
        <v>350</v>
      </c>
      <c r="R105" s="103"/>
      <c r="S105" s="108">
        <f>VLOOKUP(A105,'precios semana 2906'!A:B,2,0)</f>
        <v>1200</v>
      </c>
      <c r="T105" s="109">
        <f t="shared" si="6"/>
        <v>0</v>
      </c>
      <c r="U105" s="109" t="e">
        <f t="shared" si="11"/>
        <v>#DIV/0!</v>
      </c>
      <c r="V105" s="109" t="e">
        <f t="shared" si="15"/>
        <v>#DIV/0!</v>
      </c>
      <c r="W105" s="109">
        <f t="shared" si="45"/>
        <v>-0.10280373831775691</v>
      </c>
      <c r="X105" s="110"/>
      <c r="Y105" s="109" t="e">
        <f t="shared" si="8"/>
        <v>#DIV/0!</v>
      </c>
      <c r="Z105" s="109">
        <f t="shared" si="9"/>
        <v>-0.13484646194926564</v>
      </c>
      <c r="AA105" s="98"/>
      <c r="AB105" s="98"/>
      <c r="AC105" s="98"/>
      <c r="AD105" s="98"/>
      <c r="AE105" s="98"/>
      <c r="AF105" s="98"/>
      <c r="AG105" s="98"/>
    </row>
    <row r="106" spans="1:33" ht="13" x14ac:dyDescent="0.15">
      <c r="A106" s="98" t="s">
        <v>351</v>
      </c>
      <c r="B106" s="98" t="s">
        <v>142</v>
      </c>
      <c r="C106" s="99">
        <v>0.1</v>
      </c>
      <c r="D106" s="100">
        <v>900</v>
      </c>
      <c r="E106" s="122" t="s">
        <v>295</v>
      </c>
      <c r="F106" s="102"/>
      <c r="G106" s="103">
        <f t="shared" si="1"/>
        <v>1008.0000000000001</v>
      </c>
      <c r="H106" s="103">
        <f t="shared" si="2"/>
        <v>972.00000000000011</v>
      </c>
      <c r="I106" s="103"/>
      <c r="J106" s="103"/>
      <c r="K106" s="104"/>
      <c r="L106" s="105"/>
      <c r="M106" s="105"/>
      <c r="N106" s="103"/>
      <c r="O106" s="106"/>
      <c r="P106" s="106"/>
      <c r="Q106" s="125" t="s">
        <v>352</v>
      </c>
      <c r="R106" s="103"/>
      <c r="S106" s="108">
        <f>VLOOKUP(A106,'precios semana 2906'!A:B,2,0)</f>
        <v>900</v>
      </c>
      <c r="T106" s="109">
        <f t="shared" si="6"/>
        <v>0</v>
      </c>
      <c r="U106" s="109" t="e">
        <f t="shared" si="11"/>
        <v>#DIV/0!</v>
      </c>
      <c r="V106" s="109" t="e">
        <f t="shared" si="15"/>
        <v>#DIV/0!</v>
      </c>
      <c r="W106" s="109"/>
      <c r="X106" s="110"/>
      <c r="Y106" s="109" t="e">
        <f t="shared" si="8"/>
        <v>#DIV/0!</v>
      </c>
      <c r="Z106" s="109" t="e">
        <f t="shared" si="9"/>
        <v>#DIV/0!</v>
      </c>
      <c r="AA106" s="98"/>
      <c r="AB106" s="98"/>
      <c r="AC106" s="98"/>
      <c r="AD106" s="98"/>
      <c r="AE106" s="98"/>
      <c r="AF106" s="98"/>
      <c r="AG106" s="98"/>
    </row>
    <row r="107" spans="1:33" ht="13" x14ac:dyDescent="0.15">
      <c r="A107" s="98" t="s">
        <v>353</v>
      </c>
      <c r="B107" s="98" t="s">
        <v>142</v>
      </c>
      <c r="C107" s="99">
        <v>0.1</v>
      </c>
      <c r="D107" s="100">
        <v>350</v>
      </c>
      <c r="E107" s="122">
        <v>790</v>
      </c>
      <c r="F107" s="102">
        <f t="shared" ref="F107:F112" si="46">(E107-D107)/E107</f>
        <v>0.55696202531645567</v>
      </c>
      <c r="G107" s="103">
        <f t="shared" si="1"/>
        <v>392.00000000000006</v>
      </c>
      <c r="H107" s="103">
        <f t="shared" si="2"/>
        <v>378</v>
      </c>
      <c r="I107" s="103"/>
      <c r="J107" s="103">
        <v>398</v>
      </c>
      <c r="K107" s="104"/>
      <c r="L107" s="105">
        <f t="shared" ref="L107:L112" si="47">(J107-D107)/J107</f>
        <v>0.12060301507537688</v>
      </c>
      <c r="M107" s="105"/>
      <c r="N107" s="103">
        <f>2790/5</f>
        <v>558</v>
      </c>
      <c r="O107" s="106">
        <f t="shared" ref="O107:O112" si="48">(E107-I107)/E107</f>
        <v>1</v>
      </c>
      <c r="P107" s="106">
        <f t="shared" ref="P107:P112" si="49">(E107-K107)/E107</f>
        <v>1</v>
      </c>
      <c r="Q107" s="125" t="s">
        <v>354</v>
      </c>
      <c r="R107" s="103"/>
      <c r="S107" s="108">
        <f>VLOOKUP(A107,'precios semana 2906'!A:B,2,0)</f>
        <v>350</v>
      </c>
      <c r="T107" s="109">
        <f t="shared" si="6"/>
        <v>0</v>
      </c>
      <c r="U107" s="109" t="e">
        <f t="shared" si="11"/>
        <v>#DIV/0!</v>
      </c>
      <c r="V107" s="109" t="e">
        <f t="shared" si="15"/>
        <v>#DIV/0!</v>
      </c>
      <c r="W107" s="109">
        <f t="shared" ref="W107:W112" si="50">G107/J107-1</f>
        <v>-1.5075376884421954E-2</v>
      </c>
      <c r="X107" s="110"/>
      <c r="Y107" s="109" t="e">
        <f t="shared" si="8"/>
        <v>#DIV/0!</v>
      </c>
      <c r="Z107" s="109">
        <f t="shared" si="9"/>
        <v>-5.0251256281407031E-2</v>
      </c>
      <c r="AA107" s="98"/>
      <c r="AB107" s="98"/>
      <c r="AC107" s="98"/>
      <c r="AD107" s="98"/>
      <c r="AE107" s="98"/>
      <c r="AF107" s="98"/>
      <c r="AG107" s="98"/>
    </row>
    <row r="108" spans="1:33" ht="13" x14ac:dyDescent="0.15">
      <c r="A108" s="111" t="s">
        <v>355</v>
      </c>
      <c r="B108" s="98" t="s">
        <v>142</v>
      </c>
      <c r="C108" s="99">
        <v>0.1</v>
      </c>
      <c r="D108" s="100">
        <v>1550</v>
      </c>
      <c r="E108" s="122">
        <v>2990</v>
      </c>
      <c r="F108" s="102">
        <f t="shared" si="46"/>
        <v>0.48160535117056857</v>
      </c>
      <c r="G108" s="103">
        <f t="shared" si="1"/>
        <v>1736.0000000000002</v>
      </c>
      <c r="H108" s="103">
        <f t="shared" si="2"/>
        <v>1674</v>
      </c>
      <c r="I108" s="103"/>
      <c r="J108" s="103">
        <v>2990</v>
      </c>
      <c r="K108" s="104">
        <v>1701.7</v>
      </c>
      <c r="L108" s="105">
        <f t="shared" si="47"/>
        <v>0.48160535117056857</v>
      </c>
      <c r="M108" s="105">
        <f t="shared" ref="M108:M112" si="51">(K108-D108)/K108</f>
        <v>8.9146147969677403E-2</v>
      </c>
      <c r="N108" s="103"/>
      <c r="O108" s="106">
        <f t="shared" si="48"/>
        <v>1</v>
      </c>
      <c r="P108" s="106">
        <f t="shared" si="49"/>
        <v>0.43086956521739128</v>
      </c>
      <c r="Q108" s="112" t="s">
        <v>356</v>
      </c>
      <c r="R108" s="103"/>
      <c r="S108" s="108">
        <f>VLOOKUP(A108,'precios semana 2906'!A:B,2,0)</f>
        <v>1550</v>
      </c>
      <c r="T108" s="109">
        <f t="shared" si="6"/>
        <v>0</v>
      </c>
      <c r="U108" s="109" t="e">
        <f t="shared" si="11"/>
        <v>#DIV/0!</v>
      </c>
      <c r="V108" s="109">
        <f t="shared" si="15"/>
        <v>2.0156314273961362E-2</v>
      </c>
      <c r="W108" s="109">
        <f t="shared" si="50"/>
        <v>-0.41939799331103667</v>
      </c>
      <c r="X108" s="110">
        <f t="shared" ref="X108:X112" si="52">G108-K108</f>
        <v>34.300000000000182</v>
      </c>
      <c r="Y108" s="109">
        <f t="shared" si="8"/>
        <v>-1.6277839807251615E-2</v>
      </c>
      <c r="Z108" s="109">
        <f t="shared" si="9"/>
        <v>-0.44013377926421404</v>
      </c>
      <c r="AA108" s="98"/>
      <c r="AB108" s="98"/>
      <c r="AC108" s="98"/>
      <c r="AD108" s="98"/>
      <c r="AE108" s="98"/>
      <c r="AF108" s="98"/>
      <c r="AG108" s="98"/>
    </row>
    <row r="109" spans="1:33" ht="15" x14ac:dyDescent="0.2">
      <c r="A109" s="98" t="s">
        <v>357</v>
      </c>
      <c r="B109" s="98" t="s">
        <v>116</v>
      </c>
      <c r="C109" s="99">
        <v>1</v>
      </c>
      <c r="D109" s="100">
        <v>7200</v>
      </c>
      <c r="E109" s="122">
        <v>10990</v>
      </c>
      <c r="F109" s="102">
        <f t="shared" si="46"/>
        <v>0.34485896269335758</v>
      </c>
      <c r="G109" s="103">
        <f t="shared" si="1"/>
        <v>8064.0000000000009</v>
      </c>
      <c r="H109" s="103">
        <f t="shared" si="2"/>
        <v>7776.0000000000009</v>
      </c>
      <c r="I109" s="103">
        <v>11250</v>
      </c>
      <c r="J109" s="103">
        <v>11990</v>
      </c>
      <c r="K109" s="127">
        <v>11190</v>
      </c>
      <c r="L109" s="105">
        <f t="shared" si="47"/>
        <v>0.3994995829858215</v>
      </c>
      <c r="M109" s="105">
        <f t="shared" si="51"/>
        <v>0.35656836461126007</v>
      </c>
      <c r="N109" s="103" t="s">
        <v>184</v>
      </c>
      <c r="O109" s="106">
        <f t="shared" si="48"/>
        <v>-2.3657870791628753E-2</v>
      </c>
      <c r="P109" s="106">
        <f t="shared" si="49"/>
        <v>-1.8198362147406732E-2</v>
      </c>
      <c r="Q109" s="112" t="s">
        <v>358</v>
      </c>
      <c r="R109" s="103"/>
      <c r="S109" s="109"/>
      <c r="T109" s="109" t="e">
        <f t="shared" ref="T109:T112" si="53">(D109/S109)-1</f>
        <v>#DIV/0!</v>
      </c>
      <c r="U109" s="109">
        <f t="shared" si="11"/>
        <v>-0.2831999999999999</v>
      </c>
      <c r="V109" s="109">
        <f t="shared" si="15"/>
        <v>-0.2793565683646112</v>
      </c>
      <c r="W109" s="109">
        <f t="shared" si="50"/>
        <v>-0.32743953294411998</v>
      </c>
      <c r="X109" s="110">
        <f t="shared" si="52"/>
        <v>-3125.9999999999991</v>
      </c>
      <c r="Y109" s="109">
        <f t="shared" si="8"/>
        <v>-0.30509383378016075</v>
      </c>
      <c r="Z109" s="109">
        <f t="shared" si="9"/>
        <v>-0.35145954962468717</v>
      </c>
      <c r="AA109" s="98"/>
      <c r="AB109" s="98"/>
      <c r="AC109" s="98"/>
      <c r="AD109" s="98"/>
      <c r="AE109" s="98"/>
      <c r="AF109" s="98"/>
      <c r="AG109" s="98"/>
    </row>
    <row r="110" spans="1:33" ht="15" x14ac:dyDescent="0.2">
      <c r="A110" s="98" t="s">
        <v>359</v>
      </c>
      <c r="B110" s="98" t="s">
        <v>116</v>
      </c>
      <c r="C110" s="99">
        <v>1</v>
      </c>
      <c r="D110" s="100">
        <v>7500</v>
      </c>
      <c r="E110" s="122">
        <v>12500</v>
      </c>
      <c r="F110" s="102">
        <f t="shared" si="46"/>
        <v>0.4</v>
      </c>
      <c r="G110" s="103">
        <f t="shared" si="1"/>
        <v>8400</v>
      </c>
      <c r="H110" s="103">
        <f t="shared" si="2"/>
        <v>8100.0000000000009</v>
      </c>
      <c r="I110" s="103">
        <v>12750</v>
      </c>
      <c r="J110" s="103">
        <v>13470</v>
      </c>
      <c r="K110" s="127">
        <v>11690</v>
      </c>
      <c r="L110" s="105">
        <f t="shared" si="47"/>
        <v>0.44320712694877507</v>
      </c>
      <c r="M110" s="105">
        <f t="shared" si="51"/>
        <v>0.35842600513259198</v>
      </c>
      <c r="N110" s="103">
        <v>13990</v>
      </c>
      <c r="O110" s="106">
        <f t="shared" si="48"/>
        <v>-0.02</v>
      </c>
      <c r="P110" s="106">
        <f t="shared" si="49"/>
        <v>6.4799999999999996E-2</v>
      </c>
      <c r="Q110" s="112" t="s">
        <v>360</v>
      </c>
      <c r="R110" s="103"/>
      <c r="S110" s="109"/>
      <c r="T110" s="109" t="e">
        <f t="shared" si="53"/>
        <v>#DIV/0!</v>
      </c>
      <c r="U110" s="109">
        <f t="shared" si="11"/>
        <v>-0.3411764705882353</v>
      </c>
      <c r="V110" s="109">
        <f t="shared" si="15"/>
        <v>-0.28143712574850299</v>
      </c>
      <c r="W110" s="109">
        <f t="shared" si="50"/>
        <v>-0.37639198218262804</v>
      </c>
      <c r="X110" s="110">
        <f t="shared" si="52"/>
        <v>-3290</v>
      </c>
      <c r="Y110" s="109">
        <f t="shared" si="8"/>
        <v>-0.30710008554319923</v>
      </c>
      <c r="Z110" s="109">
        <f t="shared" si="9"/>
        <v>-0.39866369710467697</v>
      </c>
      <c r="AA110" s="98"/>
      <c r="AB110" s="98"/>
      <c r="AC110" s="98"/>
      <c r="AD110" s="98"/>
      <c r="AE110" s="98"/>
      <c r="AF110" s="98"/>
      <c r="AG110" s="98"/>
    </row>
    <row r="111" spans="1:33" ht="13" x14ac:dyDescent="0.15">
      <c r="A111" s="98" t="s">
        <v>361</v>
      </c>
      <c r="B111" s="98" t="s">
        <v>116</v>
      </c>
      <c r="C111" s="99">
        <v>1</v>
      </c>
      <c r="D111" s="100">
        <v>240</v>
      </c>
      <c r="E111" s="122">
        <v>366</v>
      </c>
      <c r="F111" s="102">
        <f t="shared" si="46"/>
        <v>0.34426229508196721</v>
      </c>
      <c r="G111" s="103">
        <f t="shared" si="1"/>
        <v>268.8</v>
      </c>
      <c r="H111" s="103">
        <f t="shared" si="2"/>
        <v>259.20000000000005</v>
      </c>
      <c r="I111" s="103">
        <v>375</v>
      </c>
      <c r="J111" s="103">
        <v>400</v>
      </c>
      <c r="K111" s="104">
        <v>373</v>
      </c>
      <c r="L111" s="105">
        <f t="shared" si="47"/>
        <v>0.4</v>
      </c>
      <c r="M111" s="105">
        <f t="shared" si="51"/>
        <v>0.35656836461126007</v>
      </c>
      <c r="N111" s="103" t="s">
        <v>184</v>
      </c>
      <c r="O111" s="106">
        <f t="shared" si="48"/>
        <v>-2.4590163934426229E-2</v>
      </c>
      <c r="P111" s="106">
        <f t="shared" si="49"/>
        <v>-1.912568306010929E-2</v>
      </c>
      <c r="Q111" s="112" t="s">
        <v>362</v>
      </c>
      <c r="R111" s="103"/>
      <c r="S111" s="109"/>
      <c r="T111" s="109" t="e">
        <f t="shared" si="53"/>
        <v>#DIV/0!</v>
      </c>
      <c r="U111" s="109">
        <f t="shared" si="11"/>
        <v>-0.28320000000000001</v>
      </c>
      <c r="V111" s="109">
        <f t="shared" si="15"/>
        <v>-0.2793565683646112</v>
      </c>
      <c r="W111" s="109">
        <f t="shared" si="50"/>
        <v>-0.32799999999999996</v>
      </c>
      <c r="X111" s="110">
        <f t="shared" si="52"/>
        <v>-104.19999999999999</v>
      </c>
      <c r="Y111" s="109">
        <f t="shared" si="8"/>
        <v>-0.30509383378016075</v>
      </c>
      <c r="Z111" s="109">
        <f t="shared" si="9"/>
        <v>-0.35199999999999987</v>
      </c>
      <c r="AA111" s="98"/>
      <c r="AB111" s="98"/>
      <c r="AC111" s="98"/>
      <c r="AD111" s="98"/>
      <c r="AE111" s="98"/>
      <c r="AF111" s="98"/>
      <c r="AG111" s="98"/>
    </row>
    <row r="112" spans="1:33" ht="13" x14ac:dyDescent="0.15">
      <c r="A112" s="98" t="s">
        <v>363</v>
      </c>
      <c r="B112" s="98" t="s">
        <v>116</v>
      </c>
      <c r="C112" s="99">
        <v>1</v>
      </c>
      <c r="D112" s="100">
        <v>250</v>
      </c>
      <c r="E112" s="122">
        <v>400</v>
      </c>
      <c r="F112" s="102">
        <f t="shared" si="46"/>
        <v>0.375</v>
      </c>
      <c r="G112" s="103">
        <f t="shared" si="1"/>
        <v>280</v>
      </c>
      <c r="H112" s="103">
        <f t="shared" si="2"/>
        <v>270</v>
      </c>
      <c r="I112" s="103">
        <v>425</v>
      </c>
      <c r="J112" s="103">
        <v>449</v>
      </c>
      <c r="K112" s="104">
        <v>389.66666666666669</v>
      </c>
      <c r="L112" s="105">
        <f t="shared" si="47"/>
        <v>0.44320712694877507</v>
      </c>
      <c r="M112" s="105">
        <f t="shared" si="51"/>
        <v>0.35842600513259198</v>
      </c>
      <c r="N112" s="103">
        <v>466.33333333333331</v>
      </c>
      <c r="O112" s="106">
        <f t="shared" si="48"/>
        <v>-6.25E-2</v>
      </c>
      <c r="P112" s="106">
        <f t="shared" si="49"/>
        <v>2.5833333333333285E-2</v>
      </c>
      <c r="Q112" s="112" t="s">
        <v>364</v>
      </c>
      <c r="R112" s="103"/>
      <c r="S112" s="109"/>
      <c r="T112" s="109" t="e">
        <f t="shared" si="53"/>
        <v>#DIV/0!</v>
      </c>
      <c r="U112" s="109">
        <f t="shared" si="11"/>
        <v>-0.3411764705882353</v>
      </c>
      <c r="V112" s="109">
        <f t="shared" si="15"/>
        <v>-0.28143712574850299</v>
      </c>
      <c r="W112" s="109">
        <f t="shared" si="50"/>
        <v>-0.37639198218262804</v>
      </c>
      <c r="X112" s="110">
        <f t="shared" si="52"/>
        <v>-109.66666666666669</v>
      </c>
      <c r="Y112" s="109">
        <f t="shared" si="8"/>
        <v>-0.30710008554319934</v>
      </c>
      <c r="Z112" s="109">
        <f t="shared" si="9"/>
        <v>-0.39866369710467708</v>
      </c>
      <c r="AA112" s="98"/>
      <c r="AB112" s="98"/>
      <c r="AC112" s="98"/>
      <c r="AD112" s="98"/>
      <c r="AE112" s="98"/>
      <c r="AF112" s="98"/>
      <c r="AG112" s="98"/>
    </row>
  </sheetData>
  <conditionalFormatting sqref="F1:F112 X2:X112">
    <cfRule type="cellIs" dxfId="1" priority="1" operator="greaterThanOrEqual">
      <formula>"50%"</formula>
    </cfRule>
  </conditionalFormatting>
  <conditionalFormatting sqref="F1:F112">
    <cfRule type="cellIs" dxfId="0" priority="2" operator="lessThan">
      <formula>"30%"</formula>
    </cfRule>
  </conditionalFormatting>
  <hyperlinks>
    <hyperlink ref="Q2" r:id="rId1" xr:uid="{00000000-0004-0000-0200-000000000000}"/>
    <hyperlink ref="Q3" r:id="rId2" xr:uid="{00000000-0004-0000-0200-000001000000}"/>
    <hyperlink ref="Q4" r:id="rId3" xr:uid="{00000000-0004-0000-0200-000002000000}"/>
    <hyperlink ref="Q5" r:id="rId4" xr:uid="{00000000-0004-0000-0200-000003000000}"/>
    <hyperlink ref="Q6" r:id="rId5" xr:uid="{00000000-0004-0000-0200-000004000000}"/>
    <hyperlink ref="Q7" r:id="rId6" xr:uid="{00000000-0004-0000-0200-000005000000}"/>
    <hyperlink ref="Q8" r:id="rId7" xr:uid="{00000000-0004-0000-0200-000006000000}"/>
    <hyperlink ref="Q9" r:id="rId8" xr:uid="{00000000-0004-0000-0200-000007000000}"/>
    <hyperlink ref="Q10" r:id="rId9" xr:uid="{00000000-0004-0000-0200-000008000000}"/>
    <hyperlink ref="Q11" r:id="rId10" xr:uid="{00000000-0004-0000-0200-000009000000}"/>
    <hyperlink ref="Q12" r:id="rId11" xr:uid="{00000000-0004-0000-0200-00000A000000}"/>
    <hyperlink ref="Q13" r:id="rId12" xr:uid="{00000000-0004-0000-0200-00000B000000}"/>
    <hyperlink ref="Q14" r:id="rId13" xr:uid="{00000000-0004-0000-0200-00000C000000}"/>
    <hyperlink ref="Q15" r:id="rId14" xr:uid="{00000000-0004-0000-0200-00000D000000}"/>
    <hyperlink ref="Q16" r:id="rId15" xr:uid="{00000000-0004-0000-0200-00000E000000}"/>
    <hyperlink ref="Q17" r:id="rId16" xr:uid="{00000000-0004-0000-0200-00000F000000}"/>
    <hyperlink ref="Q18" r:id="rId17" xr:uid="{00000000-0004-0000-0200-000010000000}"/>
    <hyperlink ref="Q19" r:id="rId18" xr:uid="{00000000-0004-0000-0200-000011000000}"/>
    <hyperlink ref="Q20" r:id="rId19" xr:uid="{00000000-0004-0000-0200-000012000000}"/>
    <hyperlink ref="Q21" r:id="rId20" xr:uid="{00000000-0004-0000-0200-000013000000}"/>
    <hyperlink ref="Q22" r:id="rId21" xr:uid="{00000000-0004-0000-0200-000014000000}"/>
    <hyperlink ref="Q23" r:id="rId22" xr:uid="{00000000-0004-0000-0200-000015000000}"/>
    <hyperlink ref="Q24" r:id="rId23" xr:uid="{00000000-0004-0000-0200-000016000000}"/>
    <hyperlink ref="Q25" r:id="rId24" xr:uid="{00000000-0004-0000-0200-000017000000}"/>
    <hyperlink ref="Q26" r:id="rId25" xr:uid="{00000000-0004-0000-0200-000018000000}"/>
    <hyperlink ref="Q27" r:id="rId26" xr:uid="{00000000-0004-0000-0200-000019000000}"/>
    <hyperlink ref="Q28" r:id="rId27" xr:uid="{00000000-0004-0000-0200-00001A000000}"/>
    <hyperlink ref="Q29" r:id="rId28" xr:uid="{00000000-0004-0000-0200-00001B000000}"/>
    <hyperlink ref="Q30" r:id="rId29" xr:uid="{00000000-0004-0000-0200-00001C000000}"/>
    <hyperlink ref="Q31" r:id="rId30" xr:uid="{00000000-0004-0000-0200-00001D000000}"/>
    <hyperlink ref="Q32" r:id="rId31" xr:uid="{00000000-0004-0000-0200-00001E000000}"/>
    <hyperlink ref="Q33" r:id="rId32" xr:uid="{00000000-0004-0000-0200-00001F000000}"/>
    <hyperlink ref="Q34" r:id="rId33" xr:uid="{00000000-0004-0000-0200-000020000000}"/>
    <hyperlink ref="Q35" r:id="rId34" xr:uid="{00000000-0004-0000-0200-000021000000}"/>
    <hyperlink ref="Q36" r:id="rId35" xr:uid="{00000000-0004-0000-0200-000022000000}"/>
    <hyperlink ref="Q37" r:id="rId36" xr:uid="{00000000-0004-0000-0200-000023000000}"/>
    <hyperlink ref="Q38" r:id="rId37" xr:uid="{00000000-0004-0000-0200-000024000000}"/>
    <hyperlink ref="Q39" r:id="rId38" xr:uid="{00000000-0004-0000-0200-000025000000}"/>
    <hyperlink ref="Q40" r:id="rId39" xr:uid="{00000000-0004-0000-0200-000026000000}"/>
    <hyperlink ref="Q41" r:id="rId40" xr:uid="{00000000-0004-0000-0200-000027000000}"/>
    <hyperlink ref="Q42" r:id="rId41" xr:uid="{00000000-0004-0000-0200-000028000000}"/>
    <hyperlink ref="Q43" r:id="rId42" xr:uid="{00000000-0004-0000-0200-000029000000}"/>
    <hyperlink ref="Q44" r:id="rId43" xr:uid="{00000000-0004-0000-0200-00002A000000}"/>
    <hyperlink ref="Q45" r:id="rId44" xr:uid="{00000000-0004-0000-0200-00002B000000}"/>
    <hyperlink ref="Q46" r:id="rId45" xr:uid="{00000000-0004-0000-0200-00002C000000}"/>
    <hyperlink ref="Q47" r:id="rId46" xr:uid="{00000000-0004-0000-0200-00002D000000}"/>
    <hyperlink ref="Q48" r:id="rId47" xr:uid="{00000000-0004-0000-0200-00002E000000}"/>
    <hyperlink ref="Q49" r:id="rId48" xr:uid="{00000000-0004-0000-0200-00002F000000}"/>
    <hyperlink ref="Q50" r:id="rId49" xr:uid="{00000000-0004-0000-0200-000030000000}"/>
    <hyperlink ref="Q51" r:id="rId50" xr:uid="{00000000-0004-0000-0200-000031000000}"/>
    <hyperlink ref="Q52" r:id="rId51" xr:uid="{00000000-0004-0000-0200-000032000000}"/>
    <hyperlink ref="Q53" r:id="rId52" xr:uid="{00000000-0004-0000-0200-000033000000}"/>
    <hyperlink ref="Q54" r:id="rId53" xr:uid="{00000000-0004-0000-0200-000034000000}"/>
    <hyperlink ref="Q55" r:id="rId54" xr:uid="{00000000-0004-0000-0200-000035000000}"/>
    <hyperlink ref="Q56" r:id="rId55" xr:uid="{00000000-0004-0000-0200-000036000000}"/>
    <hyperlink ref="Q57" r:id="rId56" xr:uid="{00000000-0004-0000-0200-000037000000}"/>
    <hyperlink ref="Q58" r:id="rId57" xr:uid="{00000000-0004-0000-0200-000038000000}"/>
    <hyperlink ref="Q59" r:id="rId58" xr:uid="{00000000-0004-0000-0200-000039000000}"/>
    <hyperlink ref="Q60" r:id="rId59" xr:uid="{00000000-0004-0000-0200-00003A000000}"/>
    <hyperlink ref="Q61" r:id="rId60" xr:uid="{00000000-0004-0000-0200-00003B000000}"/>
    <hyperlink ref="Q62" r:id="rId61" xr:uid="{00000000-0004-0000-0200-00003C000000}"/>
    <hyperlink ref="Q63" r:id="rId62" xr:uid="{00000000-0004-0000-0200-00003D000000}"/>
    <hyperlink ref="Q64" r:id="rId63" xr:uid="{00000000-0004-0000-0200-00003E000000}"/>
    <hyperlink ref="Q65" r:id="rId64" xr:uid="{00000000-0004-0000-0200-00003F000000}"/>
    <hyperlink ref="Q66" r:id="rId65" xr:uid="{00000000-0004-0000-0200-000040000000}"/>
    <hyperlink ref="Q67" r:id="rId66" xr:uid="{00000000-0004-0000-0200-000041000000}"/>
    <hyperlink ref="Q68" r:id="rId67" xr:uid="{00000000-0004-0000-0200-000042000000}"/>
    <hyperlink ref="Q69" r:id="rId68" xr:uid="{00000000-0004-0000-0200-000043000000}"/>
    <hyperlink ref="Q70" r:id="rId69" xr:uid="{00000000-0004-0000-0200-000044000000}"/>
    <hyperlink ref="Q71" r:id="rId70" xr:uid="{00000000-0004-0000-0200-000045000000}"/>
    <hyperlink ref="Q72" r:id="rId71" xr:uid="{00000000-0004-0000-0200-000046000000}"/>
    <hyperlink ref="Q73" r:id="rId72" xr:uid="{00000000-0004-0000-0200-000047000000}"/>
    <hyperlink ref="Q74" r:id="rId73" xr:uid="{00000000-0004-0000-0200-000048000000}"/>
    <hyperlink ref="Q75" r:id="rId74" xr:uid="{00000000-0004-0000-0200-000049000000}"/>
    <hyperlink ref="Q76" r:id="rId75" xr:uid="{00000000-0004-0000-0200-00004A000000}"/>
    <hyperlink ref="Q77" r:id="rId76" xr:uid="{00000000-0004-0000-0200-00004B000000}"/>
    <hyperlink ref="Q78" r:id="rId77" xr:uid="{00000000-0004-0000-0200-00004C000000}"/>
    <hyperlink ref="Q79" r:id="rId78" xr:uid="{00000000-0004-0000-0200-00004D000000}"/>
    <hyperlink ref="Q80" r:id="rId79" xr:uid="{00000000-0004-0000-0200-00004E000000}"/>
    <hyperlink ref="Q81" r:id="rId80" xr:uid="{00000000-0004-0000-0200-00004F000000}"/>
    <hyperlink ref="Q82" r:id="rId81" xr:uid="{00000000-0004-0000-0200-000050000000}"/>
    <hyperlink ref="Q83" r:id="rId82" xr:uid="{00000000-0004-0000-0200-000051000000}"/>
    <hyperlink ref="Q84" r:id="rId83" xr:uid="{00000000-0004-0000-0200-000052000000}"/>
    <hyperlink ref="Q85" r:id="rId84" xr:uid="{00000000-0004-0000-0200-000053000000}"/>
    <hyperlink ref="Q86" r:id="rId85" xr:uid="{00000000-0004-0000-0200-000054000000}"/>
    <hyperlink ref="Q87" r:id="rId86" xr:uid="{00000000-0004-0000-0200-000055000000}"/>
    <hyperlink ref="Q88" r:id="rId87" xr:uid="{00000000-0004-0000-0200-000056000000}"/>
    <hyperlink ref="Q89" r:id="rId88" xr:uid="{00000000-0004-0000-0200-000057000000}"/>
    <hyperlink ref="Q90" r:id="rId89" xr:uid="{00000000-0004-0000-0200-000058000000}"/>
    <hyperlink ref="Q91" r:id="rId90" xr:uid="{00000000-0004-0000-0200-000059000000}"/>
    <hyperlink ref="Q92" r:id="rId91" xr:uid="{00000000-0004-0000-0200-00005A000000}"/>
    <hyperlink ref="Q93" r:id="rId92" xr:uid="{00000000-0004-0000-0200-00005B000000}"/>
    <hyperlink ref="Q94" r:id="rId93" xr:uid="{00000000-0004-0000-0200-00005C000000}"/>
    <hyperlink ref="Q95" r:id="rId94" xr:uid="{00000000-0004-0000-0200-00005D000000}"/>
    <hyperlink ref="Q96" r:id="rId95" xr:uid="{00000000-0004-0000-0200-00005E000000}"/>
    <hyperlink ref="Q97" r:id="rId96" xr:uid="{00000000-0004-0000-0200-00005F000000}"/>
    <hyperlink ref="Q98" r:id="rId97" xr:uid="{00000000-0004-0000-0200-000060000000}"/>
    <hyperlink ref="Q99" r:id="rId98" xr:uid="{00000000-0004-0000-0200-000061000000}"/>
    <hyperlink ref="Q100" r:id="rId99" xr:uid="{00000000-0004-0000-0200-000062000000}"/>
    <hyperlink ref="Q101" r:id="rId100" xr:uid="{00000000-0004-0000-0200-000063000000}"/>
    <hyperlink ref="Q102" r:id="rId101" xr:uid="{00000000-0004-0000-0200-000064000000}"/>
    <hyperlink ref="Q103" r:id="rId102" xr:uid="{00000000-0004-0000-0200-000065000000}"/>
    <hyperlink ref="Q104" r:id="rId103" xr:uid="{00000000-0004-0000-0200-000066000000}"/>
    <hyperlink ref="Q105" r:id="rId104" xr:uid="{00000000-0004-0000-0200-000067000000}"/>
    <hyperlink ref="Q106" r:id="rId105" xr:uid="{00000000-0004-0000-0200-000068000000}"/>
    <hyperlink ref="Q107" r:id="rId106" xr:uid="{00000000-0004-0000-0200-000069000000}"/>
    <hyperlink ref="Q108" r:id="rId107" xr:uid="{00000000-0004-0000-0200-00006A000000}"/>
    <hyperlink ref="Q109" r:id="rId108" xr:uid="{00000000-0004-0000-0200-00006B000000}"/>
    <hyperlink ref="Q110" r:id="rId109" xr:uid="{00000000-0004-0000-0200-00006C000000}"/>
    <hyperlink ref="Q111" r:id="rId110" xr:uid="{00000000-0004-0000-0200-00006D000000}"/>
    <hyperlink ref="Q112" r:id="rId111" xr:uid="{00000000-0004-0000-0200-00006E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8"/>
  <sheetViews>
    <sheetView workbookViewId="0"/>
  </sheetViews>
  <sheetFormatPr baseColWidth="10" defaultColWidth="12.6640625" defaultRowHeight="15.75" customHeight="1" x14ac:dyDescent="0.15"/>
  <cols>
    <col min="1" max="1" width="5.1640625" customWidth="1"/>
    <col min="2" max="2" width="19.1640625" customWidth="1"/>
  </cols>
  <sheetData>
    <row r="1" spans="1:25" ht="15.75" customHeight="1" x14ac:dyDescent="0.15">
      <c r="A1" s="45"/>
    </row>
    <row r="2" spans="1:25" ht="15.75" customHeight="1" x14ac:dyDescent="0.15">
      <c r="A2" s="6"/>
      <c r="B2" s="77" t="s">
        <v>365</v>
      </c>
      <c r="C2" s="44"/>
      <c r="D2" s="44"/>
      <c r="E2" s="44"/>
    </row>
    <row r="3" spans="1:25" ht="15.75" customHeight="1" x14ac:dyDescent="0.15">
      <c r="A3" s="45"/>
      <c r="B3" s="5" t="s">
        <v>366</v>
      </c>
      <c r="C3" s="44">
        <v>15000</v>
      </c>
      <c r="D3" s="44">
        <v>15000</v>
      </c>
      <c r="E3" s="44">
        <v>40000</v>
      </c>
      <c r="H3" s="44"/>
    </row>
    <row r="4" spans="1:25" ht="15.75" customHeight="1" x14ac:dyDescent="0.15">
      <c r="A4" s="128"/>
      <c r="B4" s="129" t="s">
        <v>367</v>
      </c>
      <c r="C4" s="130">
        <v>2990</v>
      </c>
      <c r="D4" s="131">
        <v>3990</v>
      </c>
      <c r="E4" s="131">
        <v>0</v>
      </c>
      <c r="F4" s="132"/>
    </row>
    <row r="5" spans="1:25" ht="15.75" customHeight="1" x14ac:dyDescent="0.15">
      <c r="A5" s="133">
        <v>0</v>
      </c>
      <c r="B5" s="5" t="s">
        <v>368</v>
      </c>
      <c r="C5" s="130">
        <f t="shared" ref="C5:E5" si="0">C3*$A5</f>
        <v>0</v>
      </c>
      <c r="D5" s="130">
        <f t="shared" si="0"/>
        <v>0</v>
      </c>
      <c r="E5" s="130">
        <f t="shared" si="0"/>
        <v>0</v>
      </c>
    </row>
    <row r="6" spans="1:25" ht="15.75" customHeight="1" x14ac:dyDescent="0.15">
      <c r="A6" s="45"/>
      <c r="B6" s="5" t="s">
        <v>369</v>
      </c>
      <c r="C6" s="130">
        <f t="shared" ref="C6:E6" si="1">C3+C4+C5</f>
        <v>17990</v>
      </c>
      <c r="D6" s="130">
        <f t="shared" si="1"/>
        <v>18990</v>
      </c>
      <c r="E6" s="130">
        <f t="shared" si="1"/>
        <v>40000</v>
      </c>
    </row>
    <row r="7" spans="1:25" ht="15.75" customHeight="1" x14ac:dyDescent="0.15">
      <c r="A7" s="6"/>
      <c r="B7" s="77" t="s">
        <v>370</v>
      </c>
      <c r="C7" s="134">
        <f t="shared" ref="C7:E7" si="2">C6/1.19</f>
        <v>15117.64705882353</v>
      </c>
      <c r="D7" s="134">
        <f t="shared" si="2"/>
        <v>15957.983193277312</v>
      </c>
      <c r="E7" s="134">
        <f t="shared" si="2"/>
        <v>33613.445378151264</v>
      </c>
    </row>
    <row r="8" spans="1:25" ht="15.75" customHeight="1" x14ac:dyDescent="0.15">
      <c r="A8" s="45"/>
      <c r="B8" s="5"/>
      <c r="C8" s="75"/>
      <c r="D8" s="75"/>
      <c r="E8" s="75"/>
    </row>
    <row r="9" spans="1:25" ht="15.75" customHeight="1" x14ac:dyDescent="0.15">
      <c r="A9" s="6"/>
      <c r="B9" s="77" t="s">
        <v>371</v>
      </c>
      <c r="C9" s="134">
        <f t="shared" ref="C9:E9" si="3">SUM(C10:C15)*-1</f>
        <v>-11998.8756302521</v>
      </c>
      <c r="D9" s="134">
        <f t="shared" si="3"/>
        <v>-12018.8756302521</v>
      </c>
      <c r="E9" s="134">
        <f t="shared" si="3"/>
        <v>-26504.201680672271</v>
      </c>
    </row>
    <row r="10" spans="1:25" ht="15.75" customHeight="1" x14ac:dyDescent="0.15">
      <c r="A10" s="135">
        <v>0.39</v>
      </c>
      <c r="B10" s="5" t="s">
        <v>366</v>
      </c>
      <c r="C10" s="44">
        <f t="shared" ref="C10:E10" si="4">C3/1.19*(1-$A10)</f>
        <v>7689.0756302521013</v>
      </c>
      <c r="D10" s="44">
        <f t="shared" si="4"/>
        <v>7689.0756302521013</v>
      </c>
      <c r="E10" s="44">
        <f t="shared" si="4"/>
        <v>20504.201680672271</v>
      </c>
      <c r="G10" s="75"/>
      <c r="H10" s="44"/>
    </row>
    <row r="11" spans="1:25" ht="15.75" customHeight="1" x14ac:dyDescent="0.15">
      <c r="A11" s="45"/>
      <c r="B11" s="5" t="s">
        <v>372</v>
      </c>
      <c r="C11" s="44">
        <v>800</v>
      </c>
      <c r="D11" s="44">
        <v>800</v>
      </c>
      <c r="E11" s="44">
        <v>800</v>
      </c>
    </row>
    <row r="12" spans="1:25" ht="15.75" customHeight="1" x14ac:dyDescent="0.15">
      <c r="A12" s="136">
        <v>0</v>
      </c>
      <c r="B12" s="5" t="s">
        <v>373</v>
      </c>
      <c r="C12" s="137">
        <v>0</v>
      </c>
      <c r="D12" s="137">
        <v>0</v>
      </c>
      <c r="E12" s="137">
        <v>0</v>
      </c>
    </row>
    <row r="13" spans="1:25" ht="15.75" customHeight="1" x14ac:dyDescent="0.15">
      <c r="A13" s="45"/>
      <c r="B13" s="5" t="s">
        <v>374</v>
      </c>
      <c r="C13" s="44">
        <v>2400</v>
      </c>
      <c r="D13" s="44">
        <v>2400</v>
      </c>
      <c r="E13" s="44">
        <v>2400</v>
      </c>
    </row>
    <row r="14" spans="1:25" ht="15.75" customHeight="1" x14ac:dyDescent="0.15">
      <c r="A14" s="138">
        <v>0.05</v>
      </c>
      <c r="B14" s="5" t="s">
        <v>375</v>
      </c>
      <c r="C14" s="44">
        <f>C3*$A14</f>
        <v>750</v>
      </c>
      <c r="D14" s="44">
        <f t="shared" ref="D14:E14" si="5">D3*5%</f>
        <v>750</v>
      </c>
      <c r="E14" s="44">
        <f t="shared" si="5"/>
        <v>2000</v>
      </c>
    </row>
    <row r="15" spans="1:25" ht="15.75" customHeight="1" x14ac:dyDescent="0.15">
      <c r="A15" s="138">
        <v>0.02</v>
      </c>
      <c r="B15" s="5" t="s">
        <v>376</v>
      </c>
      <c r="C15" s="44">
        <f>C6*$A15</f>
        <v>359.8</v>
      </c>
      <c r="D15" s="44">
        <f t="shared" ref="D15:E15" si="6">D6*2%</f>
        <v>379.8</v>
      </c>
      <c r="E15" s="44">
        <f t="shared" si="6"/>
        <v>800</v>
      </c>
    </row>
    <row r="16" spans="1:25" ht="15.75" customHeight="1" x14ac:dyDescent="0.15">
      <c r="A16" s="8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5" ht="15.75" customHeight="1" x14ac:dyDescent="0.15">
      <c r="A17" s="139"/>
      <c r="B17" s="140" t="s">
        <v>377</v>
      </c>
      <c r="C17" s="141">
        <f t="shared" ref="C17:E17" si="7">C7+C9</f>
        <v>3118.7714285714301</v>
      </c>
      <c r="D17" s="141">
        <f t="shared" si="7"/>
        <v>3939.1075630252126</v>
      </c>
      <c r="E17" s="141">
        <f t="shared" si="7"/>
        <v>7109.2436974789925</v>
      </c>
    </row>
    <row r="18" spans="1:5" ht="15.75" customHeight="1" x14ac:dyDescent="0.15">
      <c r="A18" s="139"/>
      <c r="B18" s="140" t="s">
        <v>378</v>
      </c>
      <c r="C18" s="142">
        <f t="shared" ref="C18:E18" si="8">C17/C3</f>
        <v>0.20791809523809535</v>
      </c>
      <c r="D18" s="142">
        <f t="shared" si="8"/>
        <v>0.26260717086834751</v>
      </c>
      <c r="E18" s="142">
        <f t="shared" si="8"/>
        <v>0.17773109243697482</v>
      </c>
    </row>
    <row r="19" spans="1:5" ht="15.75" customHeight="1" x14ac:dyDescent="0.15">
      <c r="A19" s="45"/>
    </row>
    <row r="20" spans="1:5" ht="15.75" customHeight="1" x14ac:dyDescent="0.15">
      <c r="A20" s="45"/>
    </row>
    <row r="21" spans="1:5" ht="15.75" customHeight="1" x14ac:dyDescent="0.15">
      <c r="A21" s="45"/>
    </row>
    <row r="22" spans="1:5" ht="15.75" customHeight="1" x14ac:dyDescent="0.15">
      <c r="A22" s="45"/>
      <c r="C22" s="44"/>
    </row>
    <row r="23" spans="1:5" ht="15.75" customHeight="1" x14ac:dyDescent="0.15">
      <c r="A23" s="45"/>
      <c r="C23" s="44"/>
    </row>
    <row r="24" spans="1:5" ht="15.75" customHeight="1" x14ac:dyDescent="0.15">
      <c r="A24" s="45"/>
      <c r="C24" s="44"/>
    </row>
    <row r="25" spans="1:5" ht="15.75" customHeight="1" x14ac:dyDescent="0.15">
      <c r="A25" s="45"/>
      <c r="C25" s="44"/>
    </row>
    <row r="26" spans="1:5" ht="15.75" customHeight="1" x14ac:dyDescent="0.15">
      <c r="A26" s="45"/>
      <c r="C26" s="44"/>
    </row>
    <row r="27" spans="1:5" ht="15.75" customHeight="1" x14ac:dyDescent="0.15">
      <c r="A27" s="45"/>
    </row>
    <row r="28" spans="1:5" ht="15.75" customHeight="1" x14ac:dyDescent="0.15">
      <c r="A28" s="45"/>
    </row>
    <row r="29" spans="1:5" ht="15.75" customHeight="1" x14ac:dyDescent="0.15">
      <c r="A29" s="45"/>
    </row>
    <row r="30" spans="1:5" ht="15.75" customHeight="1" x14ac:dyDescent="0.15">
      <c r="A30" s="45"/>
    </row>
    <row r="31" spans="1:5" ht="15.75" customHeight="1" x14ac:dyDescent="0.15">
      <c r="A31" s="45"/>
    </row>
    <row r="32" spans="1:5" ht="15.75" customHeight="1" x14ac:dyDescent="0.15">
      <c r="A32" s="45"/>
    </row>
    <row r="33" spans="1:1" ht="15.75" customHeight="1" x14ac:dyDescent="0.15">
      <c r="A33" s="45"/>
    </row>
    <row r="34" spans="1:1" ht="15.75" customHeight="1" x14ac:dyDescent="0.15">
      <c r="A34" s="45"/>
    </row>
    <row r="35" spans="1:1" ht="15.75" customHeight="1" x14ac:dyDescent="0.15">
      <c r="A35" s="45"/>
    </row>
    <row r="36" spans="1:1" ht="15.75" customHeight="1" x14ac:dyDescent="0.15">
      <c r="A36" s="45"/>
    </row>
    <row r="37" spans="1:1" ht="15.75" customHeight="1" x14ac:dyDescent="0.15">
      <c r="A37" s="45"/>
    </row>
    <row r="38" spans="1:1" ht="15.75" customHeight="1" x14ac:dyDescent="0.15">
      <c r="A38" s="45"/>
    </row>
    <row r="39" spans="1:1" ht="15.75" customHeight="1" x14ac:dyDescent="0.15">
      <c r="A39" s="45"/>
    </row>
    <row r="40" spans="1:1" ht="15.75" customHeight="1" x14ac:dyDescent="0.15">
      <c r="A40" s="45"/>
    </row>
    <row r="41" spans="1:1" ht="15.75" customHeight="1" x14ac:dyDescent="0.15">
      <c r="A41" s="45"/>
    </row>
    <row r="42" spans="1:1" ht="15.75" customHeight="1" x14ac:dyDescent="0.15">
      <c r="A42" s="45"/>
    </row>
    <row r="43" spans="1:1" ht="15.75" customHeight="1" x14ac:dyDescent="0.15">
      <c r="A43" s="45"/>
    </row>
    <row r="44" spans="1:1" ht="15.75" customHeight="1" x14ac:dyDescent="0.15">
      <c r="A44" s="45"/>
    </row>
    <row r="45" spans="1:1" ht="15.75" customHeight="1" x14ac:dyDescent="0.15">
      <c r="A45" s="45"/>
    </row>
    <row r="46" spans="1:1" ht="15.75" customHeight="1" x14ac:dyDescent="0.15">
      <c r="A46" s="45"/>
    </row>
    <row r="47" spans="1:1" ht="15.75" customHeight="1" x14ac:dyDescent="0.15">
      <c r="A47" s="45"/>
    </row>
    <row r="48" spans="1:1" ht="15.75" customHeight="1" x14ac:dyDescent="0.15">
      <c r="A48" s="45"/>
    </row>
    <row r="49" spans="1:1" ht="15.75" customHeight="1" x14ac:dyDescent="0.15">
      <c r="A49" s="45"/>
    </row>
    <row r="50" spans="1:1" ht="15.75" customHeight="1" x14ac:dyDescent="0.15">
      <c r="A50" s="45"/>
    </row>
    <row r="51" spans="1:1" ht="15.75" customHeight="1" x14ac:dyDescent="0.15">
      <c r="A51" s="45"/>
    </row>
    <row r="52" spans="1:1" ht="15.75" customHeight="1" x14ac:dyDescent="0.15">
      <c r="A52" s="45"/>
    </row>
    <row r="53" spans="1:1" ht="15.75" customHeight="1" x14ac:dyDescent="0.15">
      <c r="A53" s="45"/>
    </row>
    <row r="54" spans="1:1" ht="15.75" customHeight="1" x14ac:dyDescent="0.15">
      <c r="A54" s="45"/>
    </row>
    <row r="55" spans="1:1" ht="15.75" customHeight="1" x14ac:dyDescent="0.15">
      <c r="A55" s="45"/>
    </row>
    <row r="56" spans="1:1" ht="15.75" customHeight="1" x14ac:dyDescent="0.15">
      <c r="A56" s="45"/>
    </row>
    <row r="57" spans="1:1" ht="15.75" customHeight="1" x14ac:dyDescent="0.15">
      <c r="A57" s="45"/>
    </row>
    <row r="58" spans="1:1" ht="15.75" customHeight="1" x14ac:dyDescent="0.15">
      <c r="A58" s="45"/>
    </row>
    <row r="59" spans="1:1" ht="13" x14ac:dyDescent="0.15">
      <c r="A59" s="45"/>
    </row>
    <row r="60" spans="1:1" ht="13" x14ac:dyDescent="0.15">
      <c r="A60" s="45"/>
    </row>
    <row r="61" spans="1:1" ht="13" x14ac:dyDescent="0.15">
      <c r="A61" s="45"/>
    </row>
    <row r="62" spans="1:1" ht="13" x14ac:dyDescent="0.15">
      <c r="A62" s="45"/>
    </row>
    <row r="63" spans="1:1" ht="13" x14ac:dyDescent="0.15">
      <c r="A63" s="45"/>
    </row>
    <row r="64" spans="1:1" ht="13" x14ac:dyDescent="0.15">
      <c r="A64" s="45"/>
    </row>
    <row r="65" spans="1:1" ht="13" x14ac:dyDescent="0.15">
      <c r="A65" s="45"/>
    </row>
    <row r="66" spans="1:1" ht="13" x14ac:dyDescent="0.15">
      <c r="A66" s="45"/>
    </row>
    <row r="67" spans="1:1" ht="13" x14ac:dyDescent="0.15">
      <c r="A67" s="45"/>
    </row>
    <row r="68" spans="1:1" ht="13" x14ac:dyDescent="0.15">
      <c r="A68" s="45"/>
    </row>
    <row r="69" spans="1:1" ht="13" x14ac:dyDescent="0.15">
      <c r="A69" s="45"/>
    </row>
    <row r="70" spans="1:1" ht="13" x14ac:dyDescent="0.15">
      <c r="A70" s="45"/>
    </row>
    <row r="71" spans="1:1" ht="13" x14ac:dyDescent="0.15">
      <c r="A71" s="45"/>
    </row>
    <row r="72" spans="1:1" ht="13" x14ac:dyDescent="0.15">
      <c r="A72" s="45"/>
    </row>
    <row r="73" spans="1:1" ht="13" x14ac:dyDescent="0.15">
      <c r="A73" s="45"/>
    </row>
    <row r="74" spans="1:1" ht="13" x14ac:dyDescent="0.15">
      <c r="A74" s="45"/>
    </row>
    <row r="75" spans="1:1" ht="13" x14ac:dyDescent="0.15">
      <c r="A75" s="45"/>
    </row>
    <row r="76" spans="1:1" ht="13" x14ac:dyDescent="0.15">
      <c r="A76" s="45"/>
    </row>
    <row r="77" spans="1:1" ht="13" x14ac:dyDescent="0.15">
      <c r="A77" s="45"/>
    </row>
    <row r="78" spans="1:1" ht="13" x14ac:dyDescent="0.15">
      <c r="A78" s="45"/>
    </row>
    <row r="79" spans="1:1" ht="13" x14ac:dyDescent="0.15">
      <c r="A79" s="45"/>
    </row>
    <row r="80" spans="1:1" ht="13" x14ac:dyDescent="0.15">
      <c r="A80" s="45"/>
    </row>
    <row r="81" spans="1:1" ht="13" x14ac:dyDescent="0.15">
      <c r="A81" s="45"/>
    </row>
    <row r="82" spans="1:1" ht="13" x14ac:dyDescent="0.15">
      <c r="A82" s="45"/>
    </row>
    <row r="83" spans="1:1" ht="13" x14ac:dyDescent="0.15">
      <c r="A83" s="45"/>
    </row>
    <row r="84" spans="1:1" ht="13" x14ac:dyDescent="0.15">
      <c r="A84" s="45"/>
    </row>
    <row r="85" spans="1:1" ht="13" x14ac:dyDescent="0.15">
      <c r="A85" s="45"/>
    </row>
    <row r="86" spans="1:1" ht="13" x14ac:dyDescent="0.15">
      <c r="A86" s="45"/>
    </row>
    <row r="87" spans="1:1" ht="13" x14ac:dyDescent="0.15">
      <c r="A87" s="45"/>
    </row>
    <row r="88" spans="1:1" ht="13" x14ac:dyDescent="0.15">
      <c r="A88" s="45"/>
    </row>
    <row r="89" spans="1:1" ht="13" x14ac:dyDescent="0.15">
      <c r="A89" s="45"/>
    </row>
    <row r="90" spans="1:1" ht="13" x14ac:dyDescent="0.15">
      <c r="A90" s="45"/>
    </row>
    <row r="91" spans="1:1" ht="13" x14ac:dyDescent="0.15">
      <c r="A91" s="45"/>
    </row>
    <row r="92" spans="1:1" ht="13" x14ac:dyDescent="0.15">
      <c r="A92" s="45"/>
    </row>
    <row r="93" spans="1:1" ht="13" x14ac:dyDescent="0.15">
      <c r="A93" s="45"/>
    </row>
    <row r="94" spans="1:1" ht="13" x14ac:dyDescent="0.15">
      <c r="A94" s="45"/>
    </row>
    <row r="95" spans="1:1" ht="13" x14ac:dyDescent="0.15">
      <c r="A95" s="45"/>
    </row>
    <row r="96" spans="1:1" ht="13" x14ac:dyDescent="0.15">
      <c r="A96" s="45"/>
    </row>
    <row r="97" spans="1:1" ht="13" x14ac:dyDescent="0.15">
      <c r="A97" s="45"/>
    </row>
    <row r="98" spans="1:1" ht="13" x14ac:dyDescent="0.15">
      <c r="A98" s="45"/>
    </row>
    <row r="99" spans="1:1" ht="13" x14ac:dyDescent="0.15">
      <c r="A99" s="45"/>
    </row>
    <row r="100" spans="1:1" ht="13" x14ac:dyDescent="0.15">
      <c r="A100" s="45"/>
    </row>
    <row r="101" spans="1:1" ht="13" x14ac:dyDescent="0.15">
      <c r="A101" s="45"/>
    </row>
    <row r="102" spans="1:1" ht="13" x14ac:dyDescent="0.15">
      <c r="A102" s="45"/>
    </row>
    <row r="103" spans="1:1" ht="13" x14ac:dyDescent="0.15">
      <c r="A103" s="45"/>
    </row>
    <row r="104" spans="1:1" ht="13" x14ac:dyDescent="0.15">
      <c r="A104" s="45"/>
    </row>
    <row r="105" spans="1:1" ht="13" x14ac:dyDescent="0.15">
      <c r="A105" s="45"/>
    </row>
    <row r="106" spans="1:1" ht="13" x14ac:dyDescent="0.15">
      <c r="A106" s="45"/>
    </row>
    <row r="107" spans="1:1" ht="13" x14ac:dyDescent="0.15">
      <c r="A107" s="45"/>
    </row>
    <row r="108" spans="1:1" ht="13" x14ac:dyDescent="0.15">
      <c r="A108" s="45"/>
    </row>
    <row r="109" spans="1:1" ht="13" x14ac:dyDescent="0.15">
      <c r="A109" s="45"/>
    </row>
    <row r="110" spans="1:1" ht="13" x14ac:dyDescent="0.15">
      <c r="A110" s="45"/>
    </row>
    <row r="111" spans="1:1" ht="13" x14ac:dyDescent="0.15">
      <c r="A111" s="45"/>
    </row>
    <row r="112" spans="1:1" ht="13" x14ac:dyDescent="0.15">
      <c r="A112" s="45"/>
    </row>
    <row r="113" spans="1:1" ht="13" x14ac:dyDescent="0.15">
      <c r="A113" s="45"/>
    </row>
    <row r="114" spans="1:1" ht="13" x14ac:dyDescent="0.15">
      <c r="A114" s="45"/>
    </row>
    <row r="115" spans="1:1" ht="13" x14ac:dyDescent="0.15">
      <c r="A115" s="45"/>
    </row>
    <row r="116" spans="1:1" ht="13" x14ac:dyDescent="0.15">
      <c r="A116" s="45"/>
    </row>
    <row r="117" spans="1:1" ht="13" x14ac:dyDescent="0.15">
      <c r="A117" s="45"/>
    </row>
    <row r="118" spans="1:1" ht="13" x14ac:dyDescent="0.15">
      <c r="A118" s="45"/>
    </row>
    <row r="119" spans="1:1" ht="13" x14ac:dyDescent="0.15">
      <c r="A119" s="45"/>
    </row>
    <row r="120" spans="1:1" ht="13" x14ac:dyDescent="0.15">
      <c r="A120" s="45"/>
    </row>
    <row r="121" spans="1:1" ht="13" x14ac:dyDescent="0.15">
      <c r="A121" s="45"/>
    </row>
    <row r="122" spans="1:1" ht="13" x14ac:dyDescent="0.15">
      <c r="A122" s="45"/>
    </row>
    <row r="123" spans="1:1" ht="13" x14ac:dyDescent="0.15">
      <c r="A123" s="45"/>
    </row>
    <row r="124" spans="1:1" ht="13" x14ac:dyDescent="0.15">
      <c r="A124" s="45"/>
    </row>
    <row r="125" spans="1:1" ht="13" x14ac:dyDescent="0.15">
      <c r="A125" s="45"/>
    </row>
    <row r="126" spans="1:1" ht="13" x14ac:dyDescent="0.15">
      <c r="A126" s="45"/>
    </row>
    <row r="127" spans="1:1" ht="13" x14ac:dyDescent="0.15">
      <c r="A127" s="45"/>
    </row>
    <row r="128" spans="1:1" ht="13" x14ac:dyDescent="0.15">
      <c r="A128" s="45"/>
    </row>
    <row r="129" spans="1:1" ht="13" x14ac:dyDescent="0.15">
      <c r="A129" s="45"/>
    </row>
    <row r="130" spans="1:1" ht="13" x14ac:dyDescent="0.15">
      <c r="A130" s="45"/>
    </row>
    <row r="131" spans="1:1" ht="13" x14ac:dyDescent="0.15">
      <c r="A131" s="45"/>
    </row>
    <row r="132" spans="1:1" ht="13" x14ac:dyDescent="0.15">
      <c r="A132" s="45"/>
    </row>
    <row r="133" spans="1:1" ht="13" x14ac:dyDescent="0.15">
      <c r="A133" s="45"/>
    </row>
    <row r="134" spans="1:1" ht="13" x14ac:dyDescent="0.15">
      <c r="A134" s="45"/>
    </row>
    <row r="135" spans="1:1" ht="13" x14ac:dyDescent="0.15">
      <c r="A135" s="45"/>
    </row>
    <row r="136" spans="1:1" ht="13" x14ac:dyDescent="0.15">
      <c r="A136" s="45"/>
    </row>
    <row r="137" spans="1:1" ht="13" x14ac:dyDescent="0.15">
      <c r="A137" s="45"/>
    </row>
    <row r="138" spans="1:1" ht="13" x14ac:dyDescent="0.15">
      <c r="A138" s="45"/>
    </row>
    <row r="139" spans="1:1" ht="13" x14ac:dyDescent="0.15">
      <c r="A139" s="45"/>
    </row>
    <row r="140" spans="1:1" ht="13" x14ac:dyDescent="0.15">
      <c r="A140" s="45"/>
    </row>
    <row r="141" spans="1:1" ht="13" x14ac:dyDescent="0.15">
      <c r="A141" s="45"/>
    </row>
    <row r="142" spans="1:1" ht="13" x14ac:dyDescent="0.15">
      <c r="A142" s="45"/>
    </row>
    <row r="143" spans="1:1" ht="13" x14ac:dyDescent="0.15">
      <c r="A143" s="45"/>
    </row>
    <row r="144" spans="1:1" ht="13" x14ac:dyDescent="0.15">
      <c r="A144" s="45"/>
    </row>
    <row r="145" spans="1:1" ht="13" x14ac:dyDescent="0.15">
      <c r="A145" s="45"/>
    </row>
    <row r="146" spans="1:1" ht="13" x14ac:dyDescent="0.15">
      <c r="A146" s="45"/>
    </row>
    <row r="147" spans="1:1" ht="13" x14ac:dyDescent="0.15">
      <c r="A147" s="45"/>
    </row>
    <row r="148" spans="1:1" ht="13" x14ac:dyDescent="0.15">
      <c r="A148" s="45"/>
    </row>
    <row r="149" spans="1:1" ht="13" x14ac:dyDescent="0.15">
      <c r="A149" s="45"/>
    </row>
    <row r="150" spans="1:1" ht="13" x14ac:dyDescent="0.15">
      <c r="A150" s="45"/>
    </row>
    <row r="151" spans="1:1" ht="13" x14ac:dyDescent="0.15">
      <c r="A151" s="45"/>
    </row>
    <row r="152" spans="1:1" ht="13" x14ac:dyDescent="0.15">
      <c r="A152" s="45"/>
    </row>
    <row r="153" spans="1:1" ht="13" x14ac:dyDescent="0.15">
      <c r="A153" s="45"/>
    </row>
    <row r="154" spans="1:1" ht="13" x14ac:dyDescent="0.15">
      <c r="A154" s="45"/>
    </row>
    <row r="155" spans="1:1" ht="13" x14ac:dyDescent="0.15">
      <c r="A155" s="45"/>
    </row>
    <row r="156" spans="1:1" ht="13" x14ac:dyDescent="0.15">
      <c r="A156" s="45"/>
    </row>
    <row r="157" spans="1:1" ht="13" x14ac:dyDescent="0.15">
      <c r="A157" s="45"/>
    </row>
    <row r="158" spans="1:1" ht="13" x14ac:dyDescent="0.15">
      <c r="A158" s="45"/>
    </row>
    <row r="159" spans="1:1" ht="13" x14ac:dyDescent="0.15">
      <c r="A159" s="45"/>
    </row>
    <row r="160" spans="1:1" ht="13" x14ac:dyDescent="0.15">
      <c r="A160" s="45"/>
    </row>
    <row r="161" spans="1:1" ht="13" x14ac:dyDescent="0.15">
      <c r="A161" s="45"/>
    </row>
    <row r="162" spans="1:1" ht="13" x14ac:dyDescent="0.15">
      <c r="A162" s="45"/>
    </row>
    <row r="163" spans="1:1" ht="13" x14ac:dyDescent="0.15">
      <c r="A163" s="45"/>
    </row>
    <row r="164" spans="1:1" ht="13" x14ac:dyDescent="0.15">
      <c r="A164" s="45"/>
    </row>
    <row r="165" spans="1:1" ht="13" x14ac:dyDescent="0.15">
      <c r="A165" s="45"/>
    </row>
    <row r="166" spans="1:1" ht="13" x14ac:dyDescent="0.15">
      <c r="A166" s="45"/>
    </row>
    <row r="167" spans="1:1" ht="13" x14ac:dyDescent="0.15">
      <c r="A167" s="45"/>
    </row>
    <row r="168" spans="1:1" ht="13" x14ac:dyDescent="0.15">
      <c r="A168" s="45"/>
    </row>
    <row r="169" spans="1:1" ht="13" x14ac:dyDescent="0.15">
      <c r="A169" s="45"/>
    </row>
    <row r="170" spans="1:1" ht="13" x14ac:dyDescent="0.15">
      <c r="A170" s="45"/>
    </row>
    <row r="171" spans="1:1" ht="13" x14ac:dyDescent="0.15">
      <c r="A171" s="45"/>
    </row>
    <row r="172" spans="1:1" ht="13" x14ac:dyDescent="0.15">
      <c r="A172" s="45"/>
    </row>
    <row r="173" spans="1:1" ht="13" x14ac:dyDescent="0.15">
      <c r="A173" s="45"/>
    </row>
    <row r="174" spans="1:1" ht="13" x14ac:dyDescent="0.15">
      <c r="A174" s="45"/>
    </row>
    <row r="175" spans="1:1" ht="13" x14ac:dyDescent="0.15">
      <c r="A175" s="45"/>
    </row>
    <row r="176" spans="1:1" ht="13" x14ac:dyDescent="0.15">
      <c r="A176" s="45"/>
    </row>
    <row r="177" spans="1:1" ht="13" x14ac:dyDescent="0.15">
      <c r="A177" s="45"/>
    </row>
    <row r="178" spans="1:1" ht="13" x14ac:dyDescent="0.15">
      <c r="A178" s="45"/>
    </row>
    <row r="179" spans="1:1" ht="13" x14ac:dyDescent="0.15">
      <c r="A179" s="45"/>
    </row>
    <row r="180" spans="1:1" ht="13" x14ac:dyDescent="0.15">
      <c r="A180" s="45"/>
    </row>
    <row r="181" spans="1:1" ht="13" x14ac:dyDescent="0.15">
      <c r="A181" s="45"/>
    </row>
    <row r="182" spans="1:1" ht="13" x14ac:dyDescent="0.15">
      <c r="A182" s="45"/>
    </row>
    <row r="183" spans="1:1" ht="13" x14ac:dyDescent="0.15">
      <c r="A183" s="45"/>
    </row>
    <row r="184" spans="1:1" ht="13" x14ac:dyDescent="0.15">
      <c r="A184" s="45"/>
    </row>
    <row r="185" spans="1:1" ht="13" x14ac:dyDescent="0.15">
      <c r="A185" s="45"/>
    </row>
    <row r="186" spans="1:1" ht="13" x14ac:dyDescent="0.15">
      <c r="A186" s="45"/>
    </row>
    <row r="187" spans="1:1" ht="13" x14ac:dyDescent="0.15">
      <c r="A187" s="45"/>
    </row>
    <row r="188" spans="1:1" ht="13" x14ac:dyDescent="0.15">
      <c r="A188" s="45"/>
    </row>
    <row r="189" spans="1:1" ht="13" x14ac:dyDescent="0.15">
      <c r="A189" s="45"/>
    </row>
    <row r="190" spans="1:1" ht="13" x14ac:dyDescent="0.15">
      <c r="A190" s="45"/>
    </row>
    <row r="191" spans="1:1" ht="13" x14ac:dyDescent="0.15">
      <c r="A191" s="45"/>
    </row>
    <row r="192" spans="1:1" ht="13" x14ac:dyDescent="0.15">
      <c r="A192" s="45"/>
    </row>
    <row r="193" spans="1:1" ht="13" x14ac:dyDescent="0.15">
      <c r="A193" s="45"/>
    </row>
    <row r="194" spans="1:1" ht="13" x14ac:dyDescent="0.15">
      <c r="A194" s="45"/>
    </row>
    <row r="195" spans="1:1" ht="13" x14ac:dyDescent="0.15">
      <c r="A195" s="45"/>
    </row>
    <row r="196" spans="1:1" ht="13" x14ac:dyDescent="0.15">
      <c r="A196" s="45"/>
    </row>
    <row r="197" spans="1:1" ht="13" x14ac:dyDescent="0.15">
      <c r="A197" s="45"/>
    </row>
    <row r="198" spans="1:1" ht="13" x14ac:dyDescent="0.15">
      <c r="A198" s="45"/>
    </row>
    <row r="199" spans="1:1" ht="13" x14ac:dyDescent="0.15">
      <c r="A199" s="45"/>
    </row>
    <row r="200" spans="1:1" ht="13" x14ac:dyDescent="0.15">
      <c r="A200" s="45"/>
    </row>
    <row r="201" spans="1:1" ht="13" x14ac:dyDescent="0.15">
      <c r="A201" s="45"/>
    </row>
    <row r="202" spans="1:1" ht="13" x14ac:dyDescent="0.15">
      <c r="A202" s="45"/>
    </row>
    <row r="203" spans="1:1" ht="13" x14ac:dyDescent="0.15">
      <c r="A203" s="45"/>
    </row>
    <row r="204" spans="1:1" ht="13" x14ac:dyDescent="0.15">
      <c r="A204" s="45"/>
    </row>
    <row r="205" spans="1:1" ht="13" x14ac:dyDescent="0.15">
      <c r="A205" s="45"/>
    </row>
    <row r="206" spans="1:1" ht="13" x14ac:dyDescent="0.15">
      <c r="A206" s="45"/>
    </row>
    <row r="207" spans="1:1" ht="13" x14ac:dyDescent="0.15">
      <c r="A207" s="45"/>
    </row>
    <row r="208" spans="1:1" ht="13" x14ac:dyDescent="0.15">
      <c r="A208" s="45"/>
    </row>
    <row r="209" spans="1:1" ht="13" x14ac:dyDescent="0.15">
      <c r="A209" s="45"/>
    </row>
    <row r="210" spans="1:1" ht="13" x14ac:dyDescent="0.15">
      <c r="A210" s="45"/>
    </row>
    <row r="211" spans="1:1" ht="13" x14ac:dyDescent="0.15">
      <c r="A211" s="45"/>
    </row>
    <row r="212" spans="1:1" ht="13" x14ac:dyDescent="0.15">
      <c r="A212" s="45"/>
    </row>
    <row r="213" spans="1:1" ht="13" x14ac:dyDescent="0.15">
      <c r="A213" s="45"/>
    </row>
    <row r="214" spans="1:1" ht="13" x14ac:dyDescent="0.15">
      <c r="A214" s="45"/>
    </row>
    <row r="215" spans="1:1" ht="13" x14ac:dyDescent="0.15">
      <c r="A215" s="45"/>
    </row>
    <row r="216" spans="1:1" ht="13" x14ac:dyDescent="0.15">
      <c r="A216" s="45"/>
    </row>
    <row r="217" spans="1:1" ht="13" x14ac:dyDescent="0.15">
      <c r="A217" s="45"/>
    </row>
    <row r="218" spans="1:1" ht="13" x14ac:dyDescent="0.15">
      <c r="A218" s="45"/>
    </row>
    <row r="219" spans="1:1" ht="13" x14ac:dyDescent="0.15">
      <c r="A219" s="45"/>
    </row>
    <row r="220" spans="1:1" ht="13" x14ac:dyDescent="0.15">
      <c r="A220" s="45"/>
    </row>
    <row r="221" spans="1:1" ht="13" x14ac:dyDescent="0.15">
      <c r="A221" s="45"/>
    </row>
    <row r="222" spans="1:1" ht="13" x14ac:dyDescent="0.15">
      <c r="A222" s="45"/>
    </row>
    <row r="223" spans="1:1" ht="13" x14ac:dyDescent="0.15">
      <c r="A223" s="45"/>
    </row>
    <row r="224" spans="1:1" ht="13" x14ac:dyDescent="0.15">
      <c r="A224" s="45"/>
    </row>
    <row r="225" spans="1:1" ht="13" x14ac:dyDescent="0.15">
      <c r="A225" s="45"/>
    </row>
    <row r="226" spans="1:1" ht="13" x14ac:dyDescent="0.15">
      <c r="A226" s="45"/>
    </row>
    <row r="227" spans="1:1" ht="13" x14ac:dyDescent="0.15">
      <c r="A227" s="45"/>
    </row>
    <row r="228" spans="1:1" ht="13" x14ac:dyDescent="0.15">
      <c r="A228" s="45"/>
    </row>
    <row r="229" spans="1:1" ht="13" x14ac:dyDescent="0.15">
      <c r="A229" s="45"/>
    </row>
    <row r="230" spans="1:1" ht="13" x14ac:dyDescent="0.15">
      <c r="A230" s="45"/>
    </row>
    <row r="231" spans="1:1" ht="13" x14ac:dyDescent="0.15">
      <c r="A231" s="45"/>
    </row>
    <row r="232" spans="1:1" ht="13" x14ac:dyDescent="0.15">
      <c r="A232" s="45"/>
    </row>
    <row r="233" spans="1:1" ht="13" x14ac:dyDescent="0.15">
      <c r="A233" s="45"/>
    </row>
    <row r="234" spans="1:1" ht="13" x14ac:dyDescent="0.15">
      <c r="A234" s="45"/>
    </row>
    <row r="235" spans="1:1" ht="13" x14ac:dyDescent="0.15">
      <c r="A235" s="45"/>
    </row>
    <row r="236" spans="1:1" ht="13" x14ac:dyDescent="0.15">
      <c r="A236" s="45"/>
    </row>
    <row r="237" spans="1:1" ht="13" x14ac:dyDescent="0.15">
      <c r="A237" s="45"/>
    </row>
    <row r="238" spans="1:1" ht="13" x14ac:dyDescent="0.15">
      <c r="A238" s="45"/>
    </row>
    <row r="239" spans="1:1" ht="13" x14ac:dyDescent="0.15">
      <c r="A239" s="45"/>
    </row>
    <row r="240" spans="1:1" ht="13" x14ac:dyDescent="0.15">
      <c r="A240" s="45"/>
    </row>
    <row r="241" spans="1:1" ht="13" x14ac:dyDescent="0.15">
      <c r="A241" s="45"/>
    </row>
    <row r="242" spans="1:1" ht="13" x14ac:dyDescent="0.15">
      <c r="A242" s="45"/>
    </row>
    <row r="243" spans="1:1" ht="13" x14ac:dyDescent="0.15">
      <c r="A243" s="45"/>
    </row>
    <row r="244" spans="1:1" ht="13" x14ac:dyDescent="0.15">
      <c r="A244" s="45"/>
    </row>
    <row r="245" spans="1:1" ht="13" x14ac:dyDescent="0.15">
      <c r="A245" s="45"/>
    </row>
    <row r="246" spans="1:1" ht="13" x14ac:dyDescent="0.15">
      <c r="A246" s="45"/>
    </row>
    <row r="247" spans="1:1" ht="13" x14ac:dyDescent="0.15">
      <c r="A247" s="45"/>
    </row>
    <row r="248" spans="1:1" ht="13" x14ac:dyDescent="0.15">
      <c r="A248" s="45"/>
    </row>
    <row r="249" spans="1:1" ht="13" x14ac:dyDescent="0.15">
      <c r="A249" s="45"/>
    </row>
    <row r="250" spans="1:1" ht="13" x14ac:dyDescent="0.15">
      <c r="A250" s="45"/>
    </row>
    <row r="251" spans="1:1" ht="13" x14ac:dyDescent="0.15">
      <c r="A251" s="45"/>
    </row>
    <row r="252" spans="1:1" ht="13" x14ac:dyDescent="0.15">
      <c r="A252" s="45"/>
    </row>
    <row r="253" spans="1:1" ht="13" x14ac:dyDescent="0.15">
      <c r="A253" s="45"/>
    </row>
    <row r="254" spans="1:1" ht="13" x14ac:dyDescent="0.15">
      <c r="A254" s="45"/>
    </row>
    <row r="255" spans="1:1" ht="13" x14ac:dyDescent="0.15">
      <c r="A255" s="45"/>
    </row>
    <row r="256" spans="1:1" ht="13" x14ac:dyDescent="0.15">
      <c r="A256" s="45"/>
    </row>
    <row r="257" spans="1:1" ht="13" x14ac:dyDescent="0.15">
      <c r="A257" s="45"/>
    </row>
    <row r="258" spans="1:1" ht="13" x14ac:dyDescent="0.15">
      <c r="A258" s="45"/>
    </row>
    <row r="259" spans="1:1" ht="13" x14ac:dyDescent="0.15">
      <c r="A259" s="45"/>
    </row>
    <row r="260" spans="1:1" ht="13" x14ac:dyDescent="0.15">
      <c r="A260" s="45"/>
    </row>
    <row r="261" spans="1:1" ht="13" x14ac:dyDescent="0.15">
      <c r="A261" s="45"/>
    </row>
    <row r="262" spans="1:1" ht="13" x14ac:dyDescent="0.15">
      <c r="A262" s="45"/>
    </row>
    <row r="263" spans="1:1" ht="13" x14ac:dyDescent="0.15">
      <c r="A263" s="45"/>
    </row>
    <row r="264" spans="1:1" ht="13" x14ac:dyDescent="0.15">
      <c r="A264" s="45"/>
    </row>
    <row r="265" spans="1:1" ht="13" x14ac:dyDescent="0.15">
      <c r="A265" s="45"/>
    </row>
    <row r="266" spans="1:1" ht="13" x14ac:dyDescent="0.15">
      <c r="A266" s="45"/>
    </row>
    <row r="267" spans="1:1" ht="13" x14ac:dyDescent="0.15">
      <c r="A267" s="45"/>
    </row>
    <row r="268" spans="1:1" ht="13" x14ac:dyDescent="0.15">
      <c r="A268" s="45"/>
    </row>
    <row r="269" spans="1:1" ht="13" x14ac:dyDescent="0.15">
      <c r="A269" s="45"/>
    </row>
    <row r="270" spans="1:1" ht="13" x14ac:dyDescent="0.15">
      <c r="A270" s="45"/>
    </row>
    <row r="271" spans="1:1" ht="13" x14ac:dyDescent="0.15">
      <c r="A271" s="45"/>
    </row>
    <row r="272" spans="1:1" ht="13" x14ac:dyDescent="0.15">
      <c r="A272" s="45"/>
    </row>
    <row r="273" spans="1:1" ht="13" x14ac:dyDescent="0.15">
      <c r="A273" s="45"/>
    </row>
    <row r="274" spans="1:1" ht="13" x14ac:dyDescent="0.15">
      <c r="A274" s="45"/>
    </row>
    <row r="275" spans="1:1" ht="13" x14ac:dyDescent="0.15">
      <c r="A275" s="45"/>
    </row>
    <row r="276" spans="1:1" ht="13" x14ac:dyDescent="0.15">
      <c r="A276" s="45"/>
    </row>
    <row r="277" spans="1:1" ht="13" x14ac:dyDescent="0.15">
      <c r="A277" s="45"/>
    </row>
    <row r="278" spans="1:1" ht="13" x14ac:dyDescent="0.15">
      <c r="A278" s="45"/>
    </row>
    <row r="279" spans="1:1" ht="13" x14ac:dyDescent="0.15">
      <c r="A279" s="45"/>
    </row>
    <row r="280" spans="1:1" ht="13" x14ac:dyDescent="0.15">
      <c r="A280" s="45"/>
    </row>
    <row r="281" spans="1:1" ht="13" x14ac:dyDescent="0.15">
      <c r="A281" s="45"/>
    </row>
    <row r="282" spans="1:1" ht="13" x14ac:dyDescent="0.15">
      <c r="A282" s="45"/>
    </row>
    <row r="283" spans="1:1" ht="13" x14ac:dyDescent="0.15">
      <c r="A283" s="45"/>
    </row>
    <row r="284" spans="1:1" ht="13" x14ac:dyDescent="0.15">
      <c r="A284" s="45"/>
    </row>
    <row r="285" spans="1:1" ht="13" x14ac:dyDescent="0.15">
      <c r="A285" s="45"/>
    </row>
    <row r="286" spans="1:1" ht="13" x14ac:dyDescent="0.15">
      <c r="A286" s="45"/>
    </row>
    <row r="287" spans="1:1" ht="13" x14ac:dyDescent="0.15">
      <c r="A287" s="45"/>
    </row>
    <row r="288" spans="1:1" ht="13" x14ac:dyDescent="0.15">
      <c r="A288" s="45"/>
    </row>
    <row r="289" spans="1:1" ht="13" x14ac:dyDescent="0.15">
      <c r="A289" s="45"/>
    </row>
    <row r="290" spans="1:1" ht="13" x14ac:dyDescent="0.15">
      <c r="A290" s="45"/>
    </row>
    <row r="291" spans="1:1" ht="13" x14ac:dyDescent="0.15">
      <c r="A291" s="45"/>
    </row>
    <row r="292" spans="1:1" ht="13" x14ac:dyDescent="0.15">
      <c r="A292" s="45"/>
    </row>
    <row r="293" spans="1:1" ht="13" x14ac:dyDescent="0.15">
      <c r="A293" s="45"/>
    </row>
    <row r="294" spans="1:1" ht="13" x14ac:dyDescent="0.15">
      <c r="A294" s="45"/>
    </row>
    <row r="295" spans="1:1" ht="13" x14ac:dyDescent="0.15">
      <c r="A295" s="45"/>
    </row>
    <row r="296" spans="1:1" ht="13" x14ac:dyDescent="0.15">
      <c r="A296" s="45"/>
    </row>
    <row r="297" spans="1:1" ht="13" x14ac:dyDescent="0.15">
      <c r="A297" s="45"/>
    </row>
    <row r="298" spans="1:1" ht="13" x14ac:dyDescent="0.15">
      <c r="A298" s="45"/>
    </row>
    <row r="299" spans="1:1" ht="13" x14ac:dyDescent="0.15">
      <c r="A299" s="45"/>
    </row>
    <row r="300" spans="1:1" ht="13" x14ac:dyDescent="0.15">
      <c r="A300" s="45"/>
    </row>
    <row r="301" spans="1:1" ht="13" x14ac:dyDescent="0.15">
      <c r="A301" s="45"/>
    </row>
    <row r="302" spans="1:1" ht="13" x14ac:dyDescent="0.15">
      <c r="A302" s="45"/>
    </row>
    <row r="303" spans="1:1" ht="13" x14ac:dyDescent="0.15">
      <c r="A303" s="45"/>
    </row>
    <row r="304" spans="1:1" ht="13" x14ac:dyDescent="0.15">
      <c r="A304" s="45"/>
    </row>
    <row r="305" spans="1:1" ht="13" x14ac:dyDescent="0.15">
      <c r="A305" s="45"/>
    </row>
    <row r="306" spans="1:1" ht="13" x14ac:dyDescent="0.15">
      <c r="A306" s="45"/>
    </row>
    <row r="307" spans="1:1" ht="13" x14ac:dyDescent="0.15">
      <c r="A307" s="45"/>
    </row>
    <row r="308" spans="1:1" ht="13" x14ac:dyDescent="0.15">
      <c r="A308" s="45"/>
    </row>
    <row r="309" spans="1:1" ht="13" x14ac:dyDescent="0.15">
      <c r="A309" s="45"/>
    </row>
    <row r="310" spans="1:1" ht="13" x14ac:dyDescent="0.15">
      <c r="A310" s="45"/>
    </row>
    <row r="311" spans="1:1" ht="13" x14ac:dyDescent="0.15">
      <c r="A311" s="45"/>
    </row>
    <row r="312" spans="1:1" ht="13" x14ac:dyDescent="0.15">
      <c r="A312" s="45"/>
    </row>
    <row r="313" spans="1:1" ht="13" x14ac:dyDescent="0.15">
      <c r="A313" s="45"/>
    </row>
    <row r="314" spans="1:1" ht="13" x14ac:dyDescent="0.15">
      <c r="A314" s="45"/>
    </row>
    <row r="315" spans="1:1" ht="13" x14ac:dyDescent="0.15">
      <c r="A315" s="45"/>
    </row>
    <row r="316" spans="1:1" ht="13" x14ac:dyDescent="0.15">
      <c r="A316" s="45"/>
    </row>
    <row r="317" spans="1:1" ht="13" x14ac:dyDescent="0.15">
      <c r="A317" s="45"/>
    </row>
    <row r="318" spans="1:1" ht="13" x14ac:dyDescent="0.15">
      <c r="A318" s="45"/>
    </row>
    <row r="319" spans="1:1" ht="13" x14ac:dyDescent="0.15">
      <c r="A319" s="45"/>
    </row>
    <row r="320" spans="1:1" ht="13" x14ac:dyDescent="0.15">
      <c r="A320" s="45"/>
    </row>
    <row r="321" spans="1:1" ht="13" x14ac:dyDescent="0.15">
      <c r="A321" s="45"/>
    </row>
    <row r="322" spans="1:1" ht="13" x14ac:dyDescent="0.15">
      <c r="A322" s="45"/>
    </row>
    <row r="323" spans="1:1" ht="13" x14ac:dyDescent="0.15">
      <c r="A323" s="45"/>
    </row>
    <row r="324" spans="1:1" ht="13" x14ac:dyDescent="0.15">
      <c r="A324" s="45"/>
    </row>
    <row r="325" spans="1:1" ht="13" x14ac:dyDescent="0.15">
      <c r="A325" s="45"/>
    </row>
    <row r="326" spans="1:1" ht="13" x14ac:dyDescent="0.15">
      <c r="A326" s="45"/>
    </row>
    <row r="327" spans="1:1" ht="13" x14ac:dyDescent="0.15">
      <c r="A327" s="45"/>
    </row>
    <row r="328" spans="1:1" ht="13" x14ac:dyDescent="0.15">
      <c r="A328" s="45"/>
    </row>
    <row r="329" spans="1:1" ht="13" x14ac:dyDescent="0.15">
      <c r="A329" s="45"/>
    </row>
    <row r="330" spans="1:1" ht="13" x14ac:dyDescent="0.15">
      <c r="A330" s="45"/>
    </row>
    <row r="331" spans="1:1" ht="13" x14ac:dyDescent="0.15">
      <c r="A331" s="45"/>
    </row>
    <row r="332" spans="1:1" ht="13" x14ac:dyDescent="0.15">
      <c r="A332" s="45"/>
    </row>
    <row r="333" spans="1:1" ht="13" x14ac:dyDescent="0.15">
      <c r="A333" s="45"/>
    </row>
    <row r="334" spans="1:1" ht="13" x14ac:dyDescent="0.15">
      <c r="A334" s="45"/>
    </row>
    <row r="335" spans="1:1" ht="13" x14ac:dyDescent="0.15">
      <c r="A335" s="45"/>
    </row>
    <row r="336" spans="1:1" ht="13" x14ac:dyDescent="0.15">
      <c r="A336" s="45"/>
    </row>
    <row r="337" spans="1:1" ht="13" x14ac:dyDescent="0.15">
      <c r="A337" s="45"/>
    </row>
    <row r="338" spans="1:1" ht="13" x14ac:dyDescent="0.15">
      <c r="A338" s="45"/>
    </row>
    <row r="339" spans="1:1" ht="13" x14ac:dyDescent="0.15">
      <c r="A339" s="45"/>
    </row>
    <row r="340" spans="1:1" ht="13" x14ac:dyDescent="0.15">
      <c r="A340" s="45"/>
    </row>
    <row r="341" spans="1:1" ht="13" x14ac:dyDescent="0.15">
      <c r="A341" s="45"/>
    </row>
    <row r="342" spans="1:1" ht="13" x14ac:dyDescent="0.15">
      <c r="A342" s="45"/>
    </row>
    <row r="343" spans="1:1" ht="13" x14ac:dyDescent="0.15">
      <c r="A343" s="45"/>
    </row>
    <row r="344" spans="1:1" ht="13" x14ac:dyDescent="0.15">
      <c r="A344" s="45"/>
    </row>
    <row r="345" spans="1:1" ht="13" x14ac:dyDescent="0.15">
      <c r="A345" s="45"/>
    </row>
    <row r="346" spans="1:1" ht="13" x14ac:dyDescent="0.15">
      <c r="A346" s="45"/>
    </row>
    <row r="347" spans="1:1" ht="13" x14ac:dyDescent="0.15">
      <c r="A347" s="45"/>
    </row>
    <row r="348" spans="1:1" ht="13" x14ac:dyDescent="0.15">
      <c r="A348" s="45"/>
    </row>
    <row r="349" spans="1:1" ht="13" x14ac:dyDescent="0.15">
      <c r="A349" s="45"/>
    </row>
    <row r="350" spans="1:1" ht="13" x14ac:dyDescent="0.15">
      <c r="A350" s="45"/>
    </row>
    <row r="351" spans="1:1" ht="13" x14ac:dyDescent="0.15">
      <c r="A351" s="45"/>
    </row>
    <row r="352" spans="1:1" ht="13" x14ac:dyDescent="0.15">
      <c r="A352" s="45"/>
    </row>
    <row r="353" spans="1:1" ht="13" x14ac:dyDescent="0.15">
      <c r="A353" s="45"/>
    </row>
    <row r="354" spans="1:1" ht="13" x14ac:dyDescent="0.15">
      <c r="A354" s="45"/>
    </row>
    <row r="355" spans="1:1" ht="13" x14ac:dyDescent="0.15">
      <c r="A355" s="45"/>
    </row>
    <row r="356" spans="1:1" ht="13" x14ac:dyDescent="0.15">
      <c r="A356" s="45"/>
    </row>
    <row r="357" spans="1:1" ht="13" x14ac:dyDescent="0.15">
      <c r="A357" s="45"/>
    </row>
    <row r="358" spans="1:1" ht="13" x14ac:dyDescent="0.15">
      <c r="A358" s="45"/>
    </row>
    <row r="359" spans="1:1" ht="13" x14ac:dyDescent="0.15">
      <c r="A359" s="45"/>
    </row>
    <row r="360" spans="1:1" ht="13" x14ac:dyDescent="0.15">
      <c r="A360" s="45"/>
    </row>
    <row r="361" spans="1:1" ht="13" x14ac:dyDescent="0.15">
      <c r="A361" s="45"/>
    </row>
    <row r="362" spans="1:1" ht="13" x14ac:dyDescent="0.15">
      <c r="A362" s="45"/>
    </row>
    <row r="363" spans="1:1" ht="13" x14ac:dyDescent="0.15">
      <c r="A363" s="45"/>
    </row>
    <row r="364" spans="1:1" ht="13" x14ac:dyDescent="0.15">
      <c r="A364" s="45"/>
    </row>
    <row r="365" spans="1:1" ht="13" x14ac:dyDescent="0.15">
      <c r="A365" s="45"/>
    </row>
    <row r="366" spans="1:1" ht="13" x14ac:dyDescent="0.15">
      <c r="A366" s="45"/>
    </row>
    <row r="367" spans="1:1" ht="13" x14ac:dyDescent="0.15">
      <c r="A367" s="45"/>
    </row>
    <row r="368" spans="1:1" ht="13" x14ac:dyDescent="0.15">
      <c r="A368" s="45"/>
    </row>
    <row r="369" spans="1:1" ht="13" x14ac:dyDescent="0.15">
      <c r="A369" s="45"/>
    </row>
    <row r="370" spans="1:1" ht="13" x14ac:dyDescent="0.15">
      <c r="A370" s="45"/>
    </row>
    <row r="371" spans="1:1" ht="13" x14ac:dyDescent="0.15">
      <c r="A371" s="45"/>
    </row>
    <row r="372" spans="1:1" ht="13" x14ac:dyDescent="0.15">
      <c r="A372" s="45"/>
    </row>
    <row r="373" spans="1:1" ht="13" x14ac:dyDescent="0.15">
      <c r="A373" s="45"/>
    </row>
    <row r="374" spans="1:1" ht="13" x14ac:dyDescent="0.15">
      <c r="A374" s="45"/>
    </row>
    <row r="375" spans="1:1" ht="13" x14ac:dyDescent="0.15">
      <c r="A375" s="45"/>
    </row>
    <row r="376" spans="1:1" ht="13" x14ac:dyDescent="0.15">
      <c r="A376" s="45"/>
    </row>
    <row r="377" spans="1:1" ht="13" x14ac:dyDescent="0.15">
      <c r="A377" s="45"/>
    </row>
    <row r="378" spans="1:1" ht="13" x14ac:dyDescent="0.15">
      <c r="A378" s="45"/>
    </row>
    <row r="379" spans="1:1" ht="13" x14ac:dyDescent="0.15">
      <c r="A379" s="45"/>
    </row>
    <row r="380" spans="1:1" ht="13" x14ac:dyDescent="0.15">
      <c r="A380" s="45"/>
    </row>
    <row r="381" spans="1:1" ht="13" x14ac:dyDescent="0.15">
      <c r="A381" s="45"/>
    </row>
    <row r="382" spans="1:1" ht="13" x14ac:dyDescent="0.15">
      <c r="A382" s="45"/>
    </row>
    <row r="383" spans="1:1" ht="13" x14ac:dyDescent="0.15">
      <c r="A383" s="45"/>
    </row>
    <row r="384" spans="1:1" ht="13" x14ac:dyDescent="0.15">
      <c r="A384" s="45"/>
    </row>
    <row r="385" spans="1:1" ht="13" x14ac:dyDescent="0.15">
      <c r="A385" s="45"/>
    </row>
    <row r="386" spans="1:1" ht="13" x14ac:dyDescent="0.15">
      <c r="A386" s="45"/>
    </row>
    <row r="387" spans="1:1" ht="13" x14ac:dyDescent="0.15">
      <c r="A387" s="45"/>
    </row>
    <row r="388" spans="1:1" ht="13" x14ac:dyDescent="0.15">
      <c r="A388" s="45"/>
    </row>
    <row r="389" spans="1:1" ht="13" x14ac:dyDescent="0.15">
      <c r="A389" s="45"/>
    </row>
    <row r="390" spans="1:1" ht="13" x14ac:dyDescent="0.15">
      <c r="A390" s="45"/>
    </row>
    <row r="391" spans="1:1" ht="13" x14ac:dyDescent="0.15">
      <c r="A391" s="45"/>
    </row>
    <row r="392" spans="1:1" ht="13" x14ac:dyDescent="0.15">
      <c r="A392" s="45"/>
    </row>
    <row r="393" spans="1:1" ht="13" x14ac:dyDescent="0.15">
      <c r="A393" s="45"/>
    </row>
    <row r="394" spans="1:1" ht="13" x14ac:dyDescent="0.15">
      <c r="A394" s="45"/>
    </row>
    <row r="395" spans="1:1" ht="13" x14ac:dyDescent="0.15">
      <c r="A395" s="45"/>
    </row>
    <row r="396" spans="1:1" ht="13" x14ac:dyDescent="0.15">
      <c r="A396" s="45"/>
    </row>
    <row r="397" spans="1:1" ht="13" x14ac:dyDescent="0.15">
      <c r="A397" s="45"/>
    </row>
    <row r="398" spans="1:1" ht="13" x14ac:dyDescent="0.15">
      <c r="A398" s="45"/>
    </row>
    <row r="399" spans="1:1" ht="13" x14ac:dyDescent="0.15">
      <c r="A399" s="45"/>
    </row>
    <row r="400" spans="1:1" ht="13" x14ac:dyDescent="0.15">
      <c r="A400" s="45"/>
    </row>
    <row r="401" spans="1:1" ht="13" x14ac:dyDescent="0.15">
      <c r="A401" s="45"/>
    </row>
    <row r="402" spans="1:1" ht="13" x14ac:dyDescent="0.15">
      <c r="A402" s="45"/>
    </row>
    <row r="403" spans="1:1" ht="13" x14ac:dyDescent="0.15">
      <c r="A403" s="45"/>
    </row>
    <row r="404" spans="1:1" ht="13" x14ac:dyDescent="0.15">
      <c r="A404" s="45"/>
    </row>
    <row r="405" spans="1:1" ht="13" x14ac:dyDescent="0.15">
      <c r="A405" s="45"/>
    </row>
    <row r="406" spans="1:1" ht="13" x14ac:dyDescent="0.15">
      <c r="A406" s="45"/>
    </row>
    <row r="407" spans="1:1" ht="13" x14ac:dyDescent="0.15">
      <c r="A407" s="45"/>
    </row>
    <row r="408" spans="1:1" ht="13" x14ac:dyDescent="0.15">
      <c r="A408" s="45"/>
    </row>
    <row r="409" spans="1:1" ht="13" x14ac:dyDescent="0.15">
      <c r="A409" s="45"/>
    </row>
    <row r="410" spans="1:1" ht="13" x14ac:dyDescent="0.15">
      <c r="A410" s="45"/>
    </row>
    <row r="411" spans="1:1" ht="13" x14ac:dyDescent="0.15">
      <c r="A411" s="45"/>
    </row>
    <row r="412" spans="1:1" ht="13" x14ac:dyDescent="0.15">
      <c r="A412" s="45"/>
    </row>
    <row r="413" spans="1:1" ht="13" x14ac:dyDescent="0.15">
      <c r="A413" s="45"/>
    </row>
    <row r="414" spans="1:1" ht="13" x14ac:dyDescent="0.15">
      <c r="A414" s="45"/>
    </row>
    <row r="415" spans="1:1" ht="13" x14ac:dyDescent="0.15">
      <c r="A415" s="45"/>
    </row>
    <row r="416" spans="1:1" ht="13" x14ac:dyDescent="0.15">
      <c r="A416" s="45"/>
    </row>
    <row r="417" spans="1:1" ht="13" x14ac:dyDescent="0.15">
      <c r="A417" s="45"/>
    </row>
    <row r="418" spans="1:1" ht="13" x14ac:dyDescent="0.15">
      <c r="A418" s="45"/>
    </row>
    <row r="419" spans="1:1" ht="13" x14ac:dyDescent="0.15">
      <c r="A419" s="45"/>
    </row>
    <row r="420" spans="1:1" ht="13" x14ac:dyDescent="0.15">
      <c r="A420" s="45"/>
    </row>
    <row r="421" spans="1:1" ht="13" x14ac:dyDescent="0.15">
      <c r="A421" s="45"/>
    </row>
    <row r="422" spans="1:1" ht="13" x14ac:dyDescent="0.15">
      <c r="A422" s="45"/>
    </row>
    <row r="423" spans="1:1" ht="13" x14ac:dyDescent="0.15">
      <c r="A423" s="45"/>
    </row>
    <row r="424" spans="1:1" ht="13" x14ac:dyDescent="0.15">
      <c r="A424" s="45"/>
    </row>
    <row r="425" spans="1:1" ht="13" x14ac:dyDescent="0.15">
      <c r="A425" s="45"/>
    </row>
    <row r="426" spans="1:1" ht="13" x14ac:dyDescent="0.15">
      <c r="A426" s="45"/>
    </row>
    <row r="427" spans="1:1" ht="13" x14ac:dyDescent="0.15">
      <c r="A427" s="45"/>
    </row>
    <row r="428" spans="1:1" ht="13" x14ac:dyDescent="0.15">
      <c r="A428" s="45"/>
    </row>
    <row r="429" spans="1:1" ht="13" x14ac:dyDescent="0.15">
      <c r="A429" s="45"/>
    </row>
    <row r="430" spans="1:1" ht="13" x14ac:dyDescent="0.15">
      <c r="A430" s="45"/>
    </row>
    <row r="431" spans="1:1" ht="13" x14ac:dyDescent="0.15">
      <c r="A431" s="45"/>
    </row>
    <row r="432" spans="1:1" ht="13" x14ac:dyDescent="0.15">
      <c r="A432" s="45"/>
    </row>
    <row r="433" spans="1:1" ht="13" x14ac:dyDescent="0.15">
      <c r="A433" s="45"/>
    </row>
    <row r="434" spans="1:1" ht="13" x14ac:dyDescent="0.15">
      <c r="A434" s="45"/>
    </row>
    <row r="435" spans="1:1" ht="13" x14ac:dyDescent="0.15">
      <c r="A435" s="45"/>
    </row>
    <row r="436" spans="1:1" ht="13" x14ac:dyDescent="0.15">
      <c r="A436" s="45"/>
    </row>
    <row r="437" spans="1:1" ht="13" x14ac:dyDescent="0.15">
      <c r="A437" s="45"/>
    </row>
    <row r="438" spans="1:1" ht="13" x14ac:dyDescent="0.15">
      <c r="A438" s="45"/>
    </row>
    <row r="439" spans="1:1" ht="13" x14ac:dyDescent="0.15">
      <c r="A439" s="45"/>
    </row>
    <row r="440" spans="1:1" ht="13" x14ac:dyDescent="0.15">
      <c r="A440" s="45"/>
    </row>
    <row r="441" spans="1:1" ht="13" x14ac:dyDescent="0.15">
      <c r="A441" s="45"/>
    </row>
    <row r="442" spans="1:1" ht="13" x14ac:dyDescent="0.15">
      <c r="A442" s="45"/>
    </row>
    <row r="443" spans="1:1" ht="13" x14ac:dyDescent="0.15">
      <c r="A443" s="45"/>
    </row>
    <row r="444" spans="1:1" ht="13" x14ac:dyDescent="0.15">
      <c r="A444" s="45"/>
    </row>
    <row r="445" spans="1:1" ht="13" x14ac:dyDescent="0.15">
      <c r="A445" s="45"/>
    </row>
    <row r="446" spans="1:1" ht="13" x14ac:dyDescent="0.15">
      <c r="A446" s="45"/>
    </row>
    <row r="447" spans="1:1" ht="13" x14ac:dyDescent="0.15">
      <c r="A447" s="45"/>
    </row>
    <row r="448" spans="1:1" ht="13" x14ac:dyDescent="0.15">
      <c r="A448" s="45"/>
    </row>
    <row r="449" spans="1:1" ht="13" x14ac:dyDescent="0.15">
      <c r="A449" s="45"/>
    </row>
    <row r="450" spans="1:1" ht="13" x14ac:dyDescent="0.15">
      <c r="A450" s="45"/>
    </row>
    <row r="451" spans="1:1" ht="13" x14ac:dyDescent="0.15">
      <c r="A451" s="45"/>
    </row>
    <row r="452" spans="1:1" ht="13" x14ac:dyDescent="0.15">
      <c r="A452" s="45"/>
    </row>
    <row r="453" spans="1:1" ht="13" x14ac:dyDescent="0.15">
      <c r="A453" s="45"/>
    </row>
    <row r="454" spans="1:1" ht="13" x14ac:dyDescent="0.15">
      <c r="A454" s="45"/>
    </row>
    <row r="455" spans="1:1" ht="13" x14ac:dyDescent="0.15">
      <c r="A455" s="45"/>
    </row>
    <row r="456" spans="1:1" ht="13" x14ac:dyDescent="0.15">
      <c r="A456" s="45"/>
    </row>
    <row r="457" spans="1:1" ht="13" x14ac:dyDescent="0.15">
      <c r="A457" s="45"/>
    </row>
    <row r="458" spans="1:1" ht="13" x14ac:dyDescent="0.15">
      <c r="A458" s="45"/>
    </row>
    <row r="459" spans="1:1" ht="13" x14ac:dyDescent="0.15">
      <c r="A459" s="45"/>
    </row>
    <row r="460" spans="1:1" ht="13" x14ac:dyDescent="0.15">
      <c r="A460" s="45"/>
    </row>
    <row r="461" spans="1:1" ht="13" x14ac:dyDescent="0.15">
      <c r="A461" s="45"/>
    </row>
    <row r="462" spans="1:1" ht="13" x14ac:dyDescent="0.15">
      <c r="A462" s="45"/>
    </row>
    <row r="463" spans="1:1" ht="13" x14ac:dyDescent="0.15">
      <c r="A463" s="45"/>
    </row>
    <row r="464" spans="1:1" ht="13" x14ac:dyDescent="0.15">
      <c r="A464" s="45"/>
    </row>
    <row r="465" spans="1:1" ht="13" x14ac:dyDescent="0.15">
      <c r="A465" s="45"/>
    </row>
    <row r="466" spans="1:1" ht="13" x14ac:dyDescent="0.15">
      <c r="A466" s="45"/>
    </row>
    <row r="467" spans="1:1" ht="13" x14ac:dyDescent="0.15">
      <c r="A467" s="45"/>
    </row>
    <row r="468" spans="1:1" ht="13" x14ac:dyDescent="0.15">
      <c r="A468" s="45"/>
    </row>
    <row r="469" spans="1:1" ht="13" x14ac:dyDescent="0.15">
      <c r="A469" s="45"/>
    </row>
    <row r="470" spans="1:1" ht="13" x14ac:dyDescent="0.15">
      <c r="A470" s="45"/>
    </row>
    <row r="471" spans="1:1" ht="13" x14ac:dyDescent="0.15">
      <c r="A471" s="45"/>
    </row>
    <row r="472" spans="1:1" ht="13" x14ac:dyDescent="0.15">
      <c r="A472" s="45"/>
    </row>
    <row r="473" spans="1:1" ht="13" x14ac:dyDescent="0.15">
      <c r="A473" s="45"/>
    </row>
    <row r="474" spans="1:1" ht="13" x14ac:dyDescent="0.15">
      <c r="A474" s="45"/>
    </row>
    <row r="475" spans="1:1" ht="13" x14ac:dyDescent="0.15">
      <c r="A475" s="45"/>
    </row>
    <row r="476" spans="1:1" ht="13" x14ac:dyDescent="0.15">
      <c r="A476" s="45"/>
    </row>
    <row r="477" spans="1:1" ht="13" x14ac:dyDescent="0.15">
      <c r="A477" s="45"/>
    </row>
    <row r="478" spans="1:1" ht="13" x14ac:dyDescent="0.15">
      <c r="A478" s="45"/>
    </row>
    <row r="479" spans="1:1" ht="13" x14ac:dyDescent="0.15">
      <c r="A479" s="45"/>
    </row>
    <row r="480" spans="1:1" ht="13" x14ac:dyDescent="0.15">
      <c r="A480" s="45"/>
    </row>
    <row r="481" spans="1:1" ht="13" x14ac:dyDescent="0.15">
      <c r="A481" s="45"/>
    </row>
    <row r="482" spans="1:1" ht="13" x14ac:dyDescent="0.15">
      <c r="A482" s="45"/>
    </row>
    <row r="483" spans="1:1" ht="13" x14ac:dyDescent="0.15">
      <c r="A483" s="45"/>
    </row>
    <row r="484" spans="1:1" ht="13" x14ac:dyDescent="0.15">
      <c r="A484" s="45"/>
    </row>
    <row r="485" spans="1:1" ht="13" x14ac:dyDescent="0.15">
      <c r="A485" s="45"/>
    </row>
    <row r="486" spans="1:1" ht="13" x14ac:dyDescent="0.15">
      <c r="A486" s="45"/>
    </row>
    <row r="487" spans="1:1" ht="13" x14ac:dyDescent="0.15">
      <c r="A487" s="45"/>
    </row>
    <row r="488" spans="1:1" ht="13" x14ac:dyDescent="0.15">
      <c r="A488" s="45"/>
    </row>
    <row r="489" spans="1:1" ht="13" x14ac:dyDescent="0.15">
      <c r="A489" s="45"/>
    </row>
    <row r="490" spans="1:1" ht="13" x14ac:dyDescent="0.15">
      <c r="A490" s="45"/>
    </row>
    <row r="491" spans="1:1" ht="13" x14ac:dyDescent="0.15">
      <c r="A491" s="45"/>
    </row>
    <row r="492" spans="1:1" ht="13" x14ac:dyDescent="0.15">
      <c r="A492" s="45"/>
    </row>
    <row r="493" spans="1:1" ht="13" x14ac:dyDescent="0.15">
      <c r="A493" s="45"/>
    </row>
    <row r="494" spans="1:1" ht="13" x14ac:dyDescent="0.15">
      <c r="A494" s="45"/>
    </row>
    <row r="495" spans="1:1" ht="13" x14ac:dyDescent="0.15">
      <c r="A495" s="45"/>
    </row>
    <row r="496" spans="1:1" ht="13" x14ac:dyDescent="0.15">
      <c r="A496" s="45"/>
    </row>
    <row r="497" spans="1:1" ht="13" x14ac:dyDescent="0.15">
      <c r="A497" s="45"/>
    </row>
    <row r="498" spans="1:1" ht="13" x14ac:dyDescent="0.15">
      <c r="A498" s="45"/>
    </row>
    <row r="499" spans="1:1" ht="13" x14ac:dyDescent="0.15">
      <c r="A499" s="45"/>
    </row>
    <row r="500" spans="1:1" ht="13" x14ac:dyDescent="0.15">
      <c r="A500" s="45"/>
    </row>
    <row r="501" spans="1:1" ht="13" x14ac:dyDescent="0.15">
      <c r="A501" s="45"/>
    </row>
    <row r="502" spans="1:1" ht="13" x14ac:dyDescent="0.15">
      <c r="A502" s="45"/>
    </row>
    <row r="503" spans="1:1" ht="13" x14ac:dyDescent="0.15">
      <c r="A503" s="45"/>
    </row>
    <row r="504" spans="1:1" ht="13" x14ac:dyDescent="0.15">
      <c r="A504" s="45"/>
    </row>
    <row r="505" spans="1:1" ht="13" x14ac:dyDescent="0.15">
      <c r="A505" s="45"/>
    </row>
    <row r="506" spans="1:1" ht="13" x14ac:dyDescent="0.15">
      <c r="A506" s="45"/>
    </row>
    <row r="507" spans="1:1" ht="13" x14ac:dyDescent="0.15">
      <c r="A507" s="45"/>
    </row>
    <row r="508" spans="1:1" ht="13" x14ac:dyDescent="0.15">
      <c r="A508" s="45"/>
    </row>
    <row r="509" spans="1:1" ht="13" x14ac:dyDescent="0.15">
      <c r="A509" s="45"/>
    </row>
    <row r="510" spans="1:1" ht="13" x14ac:dyDescent="0.15">
      <c r="A510" s="45"/>
    </row>
    <row r="511" spans="1:1" ht="13" x14ac:dyDescent="0.15">
      <c r="A511" s="45"/>
    </row>
    <row r="512" spans="1:1" ht="13" x14ac:dyDescent="0.15">
      <c r="A512" s="45"/>
    </row>
    <row r="513" spans="1:1" ht="13" x14ac:dyDescent="0.15">
      <c r="A513" s="45"/>
    </row>
    <row r="514" spans="1:1" ht="13" x14ac:dyDescent="0.15">
      <c r="A514" s="45"/>
    </row>
    <row r="515" spans="1:1" ht="13" x14ac:dyDescent="0.15">
      <c r="A515" s="45"/>
    </row>
    <row r="516" spans="1:1" ht="13" x14ac:dyDescent="0.15">
      <c r="A516" s="45"/>
    </row>
    <row r="517" spans="1:1" ht="13" x14ac:dyDescent="0.15">
      <c r="A517" s="45"/>
    </row>
    <row r="518" spans="1:1" ht="13" x14ac:dyDescent="0.15">
      <c r="A518" s="45"/>
    </row>
    <row r="519" spans="1:1" ht="13" x14ac:dyDescent="0.15">
      <c r="A519" s="45"/>
    </row>
    <row r="520" spans="1:1" ht="13" x14ac:dyDescent="0.15">
      <c r="A520" s="45"/>
    </row>
    <row r="521" spans="1:1" ht="13" x14ac:dyDescent="0.15">
      <c r="A521" s="45"/>
    </row>
    <row r="522" spans="1:1" ht="13" x14ac:dyDescent="0.15">
      <c r="A522" s="45"/>
    </row>
    <row r="523" spans="1:1" ht="13" x14ac:dyDescent="0.15">
      <c r="A523" s="45"/>
    </row>
    <row r="524" spans="1:1" ht="13" x14ac:dyDescent="0.15">
      <c r="A524" s="45"/>
    </row>
    <row r="525" spans="1:1" ht="13" x14ac:dyDescent="0.15">
      <c r="A525" s="45"/>
    </row>
    <row r="526" spans="1:1" ht="13" x14ac:dyDescent="0.15">
      <c r="A526" s="45"/>
    </row>
    <row r="527" spans="1:1" ht="13" x14ac:dyDescent="0.15">
      <c r="A527" s="45"/>
    </row>
    <row r="528" spans="1:1" ht="13" x14ac:dyDescent="0.15">
      <c r="A528" s="45"/>
    </row>
    <row r="529" spans="1:1" ht="13" x14ac:dyDescent="0.15">
      <c r="A529" s="45"/>
    </row>
    <row r="530" spans="1:1" ht="13" x14ac:dyDescent="0.15">
      <c r="A530" s="45"/>
    </row>
    <row r="531" spans="1:1" ht="13" x14ac:dyDescent="0.15">
      <c r="A531" s="45"/>
    </row>
    <row r="532" spans="1:1" ht="13" x14ac:dyDescent="0.15">
      <c r="A532" s="45"/>
    </row>
    <row r="533" spans="1:1" ht="13" x14ac:dyDescent="0.15">
      <c r="A533" s="45"/>
    </row>
    <row r="534" spans="1:1" ht="13" x14ac:dyDescent="0.15">
      <c r="A534" s="45"/>
    </row>
    <row r="535" spans="1:1" ht="13" x14ac:dyDescent="0.15">
      <c r="A535" s="45"/>
    </row>
    <row r="536" spans="1:1" ht="13" x14ac:dyDescent="0.15">
      <c r="A536" s="45"/>
    </row>
    <row r="537" spans="1:1" ht="13" x14ac:dyDescent="0.15">
      <c r="A537" s="45"/>
    </row>
    <row r="538" spans="1:1" ht="13" x14ac:dyDescent="0.15">
      <c r="A538" s="45"/>
    </row>
    <row r="539" spans="1:1" ht="13" x14ac:dyDescent="0.15">
      <c r="A539" s="45"/>
    </row>
    <row r="540" spans="1:1" ht="13" x14ac:dyDescent="0.15">
      <c r="A540" s="45"/>
    </row>
    <row r="541" spans="1:1" ht="13" x14ac:dyDescent="0.15">
      <c r="A541" s="45"/>
    </row>
    <row r="542" spans="1:1" ht="13" x14ac:dyDescent="0.15">
      <c r="A542" s="45"/>
    </row>
    <row r="543" spans="1:1" ht="13" x14ac:dyDescent="0.15">
      <c r="A543" s="45"/>
    </row>
    <row r="544" spans="1:1" ht="13" x14ac:dyDescent="0.15">
      <c r="A544" s="45"/>
    </row>
    <row r="545" spans="1:1" ht="13" x14ac:dyDescent="0.15">
      <c r="A545" s="45"/>
    </row>
    <row r="546" spans="1:1" ht="13" x14ac:dyDescent="0.15">
      <c r="A546" s="45"/>
    </row>
    <row r="547" spans="1:1" ht="13" x14ac:dyDescent="0.15">
      <c r="A547" s="45"/>
    </row>
    <row r="548" spans="1:1" ht="13" x14ac:dyDescent="0.15">
      <c r="A548" s="45"/>
    </row>
    <row r="549" spans="1:1" ht="13" x14ac:dyDescent="0.15">
      <c r="A549" s="45"/>
    </row>
    <row r="550" spans="1:1" ht="13" x14ac:dyDescent="0.15">
      <c r="A550" s="45"/>
    </row>
    <row r="551" spans="1:1" ht="13" x14ac:dyDescent="0.15">
      <c r="A551" s="45"/>
    </row>
    <row r="552" spans="1:1" ht="13" x14ac:dyDescent="0.15">
      <c r="A552" s="45"/>
    </row>
    <row r="553" spans="1:1" ht="13" x14ac:dyDescent="0.15">
      <c r="A553" s="45"/>
    </row>
    <row r="554" spans="1:1" ht="13" x14ac:dyDescent="0.15">
      <c r="A554" s="45"/>
    </row>
    <row r="555" spans="1:1" ht="13" x14ac:dyDescent="0.15">
      <c r="A555" s="45"/>
    </row>
    <row r="556" spans="1:1" ht="13" x14ac:dyDescent="0.15">
      <c r="A556" s="45"/>
    </row>
    <row r="557" spans="1:1" ht="13" x14ac:dyDescent="0.15">
      <c r="A557" s="45"/>
    </row>
    <row r="558" spans="1:1" ht="13" x14ac:dyDescent="0.15">
      <c r="A558" s="45"/>
    </row>
    <row r="559" spans="1:1" ht="13" x14ac:dyDescent="0.15">
      <c r="A559" s="45"/>
    </row>
    <row r="560" spans="1:1" ht="13" x14ac:dyDescent="0.15">
      <c r="A560" s="45"/>
    </row>
    <row r="561" spans="1:1" ht="13" x14ac:dyDescent="0.15">
      <c r="A561" s="45"/>
    </row>
    <row r="562" spans="1:1" ht="13" x14ac:dyDescent="0.15">
      <c r="A562" s="45"/>
    </row>
    <row r="563" spans="1:1" ht="13" x14ac:dyDescent="0.15">
      <c r="A563" s="45"/>
    </row>
    <row r="564" spans="1:1" ht="13" x14ac:dyDescent="0.15">
      <c r="A564" s="45"/>
    </row>
    <row r="565" spans="1:1" ht="13" x14ac:dyDescent="0.15">
      <c r="A565" s="45"/>
    </row>
    <row r="566" spans="1:1" ht="13" x14ac:dyDescent="0.15">
      <c r="A566" s="45"/>
    </row>
    <row r="567" spans="1:1" ht="13" x14ac:dyDescent="0.15">
      <c r="A567" s="45"/>
    </row>
    <row r="568" spans="1:1" ht="13" x14ac:dyDescent="0.15">
      <c r="A568" s="45"/>
    </row>
    <row r="569" spans="1:1" ht="13" x14ac:dyDescent="0.15">
      <c r="A569" s="45"/>
    </row>
    <row r="570" spans="1:1" ht="13" x14ac:dyDescent="0.15">
      <c r="A570" s="45"/>
    </row>
    <row r="571" spans="1:1" ht="13" x14ac:dyDescent="0.15">
      <c r="A571" s="45"/>
    </row>
    <row r="572" spans="1:1" ht="13" x14ac:dyDescent="0.15">
      <c r="A572" s="45"/>
    </row>
    <row r="573" spans="1:1" ht="13" x14ac:dyDescent="0.15">
      <c r="A573" s="45"/>
    </row>
    <row r="574" spans="1:1" ht="13" x14ac:dyDescent="0.15">
      <c r="A574" s="45"/>
    </row>
    <row r="575" spans="1:1" ht="13" x14ac:dyDescent="0.15">
      <c r="A575" s="45"/>
    </row>
    <row r="576" spans="1:1" ht="13" x14ac:dyDescent="0.15">
      <c r="A576" s="45"/>
    </row>
    <row r="577" spans="1:1" ht="13" x14ac:dyDescent="0.15">
      <c r="A577" s="45"/>
    </row>
    <row r="578" spans="1:1" ht="13" x14ac:dyDescent="0.15">
      <c r="A578" s="45"/>
    </row>
    <row r="579" spans="1:1" ht="13" x14ac:dyDescent="0.15">
      <c r="A579" s="45"/>
    </row>
    <row r="580" spans="1:1" ht="13" x14ac:dyDescent="0.15">
      <c r="A580" s="45"/>
    </row>
    <row r="581" spans="1:1" ht="13" x14ac:dyDescent="0.15">
      <c r="A581" s="45"/>
    </row>
    <row r="582" spans="1:1" ht="13" x14ac:dyDescent="0.15">
      <c r="A582" s="45"/>
    </row>
    <row r="583" spans="1:1" ht="13" x14ac:dyDescent="0.15">
      <c r="A583" s="45"/>
    </row>
    <row r="584" spans="1:1" ht="13" x14ac:dyDescent="0.15">
      <c r="A584" s="45"/>
    </row>
    <row r="585" spans="1:1" ht="13" x14ac:dyDescent="0.15">
      <c r="A585" s="45"/>
    </row>
    <row r="586" spans="1:1" ht="13" x14ac:dyDescent="0.15">
      <c r="A586" s="45"/>
    </row>
    <row r="587" spans="1:1" ht="13" x14ac:dyDescent="0.15">
      <c r="A587" s="45"/>
    </row>
    <row r="588" spans="1:1" ht="13" x14ac:dyDescent="0.15">
      <c r="A588" s="45"/>
    </row>
    <row r="589" spans="1:1" ht="13" x14ac:dyDescent="0.15">
      <c r="A589" s="45"/>
    </row>
    <row r="590" spans="1:1" ht="13" x14ac:dyDescent="0.15">
      <c r="A590" s="45"/>
    </row>
    <row r="591" spans="1:1" ht="13" x14ac:dyDescent="0.15">
      <c r="A591" s="45"/>
    </row>
    <row r="592" spans="1:1" ht="13" x14ac:dyDescent="0.15">
      <c r="A592" s="45"/>
    </row>
    <row r="593" spans="1:1" ht="13" x14ac:dyDescent="0.15">
      <c r="A593" s="45"/>
    </row>
    <row r="594" spans="1:1" ht="13" x14ac:dyDescent="0.15">
      <c r="A594" s="45"/>
    </row>
    <row r="595" spans="1:1" ht="13" x14ac:dyDescent="0.15">
      <c r="A595" s="45"/>
    </row>
    <row r="596" spans="1:1" ht="13" x14ac:dyDescent="0.15">
      <c r="A596" s="45"/>
    </row>
    <row r="597" spans="1:1" ht="13" x14ac:dyDescent="0.15">
      <c r="A597" s="45"/>
    </row>
    <row r="598" spans="1:1" ht="13" x14ac:dyDescent="0.15">
      <c r="A598" s="45"/>
    </row>
    <row r="599" spans="1:1" ht="13" x14ac:dyDescent="0.15">
      <c r="A599" s="45"/>
    </row>
    <row r="600" spans="1:1" ht="13" x14ac:dyDescent="0.15">
      <c r="A600" s="45"/>
    </row>
    <row r="601" spans="1:1" ht="13" x14ac:dyDescent="0.15">
      <c r="A601" s="45"/>
    </row>
    <row r="602" spans="1:1" ht="13" x14ac:dyDescent="0.15">
      <c r="A602" s="45"/>
    </row>
    <row r="603" spans="1:1" ht="13" x14ac:dyDescent="0.15">
      <c r="A603" s="45"/>
    </row>
    <row r="604" spans="1:1" ht="13" x14ac:dyDescent="0.15">
      <c r="A604" s="45"/>
    </row>
    <row r="605" spans="1:1" ht="13" x14ac:dyDescent="0.15">
      <c r="A605" s="45"/>
    </row>
    <row r="606" spans="1:1" ht="13" x14ac:dyDescent="0.15">
      <c r="A606" s="45"/>
    </row>
    <row r="607" spans="1:1" ht="13" x14ac:dyDescent="0.15">
      <c r="A607" s="45"/>
    </row>
    <row r="608" spans="1:1" ht="13" x14ac:dyDescent="0.15">
      <c r="A608" s="45"/>
    </row>
    <row r="609" spans="1:1" ht="13" x14ac:dyDescent="0.15">
      <c r="A609" s="45"/>
    </row>
    <row r="610" spans="1:1" ht="13" x14ac:dyDescent="0.15">
      <c r="A610" s="45"/>
    </row>
    <row r="611" spans="1:1" ht="13" x14ac:dyDescent="0.15">
      <c r="A611" s="45"/>
    </row>
    <row r="612" spans="1:1" ht="13" x14ac:dyDescent="0.15">
      <c r="A612" s="45"/>
    </row>
    <row r="613" spans="1:1" ht="13" x14ac:dyDescent="0.15">
      <c r="A613" s="45"/>
    </row>
    <row r="614" spans="1:1" ht="13" x14ac:dyDescent="0.15">
      <c r="A614" s="45"/>
    </row>
    <row r="615" spans="1:1" ht="13" x14ac:dyDescent="0.15">
      <c r="A615" s="45"/>
    </row>
    <row r="616" spans="1:1" ht="13" x14ac:dyDescent="0.15">
      <c r="A616" s="45"/>
    </row>
    <row r="617" spans="1:1" ht="13" x14ac:dyDescent="0.15">
      <c r="A617" s="45"/>
    </row>
    <row r="618" spans="1:1" ht="13" x14ac:dyDescent="0.15">
      <c r="A618" s="45"/>
    </row>
    <row r="619" spans="1:1" ht="13" x14ac:dyDescent="0.15">
      <c r="A619" s="45"/>
    </row>
    <row r="620" spans="1:1" ht="13" x14ac:dyDescent="0.15">
      <c r="A620" s="45"/>
    </row>
    <row r="621" spans="1:1" ht="13" x14ac:dyDescent="0.15">
      <c r="A621" s="45"/>
    </row>
    <row r="622" spans="1:1" ht="13" x14ac:dyDescent="0.15">
      <c r="A622" s="45"/>
    </row>
    <row r="623" spans="1:1" ht="13" x14ac:dyDescent="0.15">
      <c r="A623" s="45"/>
    </row>
    <row r="624" spans="1:1" ht="13" x14ac:dyDescent="0.15">
      <c r="A624" s="45"/>
    </row>
    <row r="625" spans="1:1" ht="13" x14ac:dyDescent="0.15">
      <c r="A625" s="45"/>
    </row>
    <row r="626" spans="1:1" ht="13" x14ac:dyDescent="0.15">
      <c r="A626" s="45"/>
    </row>
    <row r="627" spans="1:1" ht="13" x14ac:dyDescent="0.15">
      <c r="A627" s="45"/>
    </row>
    <row r="628" spans="1:1" ht="13" x14ac:dyDescent="0.15">
      <c r="A628" s="45"/>
    </row>
    <row r="629" spans="1:1" ht="13" x14ac:dyDescent="0.15">
      <c r="A629" s="45"/>
    </row>
    <row r="630" spans="1:1" ht="13" x14ac:dyDescent="0.15">
      <c r="A630" s="45"/>
    </row>
    <row r="631" spans="1:1" ht="13" x14ac:dyDescent="0.15">
      <c r="A631" s="45"/>
    </row>
    <row r="632" spans="1:1" ht="13" x14ac:dyDescent="0.15">
      <c r="A632" s="45"/>
    </row>
    <row r="633" spans="1:1" ht="13" x14ac:dyDescent="0.15">
      <c r="A633" s="45"/>
    </row>
    <row r="634" spans="1:1" ht="13" x14ac:dyDescent="0.15">
      <c r="A634" s="45"/>
    </row>
    <row r="635" spans="1:1" ht="13" x14ac:dyDescent="0.15">
      <c r="A635" s="45"/>
    </row>
    <row r="636" spans="1:1" ht="13" x14ac:dyDescent="0.15">
      <c r="A636" s="45"/>
    </row>
    <row r="637" spans="1:1" ht="13" x14ac:dyDescent="0.15">
      <c r="A637" s="45"/>
    </row>
    <row r="638" spans="1:1" ht="13" x14ac:dyDescent="0.15">
      <c r="A638" s="45"/>
    </row>
    <row r="639" spans="1:1" ht="13" x14ac:dyDescent="0.15">
      <c r="A639" s="45"/>
    </row>
    <row r="640" spans="1:1" ht="13" x14ac:dyDescent="0.15">
      <c r="A640" s="45"/>
    </row>
    <row r="641" spans="1:1" ht="13" x14ac:dyDescent="0.15">
      <c r="A641" s="45"/>
    </row>
    <row r="642" spans="1:1" ht="13" x14ac:dyDescent="0.15">
      <c r="A642" s="45"/>
    </row>
    <row r="643" spans="1:1" ht="13" x14ac:dyDescent="0.15">
      <c r="A643" s="45"/>
    </row>
    <row r="644" spans="1:1" ht="13" x14ac:dyDescent="0.15">
      <c r="A644" s="45"/>
    </row>
    <row r="645" spans="1:1" ht="13" x14ac:dyDescent="0.15">
      <c r="A645" s="45"/>
    </row>
    <row r="646" spans="1:1" ht="13" x14ac:dyDescent="0.15">
      <c r="A646" s="45"/>
    </row>
    <row r="647" spans="1:1" ht="13" x14ac:dyDescent="0.15">
      <c r="A647" s="45"/>
    </row>
    <row r="648" spans="1:1" ht="13" x14ac:dyDescent="0.15">
      <c r="A648" s="45"/>
    </row>
    <row r="649" spans="1:1" ht="13" x14ac:dyDescent="0.15">
      <c r="A649" s="45"/>
    </row>
    <row r="650" spans="1:1" ht="13" x14ac:dyDescent="0.15">
      <c r="A650" s="45"/>
    </row>
    <row r="651" spans="1:1" ht="13" x14ac:dyDescent="0.15">
      <c r="A651" s="45"/>
    </row>
    <row r="652" spans="1:1" ht="13" x14ac:dyDescent="0.15">
      <c r="A652" s="45"/>
    </row>
    <row r="653" spans="1:1" ht="13" x14ac:dyDescent="0.15">
      <c r="A653" s="45"/>
    </row>
    <row r="654" spans="1:1" ht="13" x14ac:dyDescent="0.15">
      <c r="A654" s="45"/>
    </row>
    <row r="655" spans="1:1" ht="13" x14ac:dyDescent="0.15">
      <c r="A655" s="45"/>
    </row>
    <row r="656" spans="1:1" ht="13" x14ac:dyDescent="0.15">
      <c r="A656" s="45"/>
    </row>
    <row r="657" spans="1:1" ht="13" x14ac:dyDescent="0.15">
      <c r="A657" s="45"/>
    </row>
    <row r="658" spans="1:1" ht="13" x14ac:dyDescent="0.15">
      <c r="A658" s="45"/>
    </row>
    <row r="659" spans="1:1" ht="13" x14ac:dyDescent="0.15">
      <c r="A659" s="45"/>
    </row>
    <row r="660" spans="1:1" ht="13" x14ac:dyDescent="0.15">
      <c r="A660" s="45"/>
    </row>
    <row r="661" spans="1:1" ht="13" x14ac:dyDescent="0.15">
      <c r="A661" s="45"/>
    </row>
    <row r="662" spans="1:1" ht="13" x14ac:dyDescent="0.15">
      <c r="A662" s="45"/>
    </row>
    <row r="663" spans="1:1" ht="13" x14ac:dyDescent="0.15">
      <c r="A663" s="45"/>
    </row>
    <row r="664" spans="1:1" ht="13" x14ac:dyDescent="0.15">
      <c r="A664" s="45"/>
    </row>
    <row r="665" spans="1:1" ht="13" x14ac:dyDescent="0.15">
      <c r="A665" s="45"/>
    </row>
    <row r="666" spans="1:1" ht="13" x14ac:dyDescent="0.15">
      <c r="A666" s="45"/>
    </row>
    <row r="667" spans="1:1" ht="13" x14ac:dyDescent="0.15">
      <c r="A667" s="45"/>
    </row>
    <row r="668" spans="1:1" ht="13" x14ac:dyDescent="0.15">
      <c r="A668" s="45"/>
    </row>
    <row r="669" spans="1:1" ht="13" x14ac:dyDescent="0.15">
      <c r="A669" s="45"/>
    </row>
    <row r="670" spans="1:1" ht="13" x14ac:dyDescent="0.15">
      <c r="A670" s="45"/>
    </row>
    <row r="671" spans="1:1" ht="13" x14ac:dyDescent="0.15">
      <c r="A671" s="45"/>
    </row>
    <row r="672" spans="1:1" ht="13" x14ac:dyDescent="0.15">
      <c r="A672" s="45"/>
    </row>
    <row r="673" spans="1:1" ht="13" x14ac:dyDescent="0.15">
      <c r="A673" s="45"/>
    </row>
    <row r="674" spans="1:1" ht="13" x14ac:dyDescent="0.15">
      <c r="A674" s="45"/>
    </row>
    <row r="675" spans="1:1" ht="13" x14ac:dyDescent="0.15">
      <c r="A675" s="45"/>
    </row>
    <row r="676" spans="1:1" ht="13" x14ac:dyDescent="0.15">
      <c r="A676" s="45"/>
    </row>
    <row r="677" spans="1:1" ht="13" x14ac:dyDescent="0.15">
      <c r="A677" s="45"/>
    </row>
    <row r="678" spans="1:1" ht="13" x14ac:dyDescent="0.15">
      <c r="A678" s="45"/>
    </row>
    <row r="679" spans="1:1" ht="13" x14ac:dyDescent="0.15">
      <c r="A679" s="45"/>
    </row>
    <row r="680" spans="1:1" ht="13" x14ac:dyDescent="0.15">
      <c r="A680" s="45"/>
    </row>
    <row r="681" spans="1:1" ht="13" x14ac:dyDescent="0.15">
      <c r="A681" s="45"/>
    </row>
    <row r="682" spans="1:1" ht="13" x14ac:dyDescent="0.15">
      <c r="A682" s="45"/>
    </row>
    <row r="683" spans="1:1" ht="13" x14ac:dyDescent="0.15">
      <c r="A683" s="45"/>
    </row>
    <row r="684" spans="1:1" ht="13" x14ac:dyDescent="0.15">
      <c r="A684" s="45"/>
    </row>
    <row r="685" spans="1:1" ht="13" x14ac:dyDescent="0.15">
      <c r="A685" s="45"/>
    </row>
    <row r="686" spans="1:1" ht="13" x14ac:dyDescent="0.15">
      <c r="A686" s="45"/>
    </row>
    <row r="687" spans="1:1" ht="13" x14ac:dyDescent="0.15">
      <c r="A687" s="45"/>
    </row>
    <row r="688" spans="1:1" ht="13" x14ac:dyDescent="0.15">
      <c r="A688" s="45"/>
    </row>
    <row r="689" spans="1:1" ht="13" x14ac:dyDescent="0.15">
      <c r="A689" s="45"/>
    </row>
    <row r="690" spans="1:1" ht="13" x14ac:dyDescent="0.15">
      <c r="A690" s="45"/>
    </row>
    <row r="691" spans="1:1" ht="13" x14ac:dyDescent="0.15">
      <c r="A691" s="45"/>
    </row>
    <row r="692" spans="1:1" ht="13" x14ac:dyDescent="0.15">
      <c r="A692" s="45"/>
    </row>
    <row r="693" spans="1:1" ht="13" x14ac:dyDescent="0.15">
      <c r="A693" s="45"/>
    </row>
    <row r="694" spans="1:1" ht="13" x14ac:dyDescent="0.15">
      <c r="A694" s="45"/>
    </row>
    <row r="695" spans="1:1" ht="13" x14ac:dyDescent="0.15">
      <c r="A695" s="45"/>
    </row>
    <row r="696" spans="1:1" ht="13" x14ac:dyDescent="0.15">
      <c r="A696" s="45"/>
    </row>
    <row r="697" spans="1:1" ht="13" x14ac:dyDescent="0.15">
      <c r="A697" s="45"/>
    </row>
    <row r="698" spans="1:1" ht="13" x14ac:dyDescent="0.15">
      <c r="A698" s="45"/>
    </row>
    <row r="699" spans="1:1" ht="13" x14ac:dyDescent="0.15">
      <c r="A699" s="45"/>
    </row>
    <row r="700" spans="1:1" ht="13" x14ac:dyDescent="0.15">
      <c r="A700" s="45"/>
    </row>
    <row r="701" spans="1:1" ht="13" x14ac:dyDescent="0.15">
      <c r="A701" s="45"/>
    </row>
    <row r="702" spans="1:1" ht="13" x14ac:dyDescent="0.15">
      <c r="A702" s="45"/>
    </row>
    <row r="703" spans="1:1" ht="13" x14ac:dyDescent="0.15">
      <c r="A703" s="45"/>
    </row>
    <row r="704" spans="1:1" ht="13" x14ac:dyDescent="0.15">
      <c r="A704" s="45"/>
    </row>
    <row r="705" spans="1:1" ht="13" x14ac:dyDescent="0.15">
      <c r="A705" s="45"/>
    </row>
    <row r="706" spans="1:1" ht="13" x14ac:dyDescent="0.15">
      <c r="A706" s="45"/>
    </row>
    <row r="707" spans="1:1" ht="13" x14ac:dyDescent="0.15">
      <c r="A707" s="45"/>
    </row>
    <row r="708" spans="1:1" ht="13" x14ac:dyDescent="0.15">
      <c r="A708" s="45"/>
    </row>
    <row r="709" spans="1:1" ht="13" x14ac:dyDescent="0.15">
      <c r="A709" s="45"/>
    </row>
    <row r="710" spans="1:1" ht="13" x14ac:dyDescent="0.15">
      <c r="A710" s="45"/>
    </row>
    <row r="711" spans="1:1" ht="13" x14ac:dyDescent="0.15">
      <c r="A711" s="45"/>
    </row>
    <row r="712" spans="1:1" ht="13" x14ac:dyDescent="0.15">
      <c r="A712" s="45"/>
    </row>
    <row r="713" spans="1:1" ht="13" x14ac:dyDescent="0.15">
      <c r="A713" s="45"/>
    </row>
    <row r="714" spans="1:1" ht="13" x14ac:dyDescent="0.15">
      <c r="A714" s="45"/>
    </row>
    <row r="715" spans="1:1" ht="13" x14ac:dyDescent="0.15">
      <c r="A715" s="45"/>
    </row>
    <row r="716" spans="1:1" ht="13" x14ac:dyDescent="0.15">
      <c r="A716" s="45"/>
    </row>
    <row r="717" spans="1:1" ht="13" x14ac:dyDescent="0.15">
      <c r="A717" s="45"/>
    </row>
    <row r="718" spans="1:1" ht="13" x14ac:dyDescent="0.15">
      <c r="A718" s="45"/>
    </row>
    <row r="719" spans="1:1" ht="13" x14ac:dyDescent="0.15">
      <c r="A719" s="45"/>
    </row>
    <row r="720" spans="1:1" ht="13" x14ac:dyDescent="0.15">
      <c r="A720" s="45"/>
    </row>
    <row r="721" spans="1:1" ht="13" x14ac:dyDescent="0.15">
      <c r="A721" s="45"/>
    </row>
    <row r="722" spans="1:1" ht="13" x14ac:dyDescent="0.15">
      <c r="A722" s="45"/>
    </row>
    <row r="723" spans="1:1" ht="13" x14ac:dyDescent="0.15">
      <c r="A723" s="45"/>
    </row>
    <row r="724" spans="1:1" ht="13" x14ac:dyDescent="0.15">
      <c r="A724" s="45"/>
    </row>
    <row r="725" spans="1:1" ht="13" x14ac:dyDescent="0.15">
      <c r="A725" s="45"/>
    </row>
    <row r="726" spans="1:1" ht="13" x14ac:dyDescent="0.15">
      <c r="A726" s="45"/>
    </row>
    <row r="727" spans="1:1" ht="13" x14ac:dyDescent="0.15">
      <c r="A727" s="45"/>
    </row>
    <row r="728" spans="1:1" ht="13" x14ac:dyDescent="0.15">
      <c r="A728" s="45"/>
    </row>
    <row r="729" spans="1:1" ht="13" x14ac:dyDescent="0.15">
      <c r="A729" s="45"/>
    </row>
    <row r="730" spans="1:1" ht="13" x14ac:dyDescent="0.15">
      <c r="A730" s="45"/>
    </row>
    <row r="731" spans="1:1" ht="13" x14ac:dyDescent="0.15">
      <c r="A731" s="45"/>
    </row>
    <row r="732" spans="1:1" ht="13" x14ac:dyDescent="0.15">
      <c r="A732" s="45"/>
    </row>
    <row r="733" spans="1:1" ht="13" x14ac:dyDescent="0.15">
      <c r="A733" s="45"/>
    </row>
    <row r="734" spans="1:1" ht="13" x14ac:dyDescent="0.15">
      <c r="A734" s="45"/>
    </row>
    <row r="735" spans="1:1" ht="13" x14ac:dyDescent="0.15">
      <c r="A735" s="45"/>
    </row>
    <row r="736" spans="1:1" ht="13" x14ac:dyDescent="0.15">
      <c r="A736" s="45"/>
    </row>
    <row r="737" spans="1:1" ht="13" x14ac:dyDescent="0.15">
      <c r="A737" s="45"/>
    </row>
    <row r="738" spans="1:1" ht="13" x14ac:dyDescent="0.15">
      <c r="A738" s="45"/>
    </row>
    <row r="739" spans="1:1" ht="13" x14ac:dyDescent="0.15">
      <c r="A739" s="45"/>
    </row>
    <row r="740" spans="1:1" ht="13" x14ac:dyDescent="0.15">
      <c r="A740" s="45"/>
    </row>
    <row r="741" spans="1:1" ht="13" x14ac:dyDescent="0.15">
      <c r="A741" s="45"/>
    </row>
    <row r="742" spans="1:1" ht="13" x14ac:dyDescent="0.15">
      <c r="A742" s="45"/>
    </row>
    <row r="743" spans="1:1" ht="13" x14ac:dyDescent="0.15">
      <c r="A743" s="45"/>
    </row>
    <row r="744" spans="1:1" ht="13" x14ac:dyDescent="0.15">
      <c r="A744" s="45"/>
    </row>
    <row r="745" spans="1:1" ht="13" x14ac:dyDescent="0.15">
      <c r="A745" s="45"/>
    </row>
    <row r="746" spans="1:1" ht="13" x14ac:dyDescent="0.15">
      <c r="A746" s="45"/>
    </row>
    <row r="747" spans="1:1" ht="13" x14ac:dyDescent="0.15">
      <c r="A747" s="45"/>
    </row>
    <row r="748" spans="1:1" ht="13" x14ac:dyDescent="0.15">
      <c r="A748" s="45"/>
    </row>
    <row r="749" spans="1:1" ht="13" x14ac:dyDescent="0.15">
      <c r="A749" s="45"/>
    </row>
    <row r="750" spans="1:1" ht="13" x14ac:dyDescent="0.15">
      <c r="A750" s="45"/>
    </row>
    <row r="751" spans="1:1" ht="13" x14ac:dyDescent="0.15">
      <c r="A751" s="45"/>
    </row>
    <row r="752" spans="1:1" ht="13" x14ac:dyDescent="0.15">
      <c r="A752" s="45"/>
    </row>
    <row r="753" spans="1:1" ht="13" x14ac:dyDescent="0.15">
      <c r="A753" s="45"/>
    </row>
    <row r="754" spans="1:1" ht="13" x14ac:dyDescent="0.15">
      <c r="A754" s="45"/>
    </row>
    <row r="755" spans="1:1" ht="13" x14ac:dyDescent="0.15">
      <c r="A755" s="45"/>
    </row>
    <row r="756" spans="1:1" ht="13" x14ac:dyDescent="0.15">
      <c r="A756" s="45"/>
    </row>
    <row r="757" spans="1:1" ht="13" x14ac:dyDescent="0.15">
      <c r="A757" s="45"/>
    </row>
    <row r="758" spans="1:1" ht="13" x14ac:dyDescent="0.15">
      <c r="A758" s="45"/>
    </row>
    <row r="759" spans="1:1" ht="13" x14ac:dyDescent="0.15">
      <c r="A759" s="45"/>
    </row>
    <row r="760" spans="1:1" ht="13" x14ac:dyDescent="0.15">
      <c r="A760" s="45"/>
    </row>
    <row r="761" spans="1:1" ht="13" x14ac:dyDescent="0.15">
      <c r="A761" s="45"/>
    </row>
    <row r="762" spans="1:1" ht="13" x14ac:dyDescent="0.15">
      <c r="A762" s="45"/>
    </row>
    <row r="763" spans="1:1" ht="13" x14ac:dyDescent="0.15">
      <c r="A763" s="45"/>
    </row>
    <row r="764" spans="1:1" ht="13" x14ac:dyDescent="0.15">
      <c r="A764" s="45"/>
    </row>
    <row r="765" spans="1:1" ht="13" x14ac:dyDescent="0.15">
      <c r="A765" s="45"/>
    </row>
    <row r="766" spans="1:1" ht="13" x14ac:dyDescent="0.15">
      <c r="A766" s="45"/>
    </row>
    <row r="767" spans="1:1" ht="13" x14ac:dyDescent="0.15">
      <c r="A767" s="45"/>
    </row>
    <row r="768" spans="1:1" ht="13" x14ac:dyDescent="0.15">
      <c r="A768" s="45"/>
    </row>
    <row r="769" spans="1:1" ht="13" x14ac:dyDescent="0.15">
      <c r="A769" s="45"/>
    </row>
    <row r="770" spans="1:1" ht="13" x14ac:dyDescent="0.15">
      <c r="A770" s="45"/>
    </row>
    <row r="771" spans="1:1" ht="13" x14ac:dyDescent="0.15">
      <c r="A771" s="45"/>
    </row>
    <row r="772" spans="1:1" ht="13" x14ac:dyDescent="0.15">
      <c r="A772" s="45"/>
    </row>
    <row r="773" spans="1:1" ht="13" x14ac:dyDescent="0.15">
      <c r="A773" s="45"/>
    </row>
    <row r="774" spans="1:1" ht="13" x14ac:dyDescent="0.15">
      <c r="A774" s="45"/>
    </row>
    <row r="775" spans="1:1" ht="13" x14ac:dyDescent="0.15">
      <c r="A775" s="45"/>
    </row>
    <row r="776" spans="1:1" ht="13" x14ac:dyDescent="0.15">
      <c r="A776" s="45"/>
    </row>
    <row r="777" spans="1:1" ht="13" x14ac:dyDescent="0.15">
      <c r="A777" s="45"/>
    </row>
    <row r="778" spans="1:1" ht="13" x14ac:dyDescent="0.15">
      <c r="A778" s="45"/>
    </row>
    <row r="779" spans="1:1" ht="13" x14ac:dyDescent="0.15">
      <c r="A779" s="45"/>
    </row>
    <row r="780" spans="1:1" ht="13" x14ac:dyDescent="0.15">
      <c r="A780" s="45"/>
    </row>
    <row r="781" spans="1:1" ht="13" x14ac:dyDescent="0.15">
      <c r="A781" s="45"/>
    </row>
    <row r="782" spans="1:1" ht="13" x14ac:dyDescent="0.15">
      <c r="A782" s="45"/>
    </row>
    <row r="783" spans="1:1" ht="13" x14ac:dyDescent="0.15">
      <c r="A783" s="45"/>
    </row>
    <row r="784" spans="1:1" ht="13" x14ac:dyDescent="0.15">
      <c r="A784" s="45"/>
    </row>
    <row r="785" spans="1:1" ht="13" x14ac:dyDescent="0.15">
      <c r="A785" s="45"/>
    </row>
    <row r="786" spans="1:1" ht="13" x14ac:dyDescent="0.15">
      <c r="A786" s="45"/>
    </row>
    <row r="787" spans="1:1" ht="13" x14ac:dyDescent="0.15">
      <c r="A787" s="45"/>
    </row>
    <row r="788" spans="1:1" ht="13" x14ac:dyDescent="0.15">
      <c r="A788" s="45"/>
    </row>
    <row r="789" spans="1:1" ht="13" x14ac:dyDescent="0.15">
      <c r="A789" s="45"/>
    </row>
    <row r="790" spans="1:1" ht="13" x14ac:dyDescent="0.15">
      <c r="A790" s="45"/>
    </row>
    <row r="791" spans="1:1" ht="13" x14ac:dyDescent="0.15">
      <c r="A791" s="45"/>
    </row>
    <row r="792" spans="1:1" ht="13" x14ac:dyDescent="0.15">
      <c r="A792" s="45"/>
    </row>
    <row r="793" spans="1:1" ht="13" x14ac:dyDescent="0.15">
      <c r="A793" s="45"/>
    </row>
    <row r="794" spans="1:1" ht="13" x14ac:dyDescent="0.15">
      <c r="A794" s="45"/>
    </row>
    <row r="795" spans="1:1" ht="13" x14ac:dyDescent="0.15">
      <c r="A795" s="45"/>
    </row>
    <row r="796" spans="1:1" ht="13" x14ac:dyDescent="0.15">
      <c r="A796" s="45"/>
    </row>
    <row r="797" spans="1:1" ht="13" x14ac:dyDescent="0.15">
      <c r="A797" s="45"/>
    </row>
    <row r="798" spans="1:1" ht="13" x14ac:dyDescent="0.15">
      <c r="A798" s="45"/>
    </row>
    <row r="799" spans="1:1" ht="13" x14ac:dyDescent="0.15">
      <c r="A799" s="45"/>
    </row>
    <row r="800" spans="1:1" ht="13" x14ac:dyDescent="0.15">
      <c r="A800" s="45"/>
    </row>
    <row r="801" spans="1:1" ht="13" x14ac:dyDescent="0.15">
      <c r="A801" s="45"/>
    </row>
    <row r="802" spans="1:1" ht="13" x14ac:dyDescent="0.15">
      <c r="A802" s="45"/>
    </row>
    <row r="803" spans="1:1" ht="13" x14ac:dyDescent="0.15">
      <c r="A803" s="45"/>
    </row>
    <row r="804" spans="1:1" ht="13" x14ac:dyDescent="0.15">
      <c r="A804" s="45"/>
    </row>
    <row r="805" spans="1:1" ht="13" x14ac:dyDescent="0.15">
      <c r="A805" s="45"/>
    </row>
    <row r="806" spans="1:1" ht="13" x14ac:dyDescent="0.15">
      <c r="A806" s="45"/>
    </row>
    <row r="807" spans="1:1" ht="13" x14ac:dyDescent="0.15">
      <c r="A807" s="45"/>
    </row>
    <row r="808" spans="1:1" ht="13" x14ac:dyDescent="0.15">
      <c r="A808" s="45"/>
    </row>
    <row r="809" spans="1:1" ht="13" x14ac:dyDescent="0.15">
      <c r="A809" s="45"/>
    </row>
    <row r="810" spans="1:1" ht="13" x14ac:dyDescent="0.15">
      <c r="A810" s="45"/>
    </row>
    <row r="811" spans="1:1" ht="13" x14ac:dyDescent="0.15">
      <c r="A811" s="45"/>
    </row>
    <row r="812" spans="1:1" ht="13" x14ac:dyDescent="0.15">
      <c r="A812" s="45"/>
    </row>
    <row r="813" spans="1:1" ht="13" x14ac:dyDescent="0.15">
      <c r="A813" s="45"/>
    </row>
    <row r="814" spans="1:1" ht="13" x14ac:dyDescent="0.15">
      <c r="A814" s="45"/>
    </row>
    <row r="815" spans="1:1" ht="13" x14ac:dyDescent="0.15">
      <c r="A815" s="45"/>
    </row>
    <row r="816" spans="1:1" ht="13" x14ac:dyDescent="0.15">
      <c r="A816" s="45"/>
    </row>
    <row r="817" spans="1:1" ht="13" x14ac:dyDescent="0.15">
      <c r="A817" s="45"/>
    </row>
    <row r="818" spans="1:1" ht="13" x14ac:dyDescent="0.15">
      <c r="A818" s="45"/>
    </row>
    <row r="819" spans="1:1" ht="13" x14ac:dyDescent="0.15">
      <c r="A819" s="45"/>
    </row>
    <row r="820" spans="1:1" ht="13" x14ac:dyDescent="0.15">
      <c r="A820" s="45"/>
    </row>
    <row r="821" spans="1:1" ht="13" x14ac:dyDescent="0.15">
      <c r="A821" s="45"/>
    </row>
    <row r="822" spans="1:1" ht="13" x14ac:dyDescent="0.15">
      <c r="A822" s="45"/>
    </row>
    <row r="823" spans="1:1" ht="13" x14ac:dyDescent="0.15">
      <c r="A823" s="45"/>
    </row>
    <row r="824" spans="1:1" ht="13" x14ac:dyDescent="0.15">
      <c r="A824" s="45"/>
    </row>
    <row r="825" spans="1:1" ht="13" x14ac:dyDescent="0.15">
      <c r="A825" s="45"/>
    </row>
    <row r="826" spans="1:1" ht="13" x14ac:dyDescent="0.15">
      <c r="A826" s="45"/>
    </row>
    <row r="827" spans="1:1" ht="13" x14ac:dyDescent="0.15">
      <c r="A827" s="45"/>
    </row>
    <row r="828" spans="1:1" ht="13" x14ac:dyDescent="0.15">
      <c r="A828" s="45"/>
    </row>
    <row r="829" spans="1:1" ht="13" x14ac:dyDescent="0.15">
      <c r="A829" s="45"/>
    </row>
    <row r="830" spans="1:1" ht="13" x14ac:dyDescent="0.15">
      <c r="A830" s="45"/>
    </row>
    <row r="831" spans="1:1" ht="13" x14ac:dyDescent="0.15">
      <c r="A831" s="45"/>
    </row>
    <row r="832" spans="1:1" ht="13" x14ac:dyDescent="0.15">
      <c r="A832" s="45"/>
    </row>
    <row r="833" spans="1:1" ht="13" x14ac:dyDescent="0.15">
      <c r="A833" s="45"/>
    </row>
    <row r="834" spans="1:1" ht="13" x14ac:dyDescent="0.15">
      <c r="A834" s="45"/>
    </row>
    <row r="835" spans="1:1" ht="13" x14ac:dyDescent="0.15">
      <c r="A835" s="45"/>
    </row>
    <row r="836" spans="1:1" ht="13" x14ac:dyDescent="0.15">
      <c r="A836" s="45"/>
    </row>
    <row r="837" spans="1:1" ht="13" x14ac:dyDescent="0.15">
      <c r="A837" s="45"/>
    </row>
    <row r="838" spans="1:1" ht="13" x14ac:dyDescent="0.15">
      <c r="A838" s="45"/>
    </row>
    <row r="839" spans="1:1" ht="13" x14ac:dyDescent="0.15">
      <c r="A839" s="45"/>
    </row>
    <row r="840" spans="1:1" ht="13" x14ac:dyDescent="0.15">
      <c r="A840" s="45"/>
    </row>
    <row r="841" spans="1:1" ht="13" x14ac:dyDescent="0.15">
      <c r="A841" s="45"/>
    </row>
    <row r="842" spans="1:1" ht="13" x14ac:dyDescent="0.15">
      <c r="A842" s="45"/>
    </row>
    <row r="843" spans="1:1" ht="13" x14ac:dyDescent="0.15">
      <c r="A843" s="45"/>
    </row>
    <row r="844" spans="1:1" ht="13" x14ac:dyDescent="0.15">
      <c r="A844" s="45"/>
    </row>
    <row r="845" spans="1:1" ht="13" x14ac:dyDescent="0.15">
      <c r="A845" s="45"/>
    </row>
    <row r="846" spans="1:1" ht="13" x14ac:dyDescent="0.15">
      <c r="A846" s="45"/>
    </row>
    <row r="847" spans="1:1" ht="13" x14ac:dyDescent="0.15">
      <c r="A847" s="45"/>
    </row>
    <row r="848" spans="1:1" ht="13" x14ac:dyDescent="0.15">
      <c r="A848" s="45"/>
    </row>
    <row r="849" spans="1:1" ht="13" x14ac:dyDescent="0.15">
      <c r="A849" s="45"/>
    </row>
    <row r="850" spans="1:1" ht="13" x14ac:dyDescent="0.15">
      <c r="A850" s="45"/>
    </row>
    <row r="851" spans="1:1" ht="13" x14ac:dyDescent="0.15">
      <c r="A851" s="45"/>
    </row>
    <row r="852" spans="1:1" ht="13" x14ac:dyDescent="0.15">
      <c r="A852" s="45"/>
    </row>
    <row r="853" spans="1:1" ht="13" x14ac:dyDescent="0.15">
      <c r="A853" s="45"/>
    </row>
    <row r="854" spans="1:1" ht="13" x14ac:dyDescent="0.15">
      <c r="A854" s="45"/>
    </row>
    <row r="855" spans="1:1" ht="13" x14ac:dyDescent="0.15">
      <c r="A855" s="45"/>
    </row>
    <row r="856" spans="1:1" ht="13" x14ac:dyDescent="0.15">
      <c r="A856" s="45"/>
    </row>
    <row r="857" spans="1:1" ht="13" x14ac:dyDescent="0.15">
      <c r="A857" s="45"/>
    </row>
    <row r="858" spans="1:1" ht="13" x14ac:dyDescent="0.15">
      <c r="A858" s="45"/>
    </row>
    <row r="859" spans="1:1" ht="13" x14ac:dyDescent="0.15">
      <c r="A859" s="45"/>
    </row>
    <row r="860" spans="1:1" ht="13" x14ac:dyDescent="0.15">
      <c r="A860" s="45"/>
    </row>
    <row r="861" spans="1:1" ht="13" x14ac:dyDescent="0.15">
      <c r="A861" s="45"/>
    </row>
    <row r="862" spans="1:1" ht="13" x14ac:dyDescent="0.15">
      <c r="A862" s="45"/>
    </row>
    <row r="863" spans="1:1" ht="13" x14ac:dyDescent="0.15">
      <c r="A863" s="45"/>
    </row>
    <row r="864" spans="1:1" ht="13" x14ac:dyDescent="0.15">
      <c r="A864" s="45"/>
    </row>
    <row r="865" spans="1:1" ht="13" x14ac:dyDescent="0.15">
      <c r="A865" s="45"/>
    </row>
    <row r="866" spans="1:1" ht="13" x14ac:dyDescent="0.15">
      <c r="A866" s="45"/>
    </row>
    <row r="867" spans="1:1" ht="13" x14ac:dyDescent="0.15">
      <c r="A867" s="45"/>
    </row>
    <row r="868" spans="1:1" ht="13" x14ac:dyDescent="0.15">
      <c r="A868" s="45"/>
    </row>
    <row r="869" spans="1:1" ht="13" x14ac:dyDescent="0.15">
      <c r="A869" s="45"/>
    </row>
    <row r="870" spans="1:1" ht="13" x14ac:dyDescent="0.15">
      <c r="A870" s="45"/>
    </row>
    <row r="871" spans="1:1" ht="13" x14ac:dyDescent="0.15">
      <c r="A871" s="45"/>
    </row>
    <row r="872" spans="1:1" ht="13" x14ac:dyDescent="0.15">
      <c r="A872" s="45"/>
    </row>
    <row r="873" spans="1:1" ht="13" x14ac:dyDescent="0.15">
      <c r="A873" s="45"/>
    </row>
    <row r="874" spans="1:1" ht="13" x14ac:dyDescent="0.15">
      <c r="A874" s="45"/>
    </row>
    <row r="875" spans="1:1" ht="13" x14ac:dyDescent="0.15">
      <c r="A875" s="45"/>
    </row>
    <row r="876" spans="1:1" ht="13" x14ac:dyDescent="0.15">
      <c r="A876" s="45"/>
    </row>
    <row r="877" spans="1:1" ht="13" x14ac:dyDescent="0.15">
      <c r="A877" s="45"/>
    </row>
    <row r="878" spans="1:1" ht="13" x14ac:dyDescent="0.15">
      <c r="A878" s="45"/>
    </row>
    <row r="879" spans="1:1" ht="13" x14ac:dyDescent="0.15">
      <c r="A879" s="45"/>
    </row>
    <row r="880" spans="1:1" ht="13" x14ac:dyDescent="0.15">
      <c r="A880" s="45"/>
    </row>
    <row r="881" spans="1:1" ht="13" x14ac:dyDescent="0.15">
      <c r="A881" s="45"/>
    </row>
    <row r="882" spans="1:1" ht="13" x14ac:dyDescent="0.15">
      <c r="A882" s="45"/>
    </row>
    <row r="883" spans="1:1" ht="13" x14ac:dyDescent="0.15">
      <c r="A883" s="45"/>
    </row>
    <row r="884" spans="1:1" ht="13" x14ac:dyDescent="0.15">
      <c r="A884" s="45"/>
    </row>
    <row r="885" spans="1:1" ht="13" x14ac:dyDescent="0.15">
      <c r="A885" s="45"/>
    </row>
    <row r="886" spans="1:1" ht="13" x14ac:dyDescent="0.15">
      <c r="A886" s="45"/>
    </row>
    <row r="887" spans="1:1" ht="13" x14ac:dyDescent="0.15">
      <c r="A887" s="45"/>
    </row>
    <row r="888" spans="1:1" ht="13" x14ac:dyDescent="0.15">
      <c r="A888" s="45"/>
    </row>
    <row r="889" spans="1:1" ht="13" x14ac:dyDescent="0.15">
      <c r="A889" s="45"/>
    </row>
    <row r="890" spans="1:1" ht="13" x14ac:dyDescent="0.15">
      <c r="A890" s="45"/>
    </row>
    <row r="891" spans="1:1" ht="13" x14ac:dyDescent="0.15">
      <c r="A891" s="45"/>
    </row>
    <row r="892" spans="1:1" ht="13" x14ac:dyDescent="0.15">
      <c r="A892" s="45"/>
    </row>
    <row r="893" spans="1:1" ht="13" x14ac:dyDescent="0.15">
      <c r="A893" s="45"/>
    </row>
    <row r="894" spans="1:1" ht="13" x14ac:dyDescent="0.15">
      <c r="A894" s="45"/>
    </row>
    <row r="895" spans="1:1" ht="13" x14ac:dyDescent="0.15">
      <c r="A895" s="45"/>
    </row>
    <row r="896" spans="1:1" ht="13" x14ac:dyDescent="0.15">
      <c r="A896" s="45"/>
    </row>
    <row r="897" spans="1:1" ht="13" x14ac:dyDescent="0.15">
      <c r="A897" s="45"/>
    </row>
    <row r="898" spans="1:1" ht="13" x14ac:dyDescent="0.15">
      <c r="A898" s="45"/>
    </row>
    <row r="899" spans="1:1" ht="13" x14ac:dyDescent="0.15">
      <c r="A899" s="45"/>
    </row>
    <row r="900" spans="1:1" ht="13" x14ac:dyDescent="0.15">
      <c r="A900" s="45"/>
    </row>
    <row r="901" spans="1:1" ht="13" x14ac:dyDescent="0.15">
      <c r="A901" s="45"/>
    </row>
    <row r="902" spans="1:1" ht="13" x14ac:dyDescent="0.15">
      <c r="A902" s="45"/>
    </row>
    <row r="903" spans="1:1" ht="13" x14ac:dyDescent="0.15">
      <c r="A903" s="45"/>
    </row>
    <row r="904" spans="1:1" ht="13" x14ac:dyDescent="0.15">
      <c r="A904" s="45"/>
    </row>
    <row r="905" spans="1:1" ht="13" x14ac:dyDescent="0.15">
      <c r="A905" s="45"/>
    </row>
    <row r="906" spans="1:1" ht="13" x14ac:dyDescent="0.15">
      <c r="A906" s="45"/>
    </row>
    <row r="907" spans="1:1" ht="13" x14ac:dyDescent="0.15">
      <c r="A907" s="45"/>
    </row>
    <row r="908" spans="1:1" ht="13" x14ac:dyDescent="0.15">
      <c r="A908" s="45"/>
    </row>
    <row r="909" spans="1:1" ht="13" x14ac:dyDescent="0.15">
      <c r="A909" s="45"/>
    </row>
    <row r="910" spans="1:1" ht="13" x14ac:dyDescent="0.15">
      <c r="A910" s="45"/>
    </row>
    <row r="911" spans="1:1" ht="13" x14ac:dyDescent="0.15">
      <c r="A911" s="45"/>
    </row>
    <row r="912" spans="1:1" ht="13" x14ac:dyDescent="0.15">
      <c r="A912" s="45"/>
    </row>
    <row r="913" spans="1:1" ht="13" x14ac:dyDescent="0.15">
      <c r="A913" s="45"/>
    </row>
    <row r="914" spans="1:1" ht="13" x14ac:dyDescent="0.15">
      <c r="A914" s="45"/>
    </row>
    <row r="915" spans="1:1" ht="13" x14ac:dyDescent="0.15">
      <c r="A915" s="45"/>
    </row>
    <row r="916" spans="1:1" ht="13" x14ac:dyDescent="0.15">
      <c r="A916" s="45"/>
    </row>
    <row r="917" spans="1:1" ht="13" x14ac:dyDescent="0.15">
      <c r="A917" s="45"/>
    </row>
    <row r="918" spans="1:1" ht="13" x14ac:dyDescent="0.15">
      <c r="A918" s="45"/>
    </row>
    <row r="919" spans="1:1" ht="13" x14ac:dyDescent="0.15">
      <c r="A919" s="45"/>
    </row>
    <row r="920" spans="1:1" ht="13" x14ac:dyDescent="0.15">
      <c r="A920" s="45"/>
    </row>
    <row r="921" spans="1:1" ht="13" x14ac:dyDescent="0.15">
      <c r="A921" s="45"/>
    </row>
    <row r="922" spans="1:1" ht="13" x14ac:dyDescent="0.15">
      <c r="A922" s="45"/>
    </row>
    <row r="923" spans="1:1" ht="13" x14ac:dyDescent="0.15">
      <c r="A923" s="45"/>
    </row>
    <row r="924" spans="1:1" ht="13" x14ac:dyDescent="0.15">
      <c r="A924" s="45"/>
    </row>
    <row r="925" spans="1:1" ht="13" x14ac:dyDescent="0.15">
      <c r="A925" s="45"/>
    </row>
    <row r="926" spans="1:1" ht="13" x14ac:dyDescent="0.15">
      <c r="A926" s="45"/>
    </row>
    <row r="927" spans="1:1" ht="13" x14ac:dyDescent="0.15">
      <c r="A927" s="45"/>
    </row>
    <row r="928" spans="1:1" ht="13" x14ac:dyDescent="0.15">
      <c r="A928" s="45"/>
    </row>
    <row r="929" spans="1:1" ht="13" x14ac:dyDescent="0.15">
      <c r="A929" s="45"/>
    </row>
    <row r="930" spans="1:1" ht="13" x14ac:dyDescent="0.15">
      <c r="A930" s="45"/>
    </row>
    <row r="931" spans="1:1" ht="13" x14ac:dyDescent="0.15">
      <c r="A931" s="45"/>
    </row>
    <row r="932" spans="1:1" ht="13" x14ac:dyDescent="0.15">
      <c r="A932" s="45"/>
    </row>
    <row r="933" spans="1:1" ht="13" x14ac:dyDescent="0.15">
      <c r="A933" s="45"/>
    </row>
    <row r="934" spans="1:1" ht="13" x14ac:dyDescent="0.15">
      <c r="A934" s="45"/>
    </row>
    <row r="935" spans="1:1" ht="13" x14ac:dyDescent="0.15">
      <c r="A935" s="45"/>
    </row>
    <row r="936" spans="1:1" ht="13" x14ac:dyDescent="0.15">
      <c r="A936" s="45"/>
    </row>
    <row r="937" spans="1:1" ht="13" x14ac:dyDescent="0.15">
      <c r="A937" s="45"/>
    </row>
    <row r="938" spans="1:1" ht="13" x14ac:dyDescent="0.15">
      <c r="A938" s="45"/>
    </row>
    <row r="939" spans="1:1" ht="13" x14ac:dyDescent="0.15">
      <c r="A939" s="45"/>
    </row>
    <row r="940" spans="1:1" ht="13" x14ac:dyDescent="0.15">
      <c r="A940" s="45"/>
    </row>
    <row r="941" spans="1:1" ht="13" x14ac:dyDescent="0.15">
      <c r="A941" s="45"/>
    </row>
    <row r="942" spans="1:1" ht="13" x14ac:dyDescent="0.15">
      <c r="A942" s="45"/>
    </row>
    <row r="943" spans="1:1" ht="13" x14ac:dyDescent="0.15">
      <c r="A943" s="45"/>
    </row>
    <row r="944" spans="1:1" ht="13" x14ac:dyDescent="0.15">
      <c r="A944" s="45"/>
    </row>
    <row r="945" spans="1:1" ht="13" x14ac:dyDescent="0.15">
      <c r="A945" s="45"/>
    </row>
    <row r="946" spans="1:1" ht="13" x14ac:dyDescent="0.15">
      <c r="A946" s="45"/>
    </row>
    <row r="947" spans="1:1" ht="13" x14ac:dyDescent="0.15">
      <c r="A947" s="45"/>
    </row>
    <row r="948" spans="1:1" ht="13" x14ac:dyDescent="0.15">
      <c r="A948" s="45"/>
    </row>
    <row r="949" spans="1:1" ht="13" x14ac:dyDescent="0.15">
      <c r="A949" s="45"/>
    </row>
    <row r="950" spans="1:1" ht="13" x14ac:dyDescent="0.15">
      <c r="A950" s="45"/>
    </row>
    <row r="951" spans="1:1" ht="13" x14ac:dyDescent="0.15">
      <c r="A951" s="45"/>
    </row>
    <row r="952" spans="1:1" ht="13" x14ac:dyDescent="0.15">
      <c r="A952" s="45"/>
    </row>
    <row r="953" spans="1:1" ht="13" x14ac:dyDescent="0.15">
      <c r="A953" s="45"/>
    </row>
    <row r="954" spans="1:1" ht="13" x14ac:dyDescent="0.15">
      <c r="A954" s="45"/>
    </row>
    <row r="955" spans="1:1" ht="13" x14ac:dyDescent="0.15">
      <c r="A955" s="45"/>
    </row>
    <row r="956" spans="1:1" ht="13" x14ac:dyDescent="0.15">
      <c r="A956" s="45"/>
    </row>
    <row r="957" spans="1:1" ht="13" x14ac:dyDescent="0.15">
      <c r="A957" s="45"/>
    </row>
    <row r="958" spans="1:1" ht="13" x14ac:dyDescent="0.15">
      <c r="A958" s="45"/>
    </row>
    <row r="959" spans="1:1" ht="13" x14ac:dyDescent="0.15">
      <c r="A959" s="45"/>
    </row>
    <row r="960" spans="1:1" ht="13" x14ac:dyDescent="0.15">
      <c r="A960" s="45"/>
    </row>
    <row r="961" spans="1:1" ht="13" x14ac:dyDescent="0.15">
      <c r="A961" s="45"/>
    </row>
    <row r="962" spans="1:1" ht="13" x14ac:dyDescent="0.15">
      <c r="A962" s="45"/>
    </row>
    <row r="963" spans="1:1" ht="13" x14ac:dyDescent="0.15">
      <c r="A963" s="45"/>
    </row>
    <row r="964" spans="1:1" ht="13" x14ac:dyDescent="0.15">
      <c r="A964" s="45"/>
    </row>
    <row r="965" spans="1:1" ht="13" x14ac:dyDescent="0.15">
      <c r="A965" s="45"/>
    </row>
    <row r="966" spans="1:1" ht="13" x14ac:dyDescent="0.15">
      <c r="A966" s="45"/>
    </row>
    <row r="967" spans="1:1" ht="13" x14ac:dyDescent="0.15">
      <c r="A967" s="45"/>
    </row>
    <row r="968" spans="1:1" ht="13" x14ac:dyDescent="0.15">
      <c r="A968" s="45"/>
    </row>
    <row r="969" spans="1:1" ht="13" x14ac:dyDescent="0.15">
      <c r="A969" s="45"/>
    </row>
    <row r="970" spans="1:1" ht="13" x14ac:dyDescent="0.15">
      <c r="A970" s="45"/>
    </row>
    <row r="971" spans="1:1" ht="13" x14ac:dyDescent="0.15">
      <c r="A971" s="45"/>
    </row>
    <row r="972" spans="1:1" ht="13" x14ac:dyDescent="0.15">
      <c r="A972" s="45"/>
    </row>
    <row r="973" spans="1:1" ht="13" x14ac:dyDescent="0.15">
      <c r="A973" s="45"/>
    </row>
    <row r="974" spans="1:1" ht="13" x14ac:dyDescent="0.15">
      <c r="A974" s="45"/>
    </row>
    <row r="975" spans="1:1" ht="13" x14ac:dyDescent="0.15">
      <c r="A975" s="45"/>
    </row>
    <row r="976" spans="1:1" ht="13" x14ac:dyDescent="0.15">
      <c r="A976" s="45"/>
    </row>
    <row r="977" spans="1:1" ht="13" x14ac:dyDescent="0.15">
      <c r="A977" s="45"/>
    </row>
    <row r="978" spans="1:1" ht="13" x14ac:dyDescent="0.15">
      <c r="A978" s="45"/>
    </row>
    <row r="979" spans="1:1" ht="13" x14ac:dyDescent="0.15">
      <c r="A979" s="45"/>
    </row>
    <row r="980" spans="1:1" ht="13" x14ac:dyDescent="0.15">
      <c r="A980" s="45"/>
    </row>
    <row r="981" spans="1:1" ht="13" x14ac:dyDescent="0.15">
      <c r="A981" s="45"/>
    </row>
    <row r="982" spans="1:1" ht="13" x14ac:dyDescent="0.15">
      <c r="A982" s="45"/>
    </row>
    <row r="983" spans="1:1" ht="13" x14ac:dyDescent="0.15">
      <c r="A983" s="45"/>
    </row>
    <row r="984" spans="1:1" ht="13" x14ac:dyDescent="0.15">
      <c r="A984" s="45"/>
    </row>
    <row r="985" spans="1:1" ht="13" x14ac:dyDescent="0.15">
      <c r="A985" s="45"/>
    </row>
    <row r="986" spans="1:1" ht="13" x14ac:dyDescent="0.15">
      <c r="A986" s="45"/>
    </row>
    <row r="987" spans="1:1" ht="13" x14ac:dyDescent="0.15">
      <c r="A987" s="45"/>
    </row>
    <row r="988" spans="1:1" ht="13" x14ac:dyDescent="0.15">
      <c r="A988" s="45"/>
    </row>
    <row r="989" spans="1:1" ht="13" x14ac:dyDescent="0.15">
      <c r="A989" s="45"/>
    </row>
    <row r="990" spans="1:1" ht="13" x14ac:dyDescent="0.15">
      <c r="A990" s="45"/>
    </row>
    <row r="991" spans="1:1" ht="13" x14ac:dyDescent="0.15">
      <c r="A991" s="45"/>
    </row>
    <row r="992" spans="1:1" ht="13" x14ac:dyDescent="0.15">
      <c r="A992" s="45"/>
    </row>
    <row r="993" spans="1:1" ht="13" x14ac:dyDescent="0.15">
      <c r="A993" s="45"/>
    </row>
    <row r="994" spans="1:1" ht="13" x14ac:dyDescent="0.15">
      <c r="A994" s="45"/>
    </row>
    <row r="995" spans="1:1" ht="13" x14ac:dyDescent="0.15">
      <c r="A995" s="45"/>
    </row>
    <row r="996" spans="1:1" ht="13" x14ac:dyDescent="0.15">
      <c r="A996" s="45"/>
    </row>
    <row r="997" spans="1:1" ht="13" x14ac:dyDescent="0.15">
      <c r="A997" s="45"/>
    </row>
    <row r="998" spans="1:1" ht="13" x14ac:dyDescent="0.15">
      <c r="A998" s="45"/>
    </row>
    <row r="999" spans="1:1" ht="13" x14ac:dyDescent="0.15">
      <c r="A999" s="45"/>
    </row>
    <row r="1000" spans="1:1" ht="13" x14ac:dyDescent="0.15">
      <c r="A1000" s="45"/>
    </row>
    <row r="1001" spans="1:1" ht="13" x14ac:dyDescent="0.15">
      <c r="A1001" s="45"/>
    </row>
    <row r="1002" spans="1:1" ht="13" x14ac:dyDescent="0.15">
      <c r="A1002" s="45"/>
    </row>
    <row r="1003" spans="1:1" ht="13" x14ac:dyDescent="0.15">
      <c r="A1003" s="45"/>
    </row>
    <row r="1004" spans="1:1" ht="13" x14ac:dyDescent="0.15">
      <c r="A1004" s="45"/>
    </row>
    <row r="1005" spans="1:1" ht="13" x14ac:dyDescent="0.15">
      <c r="A1005" s="45"/>
    </row>
    <row r="1006" spans="1:1" ht="13" x14ac:dyDescent="0.15">
      <c r="A1006" s="45"/>
    </row>
    <row r="1007" spans="1:1" ht="13" x14ac:dyDescent="0.15">
      <c r="A1007" s="45"/>
    </row>
    <row r="1008" spans="1:1" ht="13" x14ac:dyDescent="0.15">
      <c r="A1008" s="4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00"/>
  <sheetViews>
    <sheetView workbookViewId="0"/>
  </sheetViews>
  <sheetFormatPr baseColWidth="10" defaultColWidth="12.6640625" defaultRowHeight="15.75" customHeight="1" x14ac:dyDescent="0.15"/>
  <cols>
    <col min="1" max="1" width="20.1640625" customWidth="1"/>
    <col min="2" max="2" width="18.6640625" customWidth="1"/>
  </cols>
  <sheetData>
    <row r="1" spans="1:2" ht="15.75" customHeight="1" x14ac:dyDescent="0.15">
      <c r="A1" s="143" t="s">
        <v>239</v>
      </c>
      <c r="B1" s="144">
        <v>2000</v>
      </c>
    </row>
    <row r="2" spans="1:2" ht="15.75" customHeight="1" x14ac:dyDescent="0.15">
      <c r="A2" s="143" t="s">
        <v>241</v>
      </c>
      <c r="B2" s="144">
        <v>1600</v>
      </c>
    </row>
    <row r="3" spans="1:2" ht="15.75" customHeight="1" x14ac:dyDescent="0.15">
      <c r="A3" s="143" t="s">
        <v>379</v>
      </c>
      <c r="B3" s="144" t="s">
        <v>380</v>
      </c>
    </row>
    <row r="4" spans="1:2" ht="15.75" customHeight="1" x14ac:dyDescent="0.15">
      <c r="A4" s="143" t="s">
        <v>381</v>
      </c>
      <c r="B4" s="144" t="s">
        <v>380</v>
      </c>
    </row>
    <row r="5" spans="1:2" ht="15.75" customHeight="1" x14ac:dyDescent="0.15">
      <c r="A5" s="143" t="s">
        <v>243</v>
      </c>
      <c r="B5" s="144">
        <v>1000</v>
      </c>
    </row>
    <row r="6" spans="1:2" ht="15.75" customHeight="1" x14ac:dyDescent="0.15">
      <c r="A6" s="143" t="s">
        <v>382</v>
      </c>
      <c r="B6" s="144">
        <v>1500</v>
      </c>
    </row>
    <row r="7" spans="1:2" ht="15.75" customHeight="1" x14ac:dyDescent="0.15">
      <c r="A7" s="143" t="s">
        <v>383</v>
      </c>
      <c r="B7" s="144" t="s">
        <v>384</v>
      </c>
    </row>
    <row r="8" spans="1:2" ht="15.75" customHeight="1" x14ac:dyDescent="0.15">
      <c r="A8" s="143" t="s">
        <v>245</v>
      </c>
      <c r="B8" s="144">
        <v>700</v>
      </c>
    </row>
    <row r="9" spans="1:2" ht="15.75" customHeight="1" x14ac:dyDescent="0.15">
      <c r="A9" s="143" t="s">
        <v>247</v>
      </c>
      <c r="B9" s="144">
        <v>1300</v>
      </c>
    </row>
    <row r="10" spans="1:2" ht="15.75" customHeight="1" x14ac:dyDescent="0.15">
      <c r="A10" s="143" t="s">
        <v>249</v>
      </c>
      <c r="B10" s="144">
        <v>2000</v>
      </c>
    </row>
    <row r="11" spans="1:2" ht="15.75" customHeight="1" x14ac:dyDescent="0.15">
      <c r="A11" s="143" t="s">
        <v>250</v>
      </c>
      <c r="B11" s="144">
        <v>1200</v>
      </c>
    </row>
    <row r="12" spans="1:2" ht="15.75" customHeight="1" x14ac:dyDescent="0.15">
      <c r="A12" s="143" t="s">
        <v>252</v>
      </c>
      <c r="B12" s="144">
        <v>1300</v>
      </c>
    </row>
    <row r="13" spans="1:2" ht="15.75" customHeight="1" x14ac:dyDescent="0.15">
      <c r="A13" s="143" t="s">
        <v>254</v>
      </c>
      <c r="B13" s="144">
        <v>1900</v>
      </c>
    </row>
    <row r="14" spans="1:2" ht="15.75" customHeight="1" x14ac:dyDescent="0.15">
      <c r="A14" s="143" t="s">
        <v>256</v>
      </c>
      <c r="B14" s="144">
        <v>1900</v>
      </c>
    </row>
    <row r="15" spans="1:2" ht="15.75" customHeight="1" x14ac:dyDescent="0.15">
      <c r="A15" s="143" t="s">
        <v>258</v>
      </c>
      <c r="B15" s="144">
        <v>1900</v>
      </c>
    </row>
    <row r="16" spans="1:2" ht="15.75" customHeight="1" x14ac:dyDescent="0.15">
      <c r="A16" s="143" t="s">
        <v>260</v>
      </c>
      <c r="B16" s="144" t="s">
        <v>384</v>
      </c>
    </row>
    <row r="17" spans="1:2" ht="15.75" customHeight="1" x14ac:dyDescent="0.15">
      <c r="A17" s="143" t="s">
        <v>262</v>
      </c>
      <c r="B17" s="144">
        <v>1350</v>
      </c>
    </row>
    <row r="18" spans="1:2" ht="15.75" customHeight="1" x14ac:dyDescent="0.15">
      <c r="A18" s="143" t="s">
        <v>385</v>
      </c>
      <c r="B18" s="144">
        <v>5800</v>
      </c>
    </row>
    <row r="19" spans="1:2" ht="15.75" customHeight="1" x14ac:dyDescent="0.15">
      <c r="A19" s="143" t="s">
        <v>266</v>
      </c>
      <c r="B19" s="144">
        <v>4000</v>
      </c>
    </row>
    <row r="20" spans="1:2" ht="15.75" customHeight="1" x14ac:dyDescent="0.15">
      <c r="A20" s="143" t="s">
        <v>268</v>
      </c>
      <c r="B20" s="144">
        <v>1800</v>
      </c>
    </row>
    <row r="21" spans="1:2" ht="15.75" customHeight="1" x14ac:dyDescent="0.15">
      <c r="A21" s="143" t="s">
        <v>270</v>
      </c>
      <c r="B21" s="144">
        <v>2000</v>
      </c>
    </row>
    <row r="22" spans="1:2" ht="15.75" customHeight="1" x14ac:dyDescent="0.15">
      <c r="A22" s="143" t="s">
        <v>272</v>
      </c>
      <c r="B22" s="144">
        <v>3000</v>
      </c>
    </row>
    <row r="23" spans="1:2" ht="15.75" customHeight="1" x14ac:dyDescent="0.15">
      <c r="A23" s="143" t="s">
        <v>274</v>
      </c>
      <c r="B23" s="144">
        <v>1400</v>
      </c>
    </row>
    <row r="24" spans="1:2" ht="15.75" customHeight="1" x14ac:dyDescent="0.15">
      <c r="A24" s="143" t="s">
        <v>386</v>
      </c>
      <c r="B24" s="144">
        <v>1000</v>
      </c>
    </row>
    <row r="25" spans="1:2" ht="15.75" customHeight="1" x14ac:dyDescent="0.15">
      <c r="A25" s="143" t="s">
        <v>276</v>
      </c>
      <c r="B25" s="144">
        <v>900</v>
      </c>
    </row>
    <row r="26" spans="1:2" ht="15.75" customHeight="1" x14ac:dyDescent="0.15">
      <c r="A26" s="143" t="s">
        <v>278</v>
      </c>
      <c r="B26" s="144">
        <v>2000</v>
      </c>
    </row>
    <row r="27" spans="1:2" ht="15.75" customHeight="1" x14ac:dyDescent="0.15">
      <c r="A27" s="143" t="s">
        <v>280</v>
      </c>
      <c r="B27" s="144">
        <v>1400</v>
      </c>
    </row>
    <row r="28" spans="1:2" ht="15.75" customHeight="1" x14ac:dyDescent="0.15">
      <c r="A28" s="143" t="s">
        <v>282</v>
      </c>
      <c r="B28" s="144">
        <v>2000</v>
      </c>
    </row>
    <row r="29" spans="1:2" ht="15.75" customHeight="1" x14ac:dyDescent="0.15">
      <c r="A29" s="145"/>
      <c r="B29" s="146"/>
    </row>
    <row r="30" spans="1:2" ht="15.75" customHeight="1" x14ac:dyDescent="0.15">
      <c r="A30" s="147" t="s">
        <v>138</v>
      </c>
      <c r="B30" s="148">
        <v>850</v>
      </c>
    </row>
    <row r="31" spans="1:2" ht="15.75" customHeight="1" x14ac:dyDescent="0.15">
      <c r="A31" s="147" t="s">
        <v>141</v>
      </c>
      <c r="B31" s="148">
        <v>700</v>
      </c>
    </row>
    <row r="32" spans="1:2" ht="15.75" customHeight="1" x14ac:dyDescent="0.15">
      <c r="A32" s="147" t="s">
        <v>144</v>
      </c>
      <c r="B32" s="148">
        <v>800</v>
      </c>
    </row>
    <row r="33" spans="1:2" ht="15.75" customHeight="1" x14ac:dyDescent="0.15">
      <c r="A33" s="147" t="s">
        <v>146</v>
      </c>
      <c r="B33" s="148">
        <v>200</v>
      </c>
    </row>
    <row r="34" spans="1:2" ht="15.75" customHeight="1" x14ac:dyDescent="0.15">
      <c r="A34" s="147" t="s">
        <v>387</v>
      </c>
      <c r="B34" s="148">
        <v>400</v>
      </c>
    </row>
    <row r="35" spans="1:2" ht="15.75" customHeight="1" x14ac:dyDescent="0.15">
      <c r="A35" s="147" t="s">
        <v>388</v>
      </c>
      <c r="B35" s="148">
        <v>2500</v>
      </c>
    </row>
    <row r="36" spans="1:2" ht="15.75" customHeight="1" x14ac:dyDescent="0.15">
      <c r="A36" s="147" t="s">
        <v>148</v>
      </c>
      <c r="B36" s="148">
        <v>600</v>
      </c>
    </row>
    <row r="37" spans="1:2" ht="15.75" customHeight="1" x14ac:dyDescent="0.15">
      <c r="A37" s="147" t="s">
        <v>150</v>
      </c>
      <c r="B37" s="148">
        <v>1400</v>
      </c>
    </row>
    <row r="38" spans="1:2" ht="15.75" customHeight="1" x14ac:dyDescent="0.15">
      <c r="A38" s="147" t="s">
        <v>389</v>
      </c>
      <c r="B38" s="148" t="s">
        <v>390</v>
      </c>
    </row>
    <row r="39" spans="1:2" ht="15.75" customHeight="1" x14ac:dyDescent="0.15">
      <c r="A39" s="147" t="s">
        <v>152</v>
      </c>
      <c r="B39" s="148">
        <v>800</v>
      </c>
    </row>
    <row r="40" spans="1:2" ht="15.75" customHeight="1" x14ac:dyDescent="0.15">
      <c r="A40" s="147" t="s">
        <v>154</v>
      </c>
      <c r="B40" s="148">
        <v>600</v>
      </c>
    </row>
    <row r="41" spans="1:2" ht="15.75" customHeight="1" x14ac:dyDescent="0.15">
      <c r="A41" s="147" t="s">
        <v>156</v>
      </c>
      <c r="B41" s="148">
        <v>700</v>
      </c>
    </row>
    <row r="42" spans="1:2" ht="15.75" customHeight="1" x14ac:dyDescent="0.15">
      <c r="A42" s="147" t="s">
        <v>158</v>
      </c>
      <c r="B42" s="148">
        <v>1000</v>
      </c>
    </row>
    <row r="43" spans="1:2" ht="15.75" customHeight="1" x14ac:dyDescent="0.15">
      <c r="A43" s="147" t="s">
        <v>160</v>
      </c>
      <c r="B43" s="148">
        <v>1400</v>
      </c>
    </row>
    <row r="44" spans="1:2" ht="15.75" customHeight="1" x14ac:dyDescent="0.15">
      <c r="A44" s="147" t="s">
        <v>391</v>
      </c>
      <c r="B44" s="148" t="s">
        <v>390</v>
      </c>
    </row>
    <row r="45" spans="1:2" ht="15.75" customHeight="1" x14ac:dyDescent="0.15">
      <c r="A45" s="147" t="s">
        <v>392</v>
      </c>
      <c r="B45" s="148" t="s">
        <v>390</v>
      </c>
    </row>
    <row r="46" spans="1:2" ht="15.75" customHeight="1" x14ac:dyDescent="0.15">
      <c r="A46" s="147" t="s">
        <v>162</v>
      </c>
      <c r="B46" s="148">
        <v>1200</v>
      </c>
    </row>
    <row r="47" spans="1:2" ht="15.75" customHeight="1" x14ac:dyDescent="0.15">
      <c r="A47" s="147" t="s">
        <v>164</v>
      </c>
      <c r="B47" s="148">
        <v>1000</v>
      </c>
    </row>
    <row r="48" spans="1:2" ht="15.75" customHeight="1" x14ac:dyDescent="0.15">
      <c r="A48" s="147" t="s">
        <v>166</v>
      </c>
      <c r="B48" s="148">
        <v>250</v>
      </c>
    </row>
    <row r="49" spans="1:2" ht="15.75" customHeight="1" x14ac:dyDescent="0.15">
      <c r="A49" s="147" t="s">
        <v>168</v>
      </c>
      <c r="B49" s="148">
        <v>300</v>
      </c>
    </row>
    <row r="50" spans="1:2" ht="15.75" customHeight="1" x14ac:dyDescent="0.15">
      <c r="A50" s="147" t="s">
        <v>170</v>
      </c>
      <c r="B50" s="148">
        <v>700</v>
      </c>
    </row>
    <row r="51" spans="1:2" ht="15.75" customHeight="1" x14ac:dyDescent="0.15">
      <c r="A51" s="147" t="s">
        <v>172</v>
      </c>
      <c r="B51" s="148">
        <v>1500</v>
      </c>
    </row>
    <row r="52" spans="1:2" ht="15.75" customHeight="1" x14ac:dyDescent="0.15">
      <c r="A52" s="147" t="s">
        <v>175</v>
      </c>
      <c r="B52" s="148">
        <v>800</v>
      </c>
    </row>
    <row r="53" spans="1:2" ht="15.75" customHeight="1" x14ac:dyDescent="0.15">
      <c r="A53" s="147" t="s">
        <v>393</v>
      </c>
      <c r="B53" s="149" t="s">
        <v>394</v>
      </c>
    </row>
    <row r="54" spans="1:2" ht="15.75" customHeight="1" x14ac:dyDescent="0.15">
      <c r="A54" s="147" t="s">
        <v>177</v>
      </c>
      <c r="B54" s="148">
        <v>350</v>
      </c>
    </row>
    <row r="55" spans="1:2" ht="15.75" customHeight="1" x14ac:dyDescent="0.15">
      <c r="A55" s="147" t="s">
        <v>179</v>
      </c>
      <c r="B55" s="148">
        <v>650</v>
      </c>
    </row>
    <row r="56" spans="1:2" ht="15.75" customHeight="1" x14ac:dyDescent="0.15">
      <c r="A56" s="147" t="s">
        <v>181</v>
      </c>
      <c r="B56" s="148">
        <v>1500</v>
      </c>
    </row>
    <row r="57" spans="1:2" ht="15.75" customHeight="1" x14ac:dyDescent="0.15">
      <c r="A57" s="147" t="s">
        <v>183</v>
      </c>
      <c r="B57" s="148">
        <v>800</v>
      </c>
    </row>
    <row r="58" spans="1:2" ht="15.75" customHeight="1" x14ac:dyDescent="0.15">
      <c r="A58" s="147" t="s">
        <v>395</v>
      </c>
      <c r="B58" s="148">
        <v>750</v>
      </c>
    </row>
    <row r="59" spans="1:2" ht="13" x14ac:dyDescent="0.15">
      <c r="A59" s="147" t="s">
        <v>396</v>
      </c>
      <c r="B59" s="148">
        <v>1000</v>
      </c>
    </row>
    <row r="60" spans="1:2" ht="13" x14ac:dyDescent="0.15">
      <c r="A60" s="147" t="s">
        <v>397</v>
      </c>
      <c r="B60" s="148">
        <v>800</v>
      </c>
    </row>
    <row r="61" spans="1:2" ht="13" x14ac:dyDescent="0.15">
      <c r="A61" s="147" t="s">
        <v>186</v>
      </c>
      <c r="B61" s="148">
        <v>3500</v>
      </c>
    </row>
    <row r="62" spans="1:2" ht="13" x14ac:dyDescent="0.15">
      <c r="A62" s="147" t="s">
        <v>188</v>
      </c>
      <c r="B62" s="148">
        <v>400</v>
      </c>
    </row>
    <row r="63" spans="1:2" ht="13" x14ac:dyDescent="0.15">
      <c r="A63" s="147" t="s">
        <v>190</v>
      </c>
      <c r="B63" s="148">
        <v>1000</v>
      </c>
    </row>
    <row r="64" spans="1:2" ht="13" x14ac:dyDescent="0.15">
      <c r="A64" s="147" t="s">
        <v>192</v>
      </c>
      <c r="B64" s="148">
        <v>800</v>
      </c>
    </row>
    <row r="65" spans="1:2" ht="13" x14ac:dyDescent="0.15">
      <c r="A65" s="147" t="s">
        <v>194</v>
      </c>
      <c r="B65" s="148">
        <v>800</v>
      </c>
    </row>
    <row r="66" spans="1:2" ht="13" x14ac:dyDescent="0.15">
      <c r="A66" s="147" t="s">
        <v>196</v>
      </c>
      <c r="B66" s="148">
        <v>800</v>
      </c>
    </row>
    <row r="67" spans="1:2" ht="13" x14ac:dyDescent="0.15">
      <c r="A67" s="147" t="s">
        <v>198</v>
      </c>
      <c r="B67" s="148">
        <v>800</v>
      </c>
    </row>
    <row r="68" spans="1:2" ht="13" x14ac:dyDescent="0.15">
      <c r="A68" s="147" t="s">
        <v>398</v>
      </c>
      <c r="B68" s="148">
        <v>800</v>
      </c>
    </row>
    <row r="69" spans="1:2" ht="13" x14ac:dyDescent="0.15">
      <c r="A69" s="147" t="s">
        <v>200</v>
      </c>
      <c r="B69" s="148">
        <v>900</v>
      </c>
    </row>
    <row r="70" spans="1:2" ht="13" x14ac:dyDescent="0.15">
      <c r="A70" s="147" t="s">
        <v>399</v>
      </c>
      <c r="B70" s="148">
        <v>1000</v>
      </c>
    </row>
    <row r="71" spans="1:2" ht="13" x14ac:dyDescent="0.15">
      <c r="A71" s="147" t="s">
        <v>202</v>
      </c>
      <c r="B71" s="148">
        <v>480</v>
      </c>
    </row>
    <row r="72" spans="1:2" ht="13" x14ac:dyDescent="0.15">
      <c r="A72" s="147" t="s">
        <v>204</v>
      </c>
      <c r="B72" s="148">
        <v>850</v>
      </c>
    </row>
    <row r="73" spans="1:2" ht="13" x14ac:dyDescent="0.15">
      <c r="A73" s="147" t="s">
        <v>400</v>
      </c>
      <c r="B73" s="148">
        <v>900</v>
      </c>
    </row>
    <row r="74" spans="1:2" ht="13" x14ac:dyDescent="0.15">
      <c r="A74" s="147" t="s">
        <v>206</v>
      </c>
      <c r="B74" s="148">
        <v>650</v>
      </c>
    </row>
    <row r="75" spans="1:2" ht="13" x14ac:dyDescent="0.15">
      <c r="A75" s="147" t="s">
        <v>401</v>
      </c>
      <c r="B75" s="148">
        <v>1800</v>
      </c>
    </row>
    <row r="76" spans="1:2" ht="13" x14ac:dyDescent="0.15">
      <c r="A76" s="147" t="s">
        <v>208</v>
      </c>
      <c r="B76" s="148">
        <v>700</v>
      </c>
    </row>
    <row r="77" spans="1:2" ht="13" x14ac:dyDescent="0.15">
      <c r="A77" s="147" t="s">
        <v>210</v>
      </c>
      <c r="B77" s="148">
        <v>1000</v>
      </c>
    </row>
    <row r="78" spans="1:2" ht="13" x14ac:dyDescent="0.15">
      <c r="A78" s="147" t="s">
        <v>212</v>
      </c>
      <c r="B78" s="148">
        <v>800</v>
      </c>
    </row>
    <row r="79" spans="1:2" ht="13" x14ac:dyDescent="0.15">
      <c r="A79" s="147" t="s">
        <v>214</v>
      </c>
      <c r="B79" s="148">
        <v>700</v>
      </c>
    </row>
    <row r="80" spans="1:2" ht="13" x14ac:dyDescent="0.15">
      <c r="A80" s="147" t="s">
        <v>216</v>
      </c>
      <c r="B80" s="148">
        <v>1600</v>
      </c>
    </row>
    <row r="81" spans="1:2" ht="13" x14ac:dyDescent="0.15">
      <c r="A81" s="147" t="s">
        <v>402</v>
      </c>
      <c r="B81" s="148">
        <v>1200</v>
      </c>
    </row>
    <row r="82" spans="1:2" ht="13" x14ac:dyDescent="0.15">
      <c r="A82" s="147" t="s">
        <v>218</v>
      </c>
      <c r="B82" s="148">
        <v>800</v>
      </c>
    </row>
    <row r="83" spans="1:2" ht="13" x14ac:dyDescent="0.15">
      <c r="A83" s="147" t="s">
        <v>220</v>
      </c>
      <c r="B83" s="148">
        <v>3000</v>
      </c>
    </row>
    <row r="84" spans="1:2" ht="13" x14ac:dyDescent="0.15">
      <c r="A84" s="147" t="s">
        <v>222</v>
      </c>
      <c r="B84" s="148">
        <v>2800</v>
      </c>
    </row>
    <row r="85" spans="1:2" ht="13" x14ac:dyDescent="0.15">
      <c r="A85" s="147" t="s">
        <v>224</v>
      </c>
      <c r="B85" s="148">
        <v>600</v>
      </c>
    </row>
    <row r="86" spans="1:2" ht="13" x14ac:dyDescent="0.15">
      <c r="A86" s="147" t="s">
        <v>226</v>
      </c>
      <c r="B86" s="148">
        <v>1500</v>
      </c>
    </row>
    <row r="87" spans="1:2" ht="13" x14ac:dyDescent="0.15">
      <c r="A87" s="147" t="s">
        <v>228</v>
      </c>
      <c r="B87" s="148">
        <v>900</v>
      </c>
    </row>
    <row r="88" spans="1:2" ht="13" x14ac:dyDescent="0.15">
      <c r="A88" s="147" t="s">
        <v>230</v>
      </c>
      <c r="B88" s="148">
        <v>1100</v>
      </c>
    </row>
    <row r="89" spans="1:2" ht="13" x14ac:dyDescent="0.15">
      <c r="A89" s="147" t="s">
        <v>403</v>
      </c>
      <c r="B89" s="149">
        <v>1000</v>
      </c>
    </row>
    <row r="90" spans="1:2" ht="13" x14ac:dyDescent="0.15">
      <c r="A90" s="147" t="s">
        <v>232</v>
      </c>
      <c r="B90" s="149">
        <v>800</v>
      </c>
    </row>
    <row r="91" spans="1:2" ht="13" x14ac:dyDescent="0.15">
      <c r="A91" s="147" t="s">
        <v>234</v>
      </c>
      <c r="B91" s="149">
        <v>1000</v>
      </c>
    </row>
    <row r="92" spans="1:2" ht="13" x14ac:dyDescent="0.15">
      <c r="A92" s="147" t="s">
        <v>237</v>
      </c>
      <c r="B92" s="149">
        <v>600</v>
      </c>
    </row>
    <row r="93" spans="1:2" ht="13" x14ac:dyDescent="0.15">
      <c r="A93" s="143"/>
      <c r="B93" s="150"/>
    </row>
    <row r="94" spans="1:2" ht="13" x14ac:dyDescent="0.15">
      <c r="A94" s="143" t="s">
        <v>284</v>
      </c>
      <c r="B94" s="151">
        <v>1900</v>
      </c>
    </row>
    <row r="95" spans="1:2" ht="13" x14ac:dyDescent="0.15">
      <c r="A95" s="143" t="s">
        <v>286</v>
      </c>
      <c r="B95" s="151">
        <v>2200</v>
      </c>
    </row>
    <row r="96" spans="1:2" ht="13" x14ac:dyDescent="0.15">
      <c r="A96" s="143" t="s">
        <v>288</v>
      </c>
      <c r="B96" s="151">
        <v>2150</v>
      </c>
    </row>
    <row r="97" spans="1:2" ht="13" x14ac:dyDescent="0.15">
      <c r="A97" s="143" t="s">
        <v>290</v>
      </c>
      <c r="B97" s="151">
        <v>2300</v>
      </c>
    </row>
    <row r="98" spans="1:2" ht="13" x14ac:dyDescent="0.15">
      <c r="A98" s="143" t="s">
        <v>292</v>
      </c>
      <c r="B98" s="151">
        <v>1200</v>
      </c>
    </row>
    <row r="99" spans="1:2" ht="13" x14ac:dyDescent="0.15">
      <c r="A99" s="143" t="s">
        <v>294</v>
      </c>
      <c r="B99" s="151">
        <v>750</v>
      </c>
    </row>
    <row r="100" spans="1:2" ht="13" x14ac:dyDescent="0.15">
      <c r="A100" s="143" t="s">
        <v>297</v>
      </c>
      <c r="B100" s="151">
        <v>800</v>
      </c>
    </row>
    <row r="101" spans="1:2" ht="13" x14ac:dyDescent="0.15">
      <c r="A101" s="143" t="s">
        <v>299</v>
      </c>
      <c r="B101" s="151">
        <v>1500</v>
      </c>
    </row>
    <row r="102" spans="1:2" ht="13" x14ac:dyDescent="0.15">
      <c r="A102" s="143" t="s">
        <v>301</v>
      </c>
      <c r="B102" s="151">
        <v>1500</v>
      </c>
    </row>
    <row r="103" spans="1:2" ht="13" x14ac:dyDescent="0.15">
      <c r="A103" s="143" t="s">
        <v>303</v>
      </c>
      <c r="B103" s="151">
        <v>850</v>
      </c>
    </row>
    <row r="104" spans="1:2" ht="13" x14ac:dyDescent="0.15">
      <c r="A104" s="143" t="s">
        <v>404</v>
      </c>
      <c r="B104" s="151">
        <v>900</v>
      </c>
    </row>
    <row r="105" spans="1:2" ht="13" x14ac:dyDescent="0.15">
      <c r="A105" s="143" t="s">
        <v>307</v>
      </c>
      <c r="B105" s="151">
        <v>600</v>
      </c>
    </row>
    <row r="106" spans="1:2" ht="13" x14ac:dyDescent="0.15">
      <c r="A106" s="143" t="s">
        <v>309</v>
      </c>
      <c r="B106" s="151">
        <v>1850</v>
      </c>
    </row>
    <row r="107" spans="1:2" ht="13" x14ac:dyDescent="0.15">
      <c r="A107" s="143" t="s">
        <v>311</v>
      </c>
      <c r="B107" s="151">
        <v>1700</v>
      </c>
    </row>
    <row r="108" spans="1:2" ht="13" x14ac:dyDescent="0.15">
      <c r="A108" s="143" t="s">
        <v>313</v>
      </c>
      <c r="B108" s="151">
        <v>2550</v>
      </c>
    </row>
    <row r="109" spans="1:2" ht="13" x14ac:dyDescent="0.15">
      <c r="A109" s="143" t="s">
        <v>315</v>
      </c>
      <c r="B109" s="151">
        <v>1450</v>
      </c>
    </row>
    <row r="110" spans="1:2" ht="13" x14ac:dyDescent="0.15">
      <c r="A110" s="143" t="s">
        <v>317</v>
      </c>
      <c r="B110" s="151">
        <v>300</v>
      </c>
    </row>
    <row r="111" spans="1:2" ht="13" x14ac:dyDescent="0.15">
      <c r="A111" s="143" t="s">
        <v>319</v>
      </c>
      <c r="B111" s="151">
        <v>780</v>
      </c>
    </row>
    <row r="112" spans="1:2" ht="13" x14ac:dyDescent="0.15">
      <c r="A112" s="143" t="s">
        <v>321</v>
      </c>
      <c r="B112" s="151">
        <v>1430</v>
      </c>
    </row>
    <row r="113" spans="1:2" ht="13" x14ac:dyDescent="0.15">
      <c r="A113" s="143" t="s">
        <v>323</v>
      </c>
      <c r="B113" s="151">
        <v>660</v>
      </c>
    </row>
    <row r="114" spans="1:2" ht="13" x14ac:dyDescent="0.15">
      <c r="A114" s="143" t="s">
        <v>325</v>
      </c>
      <c r="B114" s="151">
        <v>330</v>
      </c>
    </row>
    <row r="115" spans="1:2" ht="13" x14ac:dyDescent="0.15">
      <c r="A115" s="143" t="s">
        <v>327</v>
      </c>
      <c r="B115" s="151">
        <v>520</v>
      </c>
    </row>
    <row r="116" spans="1:2" ht="13" x14ac:dyDescent="0.15">
      <c r="A116" s="143" t="s">
        <v>329</v>
      </c>
      <c r="B116" s="151">
        <v>580</v>
      </c>
    </row>
    <row r="117" spans="1:2" ht="13" x14ac:dyDescent="0.15">
      <c r="A117" s="143" t="s">
        <v>331</v>
      </c>
      <c r="B117" s="151">
        <v>580</v>
      </c>
    </row>
    <row r="118" spans="1:2" ht="13" x14ac:dyDescent="0.15">
      <c r="A118" s="143" t="s">
        <v>333</v>
      </c>
      <c r="B118" s="151">
        <v>330</v>
      </c>
    </row>
    <row r="119" spans="1:2" ht="13" x14ac:dyDescent="0.15">
      <c r="A119" s="143" t="s">
        <v>335</v>
      </c>
      <c r="B119" s="151">
        <v>1020</v>
      </c>
    </row>
    <row r="120" spans="1:2" ht="13" x14ac:dyDescent="0.15">
      <c r="A120" s="143" t="s">
        <v>337</v>
      </c>
      <c r="B120" s="151">
        <v>1580</v>
      </c>
    </row>
    <row r="121" spans="1:2" ht="13" x14ac:dyDescent="0.15">
      <c r="A121" s="143" t="s">
        <v>339</v>
      </c>
      <c r="B121" s="151">
        <v>960</v>
      </c>
    </row>
    <row r="122" spans="1:2" ht="13" x14ac:dyDescent="0.15">
      <c r="A122" s="143" t="s">
        <v>341</v>
      </c>
      <c r="B122" s="151">
        <v>720</v>
      </c>
    </row>
    <row r="123" spans="1:2" ht="13" x14ac:dyDescent="0.15">
      <c r="A123" s="143" t="s">
        <v>343</v>
      </c>
      <c r="B123" s="151">
        <v>560</v>
      </c>
    </row>
    <row r="124" spans="1:2" ht="13" x14ac:dyDescent="0.15">
      <c r="A124" s="143" t="s">
        <v>345</v>
      </c>
      <c r="B124" s="151">
        <v>1040</v>
      </c>
    </row>
    <row r="125" spans="1:2" ht="13" x14ac:dyDescent="0.15">
      <c r="A125" s="143" t="s">
        <v>347</v>
      </c>
      <c r="B125" s="151">
        <v>990</v>
      </c>
    </row>
    <row r="126" spans="1:2" ht="13" x14ac:dyDescent="0.15">
      <c r="A126" s="143" t="s">
        <v>349</v>
      </c>
      <c r="B126" s="151">
        <v>1200</v>
      </c>
    </row>
    <row r="127" spans="1:2" ht="13" x14ac:dyDescent="0.15">
      <c r="A127" s="143" t="s">
        <v>351</v>
      </c>
      <c r="B127" s="151">
        <v>900</v>
      </c>
    </row>
    <row r="128" spans="1:2" ht="13" x14ac:dyDescent="0.15">
      <c r="A128" s="143" t="s">
        <v>353</v>
      </c>
      <c r="B128" s="151">
        <v>350</v>
      </c>
    </row>
    <row r="129" spans="1:2" ht="13" x14ac:dyDescent="0.15">
      <c r="A129" s="143" t="s">
        <v>355</v>
      </c>
      <c r="B129" s="151">
        <v>1550</v>
      </c>
    </row>
    <row r="130" spans="1:2" ht="13" x14ac:dyDescent="0.15">
      <c r="A130" s="143"/>
      <c r="B130" s="150"/>
    </row>
    <row r="131" spans="1:2" ht="13" x14ac:dyDescent="0.15">
      <c r="A131" s="143"/>
      <c r="B131" s="150"/>
    </row>
    <row r="132" spans="1:2" ht="13" x14ac:dyDescent="0.15">
      <c r="A132" s="143"/>
      <c r="B132" s="150"/>
    </row>
    <row r="133" spans="1:2" ht="13" x14ac:dyDescent="0.15">
      <c r="A133" s="143"/>
      <c r="B133" s="150"/>
    </row>
    <row r="134" spans="1:2" ht="13" x14ac:dyDescent="0.15">
      <c r="A134" s="143"/>
      <c r="B134" s="150"/>
    </row>
    <row r="135" spans="1:2" ht="13" x14ac:dyDescent="0.15">
      <c r="A135" s="143"/>
      <c r="B135" s="150"/>
    </row>
    <row r="136" spans="1:2" ht="13" x14ac:dyDescent="0.15">
      <c r="A136" s="143"/>
      <c r="B136" s="150"/>
    </row>
    <row r="137" spans="1:2" ht="13" x14ac:dyDescent="0.15">
      <c r="A137" s="143"/>
      <c r="B137" s="150"/>
    </row>
    <row r="138" spans="1:2" ht="13" x14ac:dyDescent="0.15">
      <c r="A138" s="143"/>
      <c r="B138" s="150"/>
    </row>
    <row r="139" spans="1:2" ht="13" x14ac:dyDescent="0.15">
      <c r="A139" s="143"/>
      <c r="B139" s="150"/>
    </row>
    <row r="140" spans="1:2" ht="13" x14ac:dyDescent="0.15">
      <c r="A140" s="143"/>
      <c r="B140" s="150"/>
    </row>
    <row r="141" spans="1:2" ht="13" x14ac:dyDescent="0.15">
      <c r="A141" s="143"/>
      <c r="B141" s="150"/>
    </row>
    <row r="142" spans="1:2" ht="13" x14ac:dyDescent="0.15">
      <c r="A142" s="143"/>
      <c r="B142" s="150"/>
    </row>
    <row r="143" spans="1:2" ht="13" x14ac:dyDescent="0.15">
      <c r="A143" s="143"/>
      <c r="B143" s="150"/>
    </row>
    <row r="144" spans="1:2" ht="13" x14ac:dyDescent="0.15">
      <c r="A144" s="143"/>
      <c r="B144" s="150"/>
    </row>
    <row r="145" spans="1:2" ht="13" x14ac:dyDescent="0.15">
      <c r="A145" s="143"/>
      <c r="B145" s="150"/>
    </row>
    <row r="146" spans="1:2" ht="13" x14ac:dyDescent="0.15">
      <c r="A146" s="143"/>
      <c r="B146" s="150"/>
    </row>
    <row r="147" spans="1:2" ht="13" x14ac:dyDescent="0.15">
      <c r="A147" s="143"/>
      <c r="B147" s="150"/>
    </row>
    <row r="148" spans="1:2" ht="13" x14ac:dyDescent="0.15">
      <c r="A148" s="143"/>
      <c r="B148" s="150"/>
    </row>
    <row r="149" spans="1:2" ht="13" x14ac:dyDescent="0.15">
      <c r="A149" s="143"/>
      <c r="B149" s="150"/>
    </row>
    <row r="150" spans="1:2" ht="13" x14ac:dyDescent="0.15">
      <c r="A150" s="143"/>
      <c r="B150" s="150"/>
    </row>
    <row r="151" spans="1:2" ht="13" x14ac:dyDescent="0.15">
      <c r="A151" s="143"/>
      <c r="B151" s="150"/>
    </row>
    <row r="152" spans="1:2" ht="13" x14ac:dyDescent="0.15">
      <c r="A152" s="143"/>
      <c r="B152" s="150"/>
    </row>
    <row r="153" spans="1:2" ht="13" x14ac:dyDescent="0.15">
      <c r="A153" s="143"/>
      <c r="B153" s="150"/>
    </row>
    <row r="154" spans="1:2" ht="13" x14ac:dyDescent="0.15">
      <c r="A154" s="143"/>
      <c r="B154" s="150"/>
    </row>
    <row r="155" spans="1:2" ht="13" x14ac:dyDescent="0.15">
      <c r="A155" s="143"/>
      <c r="B155" s="150"/>
    </row>
    <row r="156" spans="1:2" ht="13" x14ac:dyDescent="0.15">
      <c r="A156" s="143"/>
      <c r="B156" s="150"/>
    </row>
    <row r="157" spans="1:2" ht="13" x14ac:dyDescent="0.15">
      <c r="A157" s="143"/>
      <c r="B157" s="150"/>
    </row>
    <row r="158" spans="1:2" ht="13" x14ac:dyDescent="0.15">
      <c r="A158" s="143"/>
      <c r="B158" s="150"/>
    </row>
    <row r="159" spans="1:2" ht="13" x14ac:dyDescent="0.15">
      <c r="A159" s="143"/>
      <c r="B159" s="150"/>
    </row>
    <row r="160" spans="1:2" ht="13" x14ac:dyDescent="0.15">
      <c r="A160" s="143"/>
      <c r="B160" s="150"/>
    </row>
    <row r="161" spans="1:2" ht="13" x14ac:dyDescent="0.15">
      <c r="A161" s="143"/>
      <c r="B161" s="150"/>
    </row>
    <row r="162" spans="1:2" ht="13" x14ac:dyDescent="0.15">
      <c r="A162" s="143"/>
      <c r="B162" s="150"/>
    </row>
    <row r="163" spans="1:2" ht="13" x14ac:dyDescent="0.15">
      <c r="A163" s="143"/>
      <c r="B163" s="150"/>
    </row>
    <row r="164" spans="1:2" ht="13" x14ac:dyDescent="0.15">
      <c r="A164" s="143"/>
      <c r="B164" s="150"/>
    </row>
    <row r="165" spans="1:2" ht="13" x14ac:dyDescent="0.15">
      <c r="A165" s="143"/>
      <c r="B165" s="150"/>
    </row>
    <row r="166" spans="1:2" ht="13" x14ac:dyDescent="0.15">
      <c r="A166" s="143"/>
      <c r="B166" s="150"/>
    </row>
    <row r="167" spans="1:2" ht="13" x14ac:dyDescent="0.15">
      <c r="A167" s="143"/>
      <c r="B167" s="150"/>
    </row>
    <row r="168" spans="1:2" ht="13" x14ac:dyDescent="0.15">
      <c r="A168" s="143"/>
      <c r="B168" s="150"/>
    </row>
    <row r="169" spans="1:2" ht="13" x14ac:dyDescent="0.15">
      <c r="A169" s="143"/>
      <c r="B169" s="150"/>
    </row>
    <row r="170" spans="1:2" ht="13" x14ac:dyDescent="0.15">
      <c r="A170" s="143"/>
      <c r="B170" s="150"/>
    </row>
    <row r="171" spans="1:2" ht="13" x14ac:dyDescent="0.15">
      <c r="A171" s="143"/>
      <c r="B171" s="150"/>
    </row>
    <row r="172" spans="1:2" ht="13" x14ac:dyDescent="0.15">
      <c r="A172" s="143"/>
      <c r="B172" s="150"/>
    </row>
    <row r="173" spans="1:2" ht="13" x14ac:dyDescent="0.15">
      <c r="A173" s="143"/>
      <c r="B173" s="150"/>
    </row>
    <row r="174" spans="1:2" ht="13" x14ac:dyDescent="0.15">
      <c r="A174" s="143"/>
      <c r="B174" s="150"/>
    </row>
    <row r="175" spans="1:2" ht="13" x14ac:dyDescent="0.15">
      <c r="A175" s="143"/>
      <c r="B175" s="150"/>
    </row>
    <row r="176" spans="1:2" ht="13" x14ac:dyDescent="0.15">
      <c r="A176" s="143"/>
      <c r="B176" s="150"/>
    </row>
    <row r="177" spans="1:2" ht="13" x14ac:dyDescent="0.15">
      <c r="A177" s="143"/>
      <c r="B177" s="150"/>
    </row>
    <row r="178" spans="1:2" ht="13" x14ac:dyDescent="0.15">
      <c r="A178" s="143"/>
      <c r="B178" s="150"/>
    </row>
    <row r="179" spans="1:2" ht="13" x14ac:dyDescent="0.15">
      <c r="A179" s="143"/>
      <c r="B179" s="150"/>
    </row>
    <row r="180" spans="1:2" ht="13" x14ac:dyDescent="0.15">
      <c r="A180" s="143"/>
      <c r="B180" s="150"/>
    </row>
    <row r="181" spans="1:2" ht="13" x14ac:dyDescent="0.15">
      <c r="A181" s="143"/>
      <c r="B181" s="150"/>
    </row>
    <row r="182" spans="1:2" ht="13" x14ac:dyDescent="0.15">
      <c r="A182" s="143"/>
      <c r="B182" s="150"/>
    </row>
    <row r="183" spans="1:2" ht="13" x14ac:dyDescent="0.15">
      <c r="A183" s="143"/>
      <c r="B183" s="150"/>
    </row>
    <row r="184" spans="1:2" ht="13" x14ac:dyDescent="0.15">
      <c r="A184" s="143"/>
      <c r="B184" s="150"/>
    </row>
    <row r="185" spans="1:2" ht="13" x14ac:dyDescent="0.15">
      <c r="A185" s="143"/>
      <c r="B185" s="150"/>
    </row>
    <row r="186" spans="1:2" ht="13" x14ac:dyDescent="0.15">
      <c r="A186" s="143"/>
      <c r="B186" s="150"/>
    </row>
    <row r="187" spans="1:2" ht="13" x14ac:dyDescent="0.15">
      <c r="A187" s="143"/>
      <c r="B187" s="150"/>
    </row>
    <row r="188" spans="1:2" ht="13" x14ac:dyDescent="0.15">
      <c r="A188" s="143"/>
      <c r="B188" s="150"/>
    </row>
    <row r="189" spans="1:2" ht="13" x14ac:dyDescent="0.15">
      <c r="A189" s="143"/>
      <c r="B189" s="150"/>
    </row>
    <row r="190" spans="1:2" ht="13" x14ac:dyDescent="0.15">
      <c r="A190" s="143"/>
      <c r="B190" s="150"/>
    </row>
    <row r="191" spans="1:2" ht="13" x14ac:dyDescent="0.15">
      <c r="A191" s="143"/>
      <c r="B191" s="150"/>
    </row>
    <row r="192" spans="1:2" ht="13" x14ac:dyDescent="0.15">
      <c r="A192" s="143"/>
      <c r="B192" s="150"/>
    </row>
    <row r="193" spans="1:2" ht="13" x14ac:dyDescent="0.15">
      <c r="A193" s="143"/>
      <c r="B193" s="150"/>
    </row>
    <row r="194" spans="1:2" ht="13" x14ac:dyDescent="0.15">
      <c r="A194" s="143"/>
      <c r="B194" s="150"/>
    </row>
    <row r="195" spans="1:2" ht="13" x14ac:dyDescent="0.15">
      <c r="A195" s="143"/>
      <c r="B195" s="150"/>
    </row>
    <row r="196" spans="1:2" ht="13" x14ac:dyDescent="0.15">
      <c r="A196" s="143"/>
      <c r="B196" s="150"/>
    </row>
    <row r="197" spans="1:2" ht="13" x14ac:dyDescent="0.15">
      <c r="A197" s="143"/>
      <c r="B197" s="150"/>
    </row>
    <row r="198" spans="1:2" ht="13" x14ac:dyDescent="0.15">
      <c r="A198" s="143"/>
      <c r="B198" s="150"/>
    </row>
    <row r="199" spans="1:2" ht="13" x14ac:dyDescent="0.15">
      <c r="A199" s="143"/>
      <c r="B199" s="150"/>
    </row>
    <row r="200" spans="1:2" ht="13" x14ac:dyDescent="0.15">
      <c r="A200" s="143"/>
      <c r="B200" s="150"/>
    </row>
    <row r="201" spans="1:2" ht="13" x14ac:dyDescent="0.15">
      <c r="A201" s="143"/>
      <c r="B201" s="150"/>
    </row>
    <row r="202" spans="1:2" ht="13" x14ac:dyDescent="0.15">
      <c r="A202" s="143"/>
      <c r="B202" s="150"/>
    </row>
    <row r="203" spans="1:2" ht="13" x14ac:dyDescent="0.15">
      <c r="A203" s="143"/>
      <c r="B203" s="150"/>
    </row>
    <row r="204" spans="1:2" ht="13" x14ac:dyDescent="0.15">
      <c r="A204" s="143"/>
      <c r="B204" s="150"/>
    </row>
    <row r="205" spans="1:2" ht="13" x14ac:dyDescent="0.15">
      <c r="A205" s="143"/>
      <c r="B205" s="150"/>
    </row>
    <row r="206" spans="1:2" ht="13" x14ac:dyDescent="0.15">
      <c r="A206" s="143"/>
      <c r="B206" s="150"/>
    </row>
    <row r="207" spans="1:2" ht="13" x14ac:dyDescent="0.15">
      <c r="A207" s="143"/>
      <c r="B207" s="150"/>
    </row>
    <row r="208" spans="1:2" ht="13" x14ac:dyDescent="0.15">
      <c r="A208" s="143"/>
      <c r="B208" s="150"/>
    </row>
    <row r="209" spans="1:2" ht="13" x14ac:dyDescent="0.15">
      <c r="A209" s="143"/>
      <c r="B209" s="150"/>
    </row>
    <row r="210" spans="1:2" ht="13" x14ac:dyDescent="0.15">
      <c r="A210" s="143"/>
      <c r="B210" s="150"/>
    </row>
    <row r="211" spans="1:2" ht="13" x14ac:dyDescent="0.15">
      <c r="A211" s="143"/>
      <c r="B211" s="150"/>
    </row>
    <row r="212" spans="1:2" ht="13" x14ac:dyDescent="0.15">
      <c r="A212" s="143"/>
      <c r="B212" s="150"/>
    </row>
    <row r="213" spans="1:2" ht="13" x14ac:dyDescent="0.15">
      <c r="A213" s="143"/>
      <c r="B213" s="150"/>
    </row>
    <row r="214" spans="1:2" ht="13" x14ac:dyDescent="0.15">
      <c r="A214" s="143"/>
      <c r="B214" s="150"/>
    </row>
    <row r="215" spans="1:2" ht="13" x14ac:dyDescent="0.15">
      <c r="A215" s="143"/>
      <c r="B215" s="150"/>
    </row>
    <row r="216" spans="1:2" ht="13" x14ac:dyDescent="0.15">
      <c r="A216" s="143"/>
      <c r="B216" s="150"/>
    </row>
    <row r="217" spans="1:2" ht="13" x14ac:dyDescent="0.15">
      <c r="A217" s="143"/>
      <c r="B217" s="150"/>
    </row>
    <row r="218" spans="1:2" ht="13" x14ac:dyDescent="0.15">
      <c r="A218" s="143"/>
      <c r="B218" s="150"/>
    </row>
    <row r="219" spans="1:2" ht="13" x14ac:dyDescent="0.15">
      <c r="A219" s="143"/>
      <c r="B219" s="150"/>
    </row>
    <row r="220" spans="1:2" ht="13" x14ac:dyDescent="0.15">
      <c r="A220" s="143"/>
      <c r="B220" s="150"/>
    </row>
    <row r="221" spans="1:2" ht="13" x14ac:dyDescent="0.15">
      <c r="A221" s="143"/>
      <c r="B221" s="150"/>
    </row>
    <row r="222" spans="1:2" ht="13" x14ac:dyDescent="0.15">
      <c r="A222" s="143"/>
      <c r="B222" s="150"/>
    </row>
    <row r="223" spans="1:2" ht="13" x14ac:dyDescent="0.15">
      <c r="A223" s="143"/>
      <c r="B223" s="150"/>
    </row>
    <row r="224" spans="1:2" ht="13" x14ac:dyDescent="0.15">
      <c r="A224" s="143"/>
      <c r="B224" s="150"/>
    </row>
    <row r="225" spans="1:2" ht="13" x14ac:dyDescent="0.15">
      <c r="A225" s="143"/>
      <c r="B225" s="150"/>
    </row>
    <row r="226" spans="1:2" ht="13" x14ac:dyDescent="0.15">
      <c r="A226" s="143"/>
      <c r="B226" s="150"/>
    </row>
    <row r="227" spans="1:2" ht="13" x14ac:dyDescent="0.15">
      <c r="A227" s="143"/>
      <c r="B227" s="150"/>
    </row>
    <row r="228" spans="1:2" ht="13" x14ac:dyDescent="0.15">
      <c r="A228" s="143"/>
      <c r="B228" s="150"/>
    </row>
    <row r="229" spans="1:2" ht="13" x14ac:dyDescent="0.15">
      <c r="A229" s="143"/>
      <c r="B229" s="150"/>
    </row>
    <row r="230" spans="1:2" ht="13" x14ac:dyDescent="0.15">
      <c r="A230" s="143"/>
      <c r="B230" s="150"/>
    </row>
    <row r="231" spans="1:2" ht="13" x14ac:dyDescent="0.15">
      <c r="A231" s="143"/>
      <c r="B231" s="150"/>
    </row>
    <row r="232" spans="1:2" ht="13" x14ac:dyDescent="0.15">
      <c r="A232" s="143"/>
      <c r="B232" s="150"/>
    </row>
    <row r="233" spans="1:2" ht="13" x14ac:dyDescent="0.15">
      <c r="A233" s="143"/>
      <c r="B233" s="150"/>
    </row>
    <row r="234" spans="1:2" ht="13" x14ac:dyDescent="0.15">
      <c r="A234" s="143"/>
      <c r="B234" s="150"/>
    </row>
    <row r="235" spans="1:2" ht="13" x14ac:dyDescent="0.15">
      <c r="A235" s="143"/>
      <c r="B235" s="150"/>
    </row>
    <row r="236" spans="1:2" ht="13" x14ac:dyDescent="0.15">
      <c r="A236" s="143"/>
      <c r="B236" s="150"/>
    </row>
    <row r="237" spans="1:2" ht="13" x14ac:dyDescent="0.15">
      <c r="A237" s="143"/>
      <c r="B237" s="150"/>
    </row>
    <row r="238" spans="1:2" ht="13" x14ac:dyDescent="0.15">
      <c r="A238" s="143"/>
      <c r="B238" s="150"/>
    </row>
    <row r="239" spans="1:2" ht="13" x14ac:dyDescent="0.15">
      <c r="A239" s="143"/>
      <c r="B239" s="150"/>
    </row>
    <row r="240" spans="1:2" ht="13" x14ac:dyDescent="0.15">
      <c r="A240" s="143"/>
      <c r="B240" s="150"/>
    </row>
    <row r="241" spans="1:2" ht="13" x14ac:dyDescent="0.15">
      <c r="A241" s="143"/>
      <c r="B241" s="150"/>
    </row>
    <row r="242" spans="1:2" ht="13" x14ac:dyDescent="0.15">
      <c r="A242" s="143"/>
      <c r="B242" s="150"/>
    </row>
    <row r="243" spans="1:2" ht="13" x14ac:dyDescent="0.15">
      <c r="A243" s="143"/>
      <c r="B243" s="150"/>
    </row>
    <row r="244" spans="1:2" ht="13" x14ac:dyDescent="0.15">
      <c r="A244" s="143"/>
      <c r="B244" s="150"/>
    </row>
    <row r="245" spans="1:2" ht="13" x14ac:dyDescent="0.15">
      <c r="A245" s="143"/>
      <c r="B245" s="150"/>
    </row>
    <row r="246" spans="1:2" ht="13" x14ac:dyDescent="0.15">
      <c r="A246" s="143"/>
      <c r="B246" s="150"/>
    </row>
    <row r="247" spans="1:2" ht="13" x14ac:dyDescent="0.15">
      <c r="A247" s="143"/>
      <c r="B247" s="150"/>
    </row>
    <row r="248" spans="1:2" ht="13" x14ac:dyDescent="0.15">
      <c r="A248" s="143"/>
      <c r="B248" s="150"/>
    </row>
    <row r="249" spans="1:2" ht="13" x14ac:dyDescent="0.15">
      <c r="A249" s="143"/>
      <c r="B249" s="150"/>
    </row>
    <row r="250" spans="1:2" ht="13" x14ac:dyDescent="0.15">
      <c r="A250" s="143"/>
      <c r="B250" s="150"/>
    </row>
    <row r="251" spans="1:2" ht="13" x14ac:dyDescent="0.15">
      <c r="A251" s="143"/>
      <c r="B251" s="150"/>
    </row>
    <row r="252" spans="1:2" ht="13" x14ac:dyDescent="0.15">
      <c r="A252" s="143"/>
      <c r="B252" s="150"/>
    </row>
    <row r="253" spans="1:2" ht="13" x14ac:dyDescent="0.15">
      <c r="A253" s="143"/>
      <c r="B253" s="150"/>
    </row>
    <row r="254" spans="1:2" ht="13" x14ac:dyDescent="0.15">
      <c r="A254" s="143"/>
      <c r="B254" s="150"/>
    </row>
    <row r="255" spans="1:2" ht="13" x14ac:dyDescent="0.15">
      <c r="A255" s="143"/>
      <c r="B255" s="150"/>
    </row>
    <row r="256" spans="1:2" ht="13" x14ac:dyDescent="0.15">
      <c r="A256" s="143"/>
      <c r="B256" s="150"/>
    </row>
    <row r="257" spans="1:2" ht="13" x14ac:dyDescent="0.15">
      <c r="A257" s="143"/>
      <c r="B257" s="150"/>
    </row>
    <row r="258" spans="1:2" ht="13" x14ac:dyDescent="0.15">
      <c r="A258" s="143"/>
      <c r="B258" s="150"/>
    </row>
    <row r="259" spans="1:2" ht="13" x14ac:dyDescent="0.15">
      <c r="A259" s="143"/>
      <c r="B259" s="150"/>
    </row>
    <row r="260" spans="1:2" ht="13" x14ac:dyDescent="0.15">
      <c r="A260" s="143"/>
      <c r="B260" s="150"/>
    </row>
    <row r="261" spans="1:2" ht="13" x14ac:dyDescent="0.15">
      <c r="A261" s="143"/>
      <c r="B261" s="150"/>
    </row>
    <row r="262" spans="1:2" ht="13" x14ac:dyDescent="0.15">
      <c r="A262" s="143"/>
      <c r="B262" s="150"/>
    </row>
    <row r="263" spans="1:2" ht="13" x14ac:dyDescent="0.15">
      <c r="A263" s="143"/>
      <c r="B263" s="150"/>
    </row>
    <row r="264" spans="1:2" ht="13" x14ac:dyDescent="0.15">
      <c r="A264" s="143"/>
      <c r="B264" s="150"/>
    </row>
    <row r="265" spans="1:2" ht="13" x14ac:dyDescent="0.15">
      <c r="A265" s="143"/>
      <c r="B265" s="150"/>
    </row>
    <row r="266" spans="1:2" ht="13" x14ac:dyDescent="0.15">
      <c r="A266" s="143"/>
      <c r="B266" s="150"/>
    </row>
    <row r="267" spans="1:2" ht="13" x14ac:dyDescent="0.15">
      <c r="A267" s="143"/>
      <c r="B267" s="150"/>
    </row>
    <row r="268" spans="1:2" ht="13" x14ac:dyDescent="0.15">
      <c r="A268" s="143"/>
      <c r="B268" s="150"/>
    </row>
    <row r="269" spans="1:2" ht="13" x14ac:dyDescent="0.15">
      <c r="A269" s="143"/>
      <c r="B269" s="150"/>
    </row>
    <row r="270" spans="1:2" ht="13" x14ac:dyDescent="0.15">
      <c r="A270" s="143"/>
      <c r="B270" s="150"/>
    </row>
    <row r="271" spans="1:2" ht="13" x14ac:dyDescent="0.15">
      <c r="A271" s="143"/>
      <c r="B271" s="150"/>
    </row>
    <row r="272" spans="1:2" ht="13" x14ac:dyDescent="0.15">
      <c r="A272" s="143"/>
      <c r="B272" s="150"/>
    </row>
    <row r="273" spans="1:2" ht="13" x14ac:dyDescent="0.15">
      <c r="A273" s="143"/>
      <c r="B273" s="150"/>
    </row>
    <row r="274" spans="1:2" ht="13" x14ac:dyDescent="0.15">
      <c r="A274" s="143"/>
      <c r="B274" s="150"/>
    </row>
    <row r="275" spans="1:2" ht="13" x14ac:dyDescent="0.15">
      <c r="A275" s="143"/>
      <c r="B275" s="150"/>
    </row>
    <row r="276" spans="1:2" ht="13" x14ac:dyDescent="0.15">
      <c r="A276" s="143"/>
      <c r="B276" s="150"/>
    </row>
    <row r="277" spans="1:2" ht="13" x14ac:dyDescent="0.15">
      <c r="A277" s="143"/>
      <c r="B277" s="150"/>
    </row>
    <row r="278" spans="1:2" ht="13" x14ac:dyDescent="0.15">
      <c r="A278" s="143"/>
      <c r="B278" s="150"/>
    </row>
    <row r="279" spans="1:2" ht="13" x14ac:dyDescent="0.15">
      <c r="A279" s="143"/>
      <c r="B279" s="150"/>
    </row>
    <row r="280" spans="1:2" ht="13" x14ac:dyDescent="0.15">
      <c r="A280" s="143"/>
      <c r="B280" s="150"/>
    </row>
    <row r="281" spans="1:2" ht="13" x14ac:dyDescent="0.15">
      <c r="A281" s="143"/>
      <c r="B281" s="150"/>
    </row>
    <row r="282" spans="1:2" ht="13" x14ac:dyDescent="0.15">
      <c r="A282" s="143"/>
      <c r="B282" s="150"/>
    </row>
    <row r="283" spans="1:2" ht="13" x14ac:dyDescent="0.15">
      <c r="A283" s="143"/>
      <c r="B283" s="150"/>
    </row>
    <row r="284" spans="1:2" ht="13" x14ac:dyDescent="0.15">
      <c r="A284" s="143"/>
      <c r="B284" s="150"/>
    </row>
    <row r="285" spans="1:2" ht="13" x14ac:dyDescent="0.15">
      <c r="A285" s="143"/>
      <c r="B285" s="150"/>
    </row>
    <row r="286" spans="1:2" ht="13" x14ac:dyDescent="0.15">
      <c r="A286" s="143"/>
      <c r="B286" s="150"/>
    </row>
    <row r="287" spans="1:2" ht="13" x14ac:dyDescent="0.15">
      <c r="A287" s="143"/>
      <c r="B287" s="150"/>
    </row>
    <row r="288" spans="1:2" ht="13" x14ac:dyDescent="0.15">
      <c r="A288" s="143"/>
      <c r="B288" s="150"/>
    </row>
    <row r="289" spans="1:2" ht="13" x14ac:dyDescent="0.15">
      <c r="A289" s="143"/>
      <c r="B289" s="150"/>
    </row>
    <row r="290" spans="1:2" ht="13" x14ac:dyDescent="0.15">
      <c r="A290" s="143"/>
      <c r="B290" s="150"/>
    </row>
    <row r="291" spans="1:2" ht="13" x14ac:dyDescent="0.15">
      <c r="A291" s="143"/>
      <c r="B291" s="150"/>
    </row>
    <row r="292" spans="1:2" ht="13" x14ac:dyDescent="0.15">
      <c r="A292" s="143"/>
      <c r="B292" s="150"/>
    </row>
    <row r="293" spans="1:2" ht="13" x14ac:dyDescent="0.15">
      <c r="A293" s="143"/>
      <c r="B293" s="150"/>
    </row>
    <row r="294" spans="1:2" ht="13" x14ac:dyDescent="0.15">
      <c r="A294" s="143"/>
      <c r="B294" s="150"/>
    </row>
    <row r="295" spans="1:2" ht="13" x14ac:dyDescent="0.15">
      <c r="A295" s="143"/>
      <c r="B295" s="150"/>
    </row>
    <row r="296" spans="1:2" ht="13" x14ac:dyDescent="0.15">
      <c r="A296" s="143"/>
      <c r="B296" s="150"/>
    </row>
    <row r="297" spans="1:2" ht="13" x14ac:dyDescent="0.15">
      <c r="A297" s="143"/>
      <c r="B297" s="150"/>
    </row>
    <row r="298" spans="1:2" ht="13" x14ac:dyDescent="0.15">
      <c r="A298" s="143"/>
      <c r="B298" s="150"/>
    </row>
    <row r="299" spans="1:2" ht="13" x14ac:dyDescent="0.15">
      <c r="A299" s="143"/>
      <c r="B299" s="150"/>
    </row>
    <row r="300" spans="1:2" ht="13" x14ac:dyDescent="0.15">
      <c r="A300" s="143"/>
      <c r="B300" s="150"/>
    </row>
    <row r="301" spans="1:2" ht="13" x14ac:dyDescent="0.15">
      <c r="A301" s="143"/>
      <c r="B301" s="150"/>
    </row>
    <row r="302" spans="1:2" ht="13" x14ac:dyDescent="0.15">
      <c r="A302" s="143"/>
      <c r="B302" s="150"/>
    </row>
    <row r="303" spans="1:2" ht="13" x14ac:dyDescent="0.15">
      <c r="A303" s="143"/>
      <c r="B303" s="150"/>
    </row>
    <row r="304" spans="1:2" ht="13" x14ac:dyDescent="0.15">
      <c r="A304" s="143"/>
      <c r="B304" s="150"/>
    </row>
    <row r="305" spans="1:2" ht="13" x14ac:dyDescent="0.15">
      <c r="A305" s="143"/>
      <c r="B305" s="150"/>
    </row>
    <row r="306" spans="1:2" ht="13" x14ac:dyDescent="0.15">
      <c r="A306" s="143"/>
      <c r="B306" s="150"/>
    </row>
    <row r="307" spans="1:2" ht="13" x14ac:dyDescent="0.15">
      <c r="A307" s="143"/>
      <c r="B307" s="150"/>
    </row>
    <row r="308" spans="1:2" ht="13" x14ac:dyDescent="0.15">
      <c r="A308" s="143"/>
      <c r="B308" s="150"/>
    </row>
    <row r="309" spans="1:2" ht="13" x14ac:dyDescent="0.15">
      <c r="A309" s="143"/>
      <c r="B309" s="150"/>
    </row>
    <row r="310" spans="1:2" ht="13" x14ac:dyDescent="0.15">
      <c r="A310" s="143"/>
      <c r="B310" s="150"/>
    </row>
    <row r="311" spans="1:2" ht="13" x14ac:dyDescent="0.15">
      <c r="A311" s="143"/>
      <c r="B311" s="150"/>
    </row>
    <row r="312" spans="1:2" ht="13" x14ac:dyDescent="0.15">
      <c r="A312" s="143"/>
      <c r="B312" s="150"/>
    </row>
    <row r="313" spans="1:2" ht="13" x14ac:dyDescent="0.15">
      <c r="A313" s="143"/>
      <c r="B313" s="150"/>
    </row>
    <row r="314" spans="1:2" ht="13" x14ac:dyDescent="0.15">
      <c r="A314" s="143"/>
      <c r="B314" s="150"/>
    </row>
    <row r="315" spans="1:2" ht="13" x14ac:dyDescent="0.15">
      <c r="A315" s="143"/>
      <c r="B315" s="150"/>
    </row>
    <row r="316" spans="1:2" ht="13" x14ac:dyDescent="0.15">
      <c r="A316" s="143"/>
      <c r="B316" s="150"/>
    </row>
    <row r="317" spans="1:2" ht="13" x14ac:dyDescent="0.15">
      <c r="A317" s="143"/>
      <c r="B317" s="150"/>
    </row>
    <row r="318" spans="1:2" ht="13" x14ac:dyDescent="0.15">
      <c r="A318" s="143"/>
      <c r="B318" s="150"/>
    </row>
    <row r="319" spans="1:2" ht="13" x14ac:dyDescent="0.15">
      <c r="A319" s="143"/>
      <c r="B319" s="150"/>
    </row>
    <row r="320" spans="1:2" ht="13" x14ac:dyDescent="0.15">
      <c r="A320" s="143"/>
      <c r="B320" s="150"/>
    </row>
    <row r="321" spans="1:2" ht="13" x14ac:dyDescent="0.15">
      <c r="A321" s="143"/>
      <c r="B321" s="150"/>
    </row>
    <row r="322" spans="1:2" ht="13" x14ac:dyDescent="0.15">
      <c r="A322" s="143"/>
      <c r="B322" s="150"/>
    </row>
    <row r="323" spans="1:2" ht="13" x14ac:dyDescent="0.15">
      <c r="A323" s="143"/>
      <c r="B323" s="150"/>
    </row>
    <row r="324" spans="1:2" ht="13" x14ac:dyDescent="0.15">
      <c r="A324" s="143"/>
      <c r="B324" s="150"/>
    </row>
    <row r="325" spans="1:2" ht="13" x14ac:dyDescent="0.15">
      <c r="A325" s="143"/>
      <c r="B325" s="150"/>
    </row>
    <row r="326" spans="1:2" ht="13" x14ac:dyDescent="0.15">
      <c r="A326" s="143"/>
      <c r="B326" s="150"/>
    </row>
    <row r="327" spans="1:2" ht="13" x14ac:dyDescent="0.15">
      <c r="A327" s="143"/>
      <c r="B327" s="150"/>
    </row>
    <row r="328" spans="1:2" ht="13" x14ac:dyDescent="0.15">
      <c r="A328" s="143"/>
      <c r="B328" s="150"/>
    </row>
    <row r="329" spans="1:2" ht="13" x14ac:dyDescent="0.15">
      <c r="A329" s="143"/>
      <c r="B329" s="150"/>
    </row>
    <row r="330" spans="1:2" ht="13" x14ac:dyDescent="0.15">
      <c r="A330" s="143"/>
      <c r="B330" s="150"/>
    </row>
    <row r="331" spans="1:2" ht="13" x14ac:dyDescent="0.15">
      <c r="A331" s="143"/>
      <c r="B331" s="150"/>
    </row>
    <row r="332" spans="1:2" ht="13" x14ac:dyDescent="0.15">
      <c r="A332" s="143"/>
      <c r="B332" s="150"/>
    </row>
    <row r="333" spans="1:2" ht="13" x14ac:dyDescent="0.15">
      <c r="A333" s="143"/>
      <c r="B333" s="150"/>
    </row>
    <row r="334" spans="1:2" ht="13" x14ac:dyDescent="0.15">
      <c r="A334" s="143"/>
      <c r="B334" s="150"/>
    </row>
    <row r="335" spans="1:2" ht="13" x14ac:dyDescent="0.15">
      <c r="A335" s="143"/>
      <c r="B335" s="150"/>
    </row>
    <row r="336" spans="1:2" ht="13" x14ac:dyDescent="0.15">
      <c r="A336" s="143"/>
      <c r="B336" s="150"/>
    </row>
    <row r="337" spans="1:2" ht="13" x14ac:dyDescent="0.15">
      <c r="A337" s="143"/>
      <c r="B337" s="150"/>
    </row>
    <row r="338" spans="1:2" ht="13" x14ac:dyDescent="0.15">
      <c r="A338" s="143"/>
      <c r="B338" s="150"/>
    </row>
    <row r="339" spans="1:2" ht="13" x14ac:dyDescent="0.15">
      <c r="A339" s="143"/>
      <c r="B339" s="150"/>
    </row>
    <row r="340" spans="1:2" ht="13" x14ac:dyDescent="0.15">
      <c r="A340" s="143"/>
      <c r="B340" s="150"/>
    </row>
    <row r="341" spans="1:2" ht="13" x14ac:dyDescent="0.15">
      <c r="A341" s="143"/>
      <c r="B341" s="150"/>
    </row>
    <row r="342" spans="1:2" ht="13" x14ac:dyDescent="0.15">
      <c r="A342" s="143"/>
      <c r="B342" s="150"/>
    </row>
    <row r="343" spans="1:2" ht="13" x14ac:dyDescent="0.15">
      <c r="A343" s="143"/>
      <c r="B343" s="150"/>
    </row>
    <row r="344" spans="1:2" ht="13" x14ac:dyDescent="0.15">
      <c r="A344" s="143"/>
      <c r="B344" s="150"/>
    </row>
    <row r="345" spans="1:2" ht="13" x14ac:dyDescent="0.15">
      <c r="A345" s="143"/>
      <c r="B345" s="150"/>
    </row>
    <row r="346" spans="1:2" ht="13" x14ac:dyDescent="0.15">
      <c r="A346" s="143"/>
      <c r="B346" s="150"/>
    </row>
    <row r="347" spans="1:2" ht="13" x14ac:dyDescent="0.15">
      <c r="A347" s="143"/>
      <c r="B347" s="150"/>
    </row>
    <row r="348" spans="1:2" ht="13" x14ac:dyDescent="0.15">
      <c r="A348" s="143"/>
      <c r="B348" s="150"/>
    </row>
    <row r="349" spans="1:2" ht="13" x14ac:dyDescent="0.15">
      <c r="A349" s="143"/>
      <c r="B349" s="150"/>
    </row>
    <row r="350" spans="1:2" ht="13" x14ac:dyDescent="0.15">
      <c r="A350" s="143"/>
      <c r="B350" s="150"/>
    </row>
    <row r="351" spans="1:2" ht="13" x14ac:dyDescent="0.15">
      <c r="A351" s="143"/>
      <c r="B351" s="150"/>
    </row>
    <row r="352" spans="1:2" ht="13" x14ac:dyDescent="0.15">
      <c r="A352" s="143"/>
      <c r="B352" s="150"/>
    </row>
    <row r="353" spans="1:2" ht="13" x14ac:dyDescent="0.15">
      <c r="A353" s="143"/>
      <c r="B353" s="150"/>
    </row>
    <row r="354" spans="1:2" ht="13" x14ac:dyDescent="0.15">
      <c r="A354" s="143"/>
      <c r="B354" s="150"/>
    </row>
    <row r="355" spans="1:2" ht="13" x14ac:dyDescent="0.15">
      <c r="A355" s="143"/>
      <c r="B355" s="150"/>
    </row>
    <row r="356" spans="1:2" ht="13" x14ac:dyDescent="0.15">
      <c r="A356" s="143"/>
      <c r="B356" s="150"/>
    </row>
    <row r="357" spans="1:2" ht="13" x14ac:dyDescent="0.15">
      <c r="A357" s="143"/>
      <c r="B357" s="150"/>
    </row>
    <row r="358" spans="1:2" ht="13" x14ac:dyDescent="0.15">
      <c r="A358" s="143"/>
      <c r="B358" s="150"/>
    </row>
    <row r="359" spans="1:2" ht="13" x14ac:dyDescent="0.15">
      <c r="A359" s="143"/>
      <c r="B359" s="150"/>
    </row>
    <row r="360" spans="1:2" ht="13" x14ac:dyDescent="0.15">
      <c r="A360" s="143"/>
      <c r="B360" s="150"/>
    </row>
    <row r="361" spans="1:2" ht="13" x14ac:dyDescent="0.15">
      <c r="A361" s="143"/>
      <c r="B361" s="150"/>
    </row>
    <row r="362" spans="1:2" ht="13" x14ac:dyDescent="0.15">
      <c r="A362" s="143"/>
      <c r="B362" s="150"/>
    </row>
    <row r="363" spans="1:2" ht="13" x14ac:dyDescent="0.15">
      <c r="A363" s="143"/>
      <c r="B363" s="150"/>
    </row>
    <row r="364" spans="1:2" ht="13" x14ac:dyDescent="0.15">
      <c r="A364" s="143"/>
      <c r="B364" s="150"/>
    </row>
    <row r="365" spans="1:2" ht="13" x14ac:dyDescent="0.15">
      <c r="A365" s="143"/>
      <c r="B365" s="150"/>
    </row>
    <row r="366" spans="1:2" ht="13" x14ac:dyDescent="0.15">
      <c r="A366" s="143"/>
      <c r="B366" s="150"/>
    </row>
    <row r="367" spans="1:2" ht="13" x14ac:dyDescent="0.15">
      <c r="A367" s="143"/>
      <c r="B367" s="150"/>
    </row>
    <row r="368" spans="1:2" ht="13" x14ac:dyDescent="0.15">
      <c r="A368" s="143"/>
      <c r="B368" s="150"/>
    </row>
    <row r="369" spans="1:2" ht="13" x14ac:dyDescent="0.15">
      <c r="A369" s="143"/>
      <c r="B369" s="150"/>
    </row>
    <row r="370" spans="1:2" ht="13" x14ac:dyDescent="0.15">
      <c r="A370" s="143"/>
      <c r="B370" s="150"/>
    </row>
    <row r="371" spans="1:2" ht="13" x14ac:dyDescent="0.15">
      <c r="A371" s="143"/>
      <c r="B371" s="150"/>
    </row>
    <row r="372" spans="1:2" ht="13" x14ac:dyDescent="0.15">
      <c r="A372" s="143"/>
      <c r="B372" s="150"/>
    </row>
    <row r="373" spans="1:2" ht="13" x14ac:dyDescent="0.15">
      <c r="A373" s="143"/>
      <c r="B373" s="150"/>
    </row>
    <row r="374" spans="1:2" ht="13" x14ac:dyDescent="0.15">
      <c r="A374" s="143"/>
      <c r="B374" s="150"/>
    </row>
    <row r="375" spans="1:2" ht="13" x14ac:dyDescent="0.15">
      <c r="A375" s="143"/>
      <c r="B375" s="150"/>
    </row>
    <row r="376" spans="1:2" ht="13" x14ac:dyDescent="0.15">
      <c r="A376" s="143"/>
      <c r="B376" s="150"/>
    </row>
    <row r="377" spans="1:2" ht="13" x14ac:dyDescent="0.15">
      <c r="A377" s="143"/>
      <c r="B377" s="150"/>
    </row>
    <row r="378" spans="1:2" ht="13" x14ac:dyDescent="0.15">
      <c r="A378" s="143"/>
      <c r="B378" s="150"/>
    </row>
    <row r="379" spans="1:2" ht="13" x14ac:dyDescent="0.15">
      <c r="A379" s="143"/>
      <c r="B379" s="150"/>
    </row>
    <row r="380" spans="1:2" ht="13" x14ac:dyDescent="0.15">
      <c r="A380" s="143"/>
      <c r="B380" s="150"/>
    </row>
    <row r="381" spans="1:2" ht="13" x14ac:dyDescent="0.15">
      <c r="A381" s="143"/>
      <c r="B381" s="150"/>
    </row>
    <row r="382" spans="1:2" ht="13" x14ac:dyDescent="0.15">
      <c r="A382" s="143"/>
      <c r="B382" s="150"/>
    </row>
    <row r="383" spans="1:2" ht="13" x14ac:dyDescent="0.15">
      <c r="A383" s="143"/>
      <c r="B383" s="150"/>
    </row>
    <row r="384" spans="1:2" ht="13" x14ac:dyDescent="0.15">
      <c r="A384" s="143"/>
      <c r="B384" s="150"/>
    </row>
    <row r="385" spans="1:2" ht="13" x14ac:dyDescent="0.15">
      <c r="A385" s="143"/>
      <c r="B385" s="150"/>
    </row>
    <row r="386" spans="1:2" ht="13" x14ac:dyDescent="0.15">
      <c r="A386" s="143"/>
      <c r="B386" s="150"/>
    </row>
    <row r="387" spans="1:2" ht="13" x14ac:dyDescent="0.15">
      <c r="A387" s="143"/>
      <c r="B387" s="150"/>
    </row>
    <row r="388" spans="1:2" ht="13" x14ac:dyDescent="0.15">
      <c r="A388" s="143"/>
      <c r="B388" s="150"/>
    </row>
    <row r="389" spans="1:2" ht="13" x14ac:dyDescent="0.15">
      <c r="A389" s="143"/>
      <c r="B389" s="150"/>
    </row>
    <row r="390" spans="1:2" ht="13" x14ac:dyDescent="0.15">
      <c r="A390" s="143"/>
      <c r="B390" s="150"/>
    </row>
    <row r="391" spans="1:2" ht="13" x14ac:dyDescent="0.15">
      <c r="A391" s="143"/>
      <c r="B391" s="150"/>
    </row>
    <row r="392" spans="1:2" ht="13" x14ac:dyDescent="0.15">
      <c r="A392" s="143"/>
      <c r="B392" s="150"/>
    </row>
    <row r="393" spans="1:2" ht="13" x14ac:dyDescent="0.15">
      <c r="A393" s="143"/>
      <c r="B393" s="150"/>
    </row>
    <row r="394" spans="1:2" ht="13" x14ac:dyDescent="0.15">
      <c r="A394" s="143"/>
      <c r="B394" s="150"/>
    </row>
    <row r="395" spans="1:2" ht="13" x14ac:dyDescent="0.15">
      <c r="A395" s="143"/>
      <c r="B395" s="150"/>
    </row>
    <row r="396" spans="1:2" ht="13" x14ac:dyDescent="0.15">
      <c r="A396" s="143"/>
      <c r="B396" s="150"/>
    </row>
    <row r="397" spans="1:2" ht="13" x14ac:dyDescent="0.15">
      <c r="A397" s="143"/>
      <c r="B397" s="150"/>
    </row>
    <row r="398" spans="1:2" ht="13" x14ac:dyDescent="0.15">
      <c r="A398" s="143"/>
      <c r="B398" s="150"/>
    </row>
    <row r="399" spans="1:2" ht="13" x14ac:dyDescent="0.15">
      <c r="A399" s="143"/>
      <c r="B399" s="150"/>
    </row>
    <row r="400" spans="1:2" ht="13" x14ac:dyDescent="0.15">
      <c r="A400" s="143"/>
      <c r="B400" s="150"/>
    </row>
    <row r="401" spans="1:2" ht="13" x14ac:dyDescent="0.15">
      <c r="A401" s="143"/>
      <c r="B401" s="150"/>
    </row>
    <row r="402" spans="1:2" ht="13" x14ac:dyDescent="0.15">
      <c r="A402" s="143"/>
      <c r="B402" s="150"/>
    </row>
    <row r="403" spans="1:2" ht="13" x14ac:dyDescent="0.15">
      <c r="A403" s="143"/>
      <c r="B403" s="150"/>
    </row>
    <row r="404" spans="1:2" ht="13" x14ac:dyDescent="0.15">
      <c r="A404" s="143"/>
      <c r="B404" s="150"/>
    </row>
    <row r="405" spans="1:2" ht="13" x14ac:dyDescent="0.15">
      <c r="A405" s="143"/>
      <c r="B405" s="150"/>
    </row>
    <row r="406" spans="1:2" ht="13" x14ac:dyDescent="0.15">
      <c r="A406" s="143"/>
      <c r="B406" s="150"/>
    </row>
    <row r="407" spans="1:2" ht="13" x14ac:dyDescent="0.15">
      <c r="A407" s="143"/>
      <c r="B407" s="150"/>
    </row>
    <row r="408" spans="1:2" ht="13" x14ac:dyDescent="0.15">
      <c r="A408" s="143"/>
      <c r="B408" s="150"/>
    </row>
    <row r="409" spans="1:2" ht="13" x14ac:dyDescent="0.15">
      <c r="A409" s="143"/>
      <c r="B409" s="150"/>
    </row>
    <row r="410" spans="1:2" ht="13" x14ac:dyDescent="0.15">
      <c r="A410" s="143"/>
      <c r="B410" s="150"/>
    </row>
    <row r="411" spans="1:2" ht="13" x14ac:dyDescent="0.15">
      <c r="A411" s="143"/>
      <c r="B411" s="150"/>
    </row>
    <row r="412" spans="1:2" ht="13" x14ac:dyDescent="0.15">
      <c r="A412" s="143"/>
      <c r="B412" s="150"/>
    </row>
    <row r="413" spans="1:2" ht="13" x14ac:dyDescent="0.15">
      <c r="A413" s="143"/>
      <c r="B413" s="150"/>
    </row>
    <row r="414" spans="1:2" ht="13" x14ac:dyDescent="0.15">
      <c r="A414" s="143"/>
      <c r="B414" s="150"/>
    </row>
    <row r="415" spans="1:2" ht="13" x14ac:dyDescent="0.15">
      <c r="A415" s="143"/>
      <c r="B415" s="150"/>
    </row>
    <row r="416" spans="1:2" ht="13" x14ac:dyDescent="0.15">
      <c r="A416" s="143"/>
      <c r="B416" s="150"/>
    </row>
    <row r="417" spans="1:2" ht="13" x14ac:dyDescent="0.15">
      <c r="A417" s="143"/>
      <c r="B417" s="150"/>
    </row>
    <row r="418" spans="1:2" ht="13" x14ac:dyDescent="0.15">
      <c r="A418" s="143"/>
      <c r="B418" s="150"/>
    </row>
    <row r="419" spans="1:2" ht="13" x14ac:dyDescent="0.15">
      <c r="A419" s="143"/>
      <c r="B419" s="150"/>
    </row>
    <row r="420" spans="1:2" ht="13" x14ac:dyDescent="0.15">
      <c r="A420" s="143"/>
      <c r="B420" s="150"/>
    </row>
    <row r="421" spans="1:2" ht="13" x14ac:dyDescent="0.15">
      <c r="A421" s="143"/>
      <c r="B421" s="150"/>
    </row>
    <row r="422" spans="1:2" ht="13" x14ac:dyDescent="0.15">
      <c r="A422" s="143"/>
      <c r="B422" s="150"/>
    </row>
    <row r="423" spans="1:2" ht="13" x14ac:dyDescent="0.15">
      <c r="A423" s="143"/>
      <c r="B423" s="150"/>
    </row>
    <row r="424" spans="1:2" ht="13" x14ac:dyDescent="0.15">
      <c r="A424" s="143"/>
      <c r="B424" s="150"/>
    </row>
    <row r="425" spans="1:2" ht="13" x14ac:dyDescent="0.15">
      <c r="A425" s="143"/>
      <c r="B425" s="150"/>
    </row>
    <row r="426" spans="1:2" ht="13" x14ac:dyDescent="0.15">
      <c r="A426" s="143"/>
      <c r="B426" s="150"/>
    </row>
    <row r="427" spans="1:2" ht="13" x14ac:dyDescent="0.15">
      <c r="A427" s="143"/>
      <c r="B427" s="150"/>
    </row>
    <row r="428" spans="1:2" ht="13" x14ac:dyDescent="0.15">
      <c r="A428" s="143"/>
      <c r="B428" s="150"/>
    </row>
    <row r="429" spans="1:2" ht="13" x14ac:dyDescent="0.15">
      <c r="A429" s="143"/>
      <c r="B429" s="150"/>
    </row>
    <row r="430" spans="1:2" ht="13" x14ac:dyDescent="0.15">
      <c r="A430" s="143"/>
      <c r="B430" s="150"/>
    </row>
    <row r="431" spans="1:2" ht="13" x14ac:dyDescent="0.15">
      <c r="A431" s="143"/>
      <c r="B431" s="150"/>
    </row>
    <row r="432" spans="1:2" ht="13" x14ac:dyDescent="0.15">
      <c r="A432" s="143"/>
      <c r="B432" s="150"/>
    </row>
    <row r="433" spans="1:2" ht="13" x14ac:dyDescent="0.15">
      <c r="A433" s="143"/>
      <c r="B433" s="150"/>
    </row>
    <row r="434" spans="1:2" ht="13" x14ac:dyDescent="0.15">
      <c r="A434" s="143"/>
      <c r="B434" s="150"/>
    </row>
    <row r="435" spans="1:2" ht="13" x14ac:dyDescent="0.15">
      <c r="A435" s="143"/>
      <c r="B435" s="150"/>
    </row>
    <row r="436" spans="1:2" ht="13" x14ac:dyDescent="0.15">
      <c r="A436" s="143"/>
      <c r="B436" s="150"/>
    </row>
    <row r="437" spans="1:2" ht="13" x14ac:dyDescent="0.15">
      <c r="A437" s="143"/>
      <c r="B437" s="150"/>
    </row>
    <row r="438" spans="1:2" ht="13" x14ac:dyDescent="0.15">
      <c r="A438" s="143"/>
      <c r="B438" s="150"/>
    </row>
    <row r="439" spans="1:2" ht="13" x14ac:dyDescent="0.15">
      <c r="A439" s="143"/>
      <c r="B439" s="150"/>
    </row>
    <row r="440" spans="1:2" ht="13" x14ac:dyDescent="0.15">
      <c r="A440" s="143"/>
      <c r="B440" s="150"/>
    </row>
    <row r="441" spans="1:2" ht="13" x14ac:dyDescent="0.15">
      <c r="A441" s="143"/>
      <c r="B441" s="150"/>
    </row>
    <row r="442" spans="1:2" ht="13" x14ac:dyDescent="0.15">
      <c r="A442" s="143"/>
      <c r="B442" s="150"/>
    </row>
    <row r="443" spans="1:2" ht="13" x14ac:dyDescent="0.15">
      <c r="A443" s="143"/>
      <c r="B443" s="150"/>
    </row>
    <row r="444" spans="1:2" ht="13" x14ac:dyDescent="0.15">
      <c r="A444" s="143"/>
      <c r="B444" s="150"/>
    </row>
    <row r="445" spans="1:2" ht="13" x14ac:dyDescent="0.15">
      <c r="A445" s="143"/>
      <c r="B445" s="150"/>
    </row>
    <row r="446" spans="1:2" ht="13" x14ac:dyDescent="0.15">
      <c r="A446" s="143"/>
      <c r="B446" s="150"/>
    </row>
    <row r="447" spans="1:2" ht="13" x14ac:dyDescent="0.15">
      <c r="A447" s="143"/>
      <c r="B447" s="150"/>
    </row>
    <row r="448" spans="1:2" ht="13" x14ac:dyDescent="0.15">
      <c r="A448" s="143"/>
      <c r="B448" s="150"/>
    </row>
    <row r="449" spans="1:2" ht="13" x14ac:dyDescent="0.15">
      <c r="A449" s="143"/>
      <c r="B449" s="150"/>
    </row>
    <row r="450" spans="1:2" ht="13" x14ac:dyDescent="0.15">
      <c r="A450" s="143"/>
      <c r="B450" s="150"/>
    </row>
    <row r="451" spans="1:2" ht="13" x14ac:dyDescent="0.15">
      <c r="A451" s="143"/>
      <c r="B451" s="150"/>
    </row>
    <row r="452" spans="1:2" ht="13" x14ac:dyDescent="0.15">
      <c r="A452" s="143"/>
      <c r="B452" s="150"/>
    </row>
    <row r="453" spans="1:2" ht="13" x14ac:dyDescent="0.15">
      <c r="A453" s="143"/>
      <c r="B453" s="150"/>
    </row>
    <row r="454" spans="1:2" ht="13" x14ac:dyDescent="0.15">
      <c r="A454" s="143"/>
      <c r="B454" s="150"/>
    </row>
    <row r="455" spans="1:2" ht="13" x14ac:dyDescent="0.15">
      <c r="A455" s="143"/>
      <c r="B455" s="150"/>
    </row>
    <row r="456" spans="1:2" ht="13" x14ac:dyDescent="0.15">
      <c r="A456" s="143"/>
      <c r="B456" s="150"/>
    </row>
    <row r="457" spans="1:2" ht="13" x14ac:dyDescent="0.15">
      <c r="A457" s="143"/>
      <c r="B457" s="150"/>
    </row>
    <row r="458" spans="1:2" ht="13" x14ac:dyDescent="0.15">
      <c r="A458" s="143"/>
      <c r="B458" s="150"/>
    </row>
    <row r="459" spans="1:2" ht="13" x14ac:dyDescent="0.15">
      <c r="A459" s="143"/>
      <c r="B459" s="150"/>
    </row>
    <row r="460" spans="1:2" ht="13" x14ac:dyDescent="0.15">
      <c r="A460" s="143"/>
      <c r="B460" s="150"/>
    </row>
    <row r="461" spans="1:2" ht="13" x14ac:dyDescent="0.15">
      <c r="A461" s="143"/>
      <c r="B461" s="150"/>
    </row>
    <row r="462" spans="1:2" ht="13" x14ac:dyDescent="0.15">
      <c r="A462" s="143"/>
      <c r="B462" s="150"/>
    </row>
    <row r="463" spans="1:2" ht="13" x14ac:dyDescent="0.15">
      <c r="A463" s="143"/>
      <c r="B463" s="150"/>
    </row>
    <row r="464" spans="1:2" ht="13" x14ac:dyDescent="0.15">
      <c r="A464" s="143"/>
      <c r="B464" s="150"/>
    </row>
    <row r="465" spans="1:2" ht="13" x14ac:dyDescent="0.15">
      <c r="A465" s="143"/>
      <c r="B465" s="150"/>
    </row>
    <row r="466" spans="1:2" ht="13" x14ac:dyDescent="0.15">
      <c r="A466" s="143"/>
      <c r="B466" s="150"/>
    </row>
    <row r="467" spans="1:2" ht="13" x14ac:dyDescent="0.15">
      <c r="A467" s="143"/>
      <c r="B467" s="150"/>
    </row>
    <row r="468" spans="1:2" ht="13" x14ac:dyDescent="0.15">
      <c r="A468" s="143"/>
      <c r="B468" s="150"/>
    </row>
    <row r="469" spans="1:2" ht="13" x14ac:dyDescent="0.15">
      <c r="A469" s="143"/>
      <c r="B469" s="150"/>
    </row>
    <row r="470" spans="1:2" ht="13" x14ac:dyDescent="0.15">
      <c r="A470" s="143"/>
      <c r="B470" s="150"/>
    </row>
    <row r="471" spans="1:2" ht="13" x14ac:dyDescent="0.15">
      <c r="A471" s="143"/>
      <c r="B471" s="150"/>
    </row>
    <row r="472" spans="1:2" ht="13" x14ac:dyDescent="0.15">
      <c r="A472" s="143"/>
      <c r="B472" s="150"/>
    </row>
    <row r="473" spans="1:2" ht="13" x14ac:dyDescent="0.15">
      <c r="A473" s="143"/>
      <c r="B473" s="150"/>
    </row>
    <row r="474" spans="1:2" ht="13" x14ac:dyDescent="0.15">
      <c r="A474" s="143"/>
      <c r="B474" s="150"/>
    </row>
    <row r="475" spans="1:2" ht="13" x14ac:dyDescent="0.15">
      <c r="A475" s="143"/>
      <c r="B475" s="150"/>
    </row>
    <row r="476" spans="1:2" ht="13" x14ac:dyDescent="0.15">
      <c r="A476" s="143"/>
      <c r="B476" s="150"/>
    </row>
    <row r="477" spans="1:2" ht="13" x14ac:dyDescent="0.15">
      <c r="A477" s="143"/>
      <c r="B477" s="150"/>
    </row>
    <row r="478" spans="1:2" ht="13" x14ac:dyDescent="0.15">
      <c r="A478" s="143"/>
      <c r="B478" s="150"/>
    </row>
    <row r="479" spans="1:2" ht="13" x14ac:dyDescent="0.15">
      <c r="A479" s="143"/>
      <c r="B479" s="150"/>
    </row>
    <row r="480" spans="1:2" ht="13" x14ac:dyDescent="0.15">
      <c r="A480" s="143"/>
      <c r="B480" s="150"/>
    </row>
    <row r="481" spans="1:2" ht="13" x14ac:dyDescent="0.15">
      <c r="A481" s="143"/>
      <c r="B481" s="150"/>
    </row>
    <row r="482" spans="1:2" ht="13" x14ac:dyDescent="0.15">
      <c r="A482" s="143"/>
      <c r="B482" s="150"/>
    </row>
    <row r="483" spans="1:2" ht="13" x14ac:dyDescent="0.15">
      <c r="A483" s="143"/>
      <c r="B483" s="150"/>
    </row>
    <row r="484" spans="1:2" ht="13" x14ac:dyDescent="0.15">
      <c r="A484" s="143"/>
      <c r="B484" s="150"/>
    </row>
    <row r="485" spans="1:2" ht="13" x14ac:dyDescent="0.15">
      <c r="A485" s="143"/>
      <c r="B485" s="150"/>
    </row>
    <row r="486" spans="1:2" ht="13" x14ac:dyDescent="0.15">
      <c r="A486" s="143"/>
      <c r="B486" s="150"/>
    </row>
    <row r="487" spans="1:2" ht="13" x14ac:dyDescent="0.15">
      <c r="A487" s="143"/>
      <c r="B487" s="150"/>
    </row>
    <row r="488" spans="1:2" ht="13" x14ac:dyDescent="0.15">
      <c r="A488" s="143"/>
      <c r="B488" s="150"/>
    </row>
    <row r="489" spans="1:2" ht="13" x14ac:dyDescent="0.15">
      <c r="A489" s="143"/>
      <c r="B489" s="150"/>
    </row>
    <row r="490" spans="1:2" ht="13" x14ac:dyDescent="0.15">
      <c r="A490" s="143"/>
      <c r="B490" s="150"/>
    </row>
    <row r="491" spans="1:2" ht="13" x14ac:dyDescent="0.15">
      <c r="A491" s="143"/>
      <c r="B491" s="150"/>
    </row>
    <row r="492" spans="1:2" ht="13" x14ac:dyDescent="0.15">
      <c r="A492" s="143"/>
      <c r="B492" s="150"/>
    </row>
    <row r="493" spans="1:2" ht="13" x14ac:dyDescent="0.15">
      <c r="A493" s="143"/>
      <c r="B493" s="150"/>
    </row>
    <row r="494" spans="1:2" ht="13" x14ac:dyDescent="0.15">
      <c r="A494" s="143"/>
      <c r="B494" s="150"/>
    </row>
    <row r="495" spans="1:2" ht="13" x14ac:dyDescent="0.15">
      <c r="A495" s="143"/>
      <c r="B495" s="150"/>
    </row>
    <row r="496" spans="1:2" ht="13" x14ac:dyDescent="0.15">
      <c r="A496" s="143"/>
      <c r="B496" s="150"/>
    </row>
    <row r="497" spans="1:2" ht="13" x14ac:dyDescent="0.15">
      <c r="A497" s="143"/>
      <c r="B497" s="150"/>
    </row>
    <row r="498" spans="1:2" ht="13" x14ac:dyDescent="0.15">
      <c r="A498" s="143"/>
      <c r="B498" s="150"/>
    </row>
    <row r="499" spans="1:2" ht="13" x14ac:dyDescent="0.15">
      <c r="A499" s="143"/>
      <c r="B499" s="150"/>
    </row>
    <row r="500" spans="1:2" ht="13" x14ac:dyDescent="0.15">
      <c r="A500" s="143"/>
      <c r="B500" s="150"/>
    </row>
    <row r="501" spans="1:2" ht="13" x14ac:dyDescent="0.15">
      <c r="A501" s="143"/>
      <c r="B501" s="150"/>
    </row>
    <row r="502" spans="1:2" ht="13" x14ac:dyDescent="0.15">
      <c r="A502" s="143"/>
      <c r="B502" s="150"/>
    </row>
    <row r="503" spans="1:2" ht="13" x14ac:dyDescent="0.15">
      <c r="A503" s="143"/>
      <c r="B503" s="150"/>
    </row>
    <row r="504" spans="1:2" ht="13" x14ac:dyDescent="0.15">
      <c r="A504" s="143"/>
      <c r="B504" s="150"/>
    </row>
    <row r="505" spans="1:2" ht="13" x14ac:dyDescent="0.15">
      <c r="A505" s="143"/>
      <c r="B505" s="150"/>
    </row>
    <row r="506" spans="1:2" ht="13" x14ac:dyDescent="0.15">
      <c r="A506" s="143"/>
      <c r="B506" s="150"/>
    </row>
    <row r="507" spans="1:2" ht="13" x14ac:dyDescent="0.15">
      <c r="A507" s="143"/>
      <c r="B507" s="150"/>
    </row>
    <row r="508" spans="1:2" ht="13" x14ac:dyDescent="0.15">
      <c r="A508" s="143"/>
      <c r="B508" s="150"/>
    </row>
    <row r="509" spans="1:2" ht="13" x14ac:dyDescent="0.15">
      <c r="A509" s="143"/>
      <c r="B509" s="150"/>
    </row>
    <row r="510" spans="1:2" ht="13" x14ac:dyDescent="0.15">
      <c r="A510" s="143"/>
      <c r="B510" s="150"/>
    </row>
    <row r="511" spans="1:2" ht="13" x14ac:dyDescent="0.15">
      <c r="A511" s="143"/>
      <c r="B511" s="150"/>
    </row>
    <row r="512" spans="1:2" ht="13" x14ac:dyDescent="0.15">
      <c r="A512" s="143"/>
      <c r="B512" s="150"/>
    </row>
    <row r="513" spans="1:2" ht="13" x14ac:dyDescent="0.15">
      <c r="A513" s="143"/>
      <c r="B513" s="150"/>
    </row>
    <row r="514" spans="1:2" ht="13" x14ac:dyDescent="0.15">
      <c r="A514" s="143"/>
      <c r="B514" s="150"/>
    </row>
    <row r="515" spans="1:2" ht="13" x14ac:dyDescent="0.15">
      <c r="A515" s="143"/>
      <c r="B515" s="150"/>
    </row>
    <row r="516" spans="1:2" ht="13" x14ac:dyDescent="0.15">
      <c r="A516" s="143"/>
      <c r="B516" s="150"/>
    </row>
    <row r="517" spans="1:2" ht="13" x14ac:dyDescent="0.15">
      <c r="A517" s="143"/>
      <c r="B517" s="150"/>
    </row>
    <row r="518" spans="1:2" ht="13" x14ac:dyDescent="0.15">
      <c r="A518" s="143"/>
      <c r="B518" s="150"/>
    </row>
    <row r="519" spans="1:2" ht="13" x14ac:dyDescent="0.15">
      <c r="A519" s="143"/>
      <c r="B519" s="150"/>
    </row>
    <row r="520" spans="1:2" ht="13" x14ac:dyDescent="0.15">
      <c r="A520" s="143"/>
      <c r="B520" s="150"/>
    </row>
    <row r="521" spans="1:2" ht="13" x14ac:dyDescent="0.15">
      <c r="A521" s="143"/>
      <c r="B521" s="150"/>
    </row>
    <row r="522" spans="1:2" ht="13" x14ac:dyDescent="0.15">
      <c r="A522" s="143"/>
      <c r="B522" s="150"/>
    </row>
    <row r="523" spans="1:2" ht="13" x14ac:dyDescent="0.15">
      <c r="A523" s="143"/>
      <c r="B523" s="150"/>
    </row>
    <row r="524" spans="1:2" ht="13" x14ac:dyDescent="0.15">
      <c r="A524" s="143"/>
      <c r="B524" s="150"/>
    </row>
    <row r="525" spans="1:2" ht="13" x14ac:dyDescent="0.15">
      <c r="A525" s="143"/>
      <c r="B525" s="150"/>
    </row>
    <row r="526" spans="1:2" ht="13" x14ac:dyDescent="0.15">
      <c r="A526" s="143"/>
      <c r="B526" s="150"/>
    </row>
    <row r="527" spans="1:2" ht="13" x14ac:dyDescent="0.15">
      <c r="A527" s="143"/>
      <c r="B527" s="150"/>
    </row>
    <row r="528" spans="1:2" ht="13" x14ac:dyDescent="0.15">
      <c r="A528" s="143"/>
      <c r="B528" s="150"/>
    </row>
    <row r="529" spans="1:2" ht="13" x14ac:dyDescent="0.15">
      <c r="A529" s="143"/>
      <c r="B529" s="150"/>
    </row>
    <row r="530" spans="1:2" ht="13" x14ac:dyDescent="0.15">
      <c r="A530" s="143"/>
      <c r="B530" s="150"/>
    </row>
    <row r="531" spans="1:2" ht="13" x14ac:dyDescent="0.15">
      <c r="A531" s="143"/>
      <c r="B531" s="150"/>
    </row>
    <row r="532" spans="1:2" ht="13" x14ac:dyDescent="0.15">
      <c r="A532" s="143"/>
      <c r="B532" s="150"/>
    </row>
    <row r="533" spans="1:2" ht="13" x14ac:dyDescent="0.15">
      <c r="A533" s="143"/>
      <c r="B533" s="150"/>
    </row>
    <row r="534" spans="1:2" ht="13" x14ac:dyDescent="0.15">
      <c r="A534" s="143"/>
      <c r="B534" s="150"/>
    </row>
    <row r="535" spans="1:2" ht="13" x14ac:dyDescent="0.15">
      <c r="A535" s="143"/>
      <c r="B535" s="150"/>
    </row>
    <row r="536" spans="1:2" ht="13" x14ac:dyDescent="0.15">
      <c r="A536" s="143"/>
      <c r="B536" s="150"/>
    </row>
    <row r="537" spans="1:2" ht="13" x14ac:dyDescent="0.15">
      <c r="A537" s="143"/>
      <c r="B537" s="150"/>
    </row>
    <row r="538" spans="1:2" ht="13" x14ac:dyDescent="0.15">
      <c r="A538" s="143"/>
      <c r="B538" s="150"/>
    </row>
    <row r="539" spans="1:2" ht="13" x14ac:dyDescent="0.15">
      <c r="A539" s="143"/>
      <c r="B539" s="150"/>
    </row>
    <row r="540" spans="1:2" ht="13" x14ac:dyDescent="0.15">
      <c r="A540" s="143"/>
      <c r="B540" s="150"/>
    </row>
    <row r="541" spans="1:2" ht="13" x14ac:dyDescent="0.15">
      <c r="A541" s="143"/>
      <c r="B541" s="150"/>
    </row>
    <row r="542" spans="1:2" ht="13" x14ac:dyDescent="0.15">
      <c r="A542" s="143"/>
      <c r="B542" s="150"/>
    </row>
    <row r="543" spans="1:2" ht="13" x14ac:dyDescent="0.15">
      <c r="A543" s="143"/>
      <c r="B543" s="150"/>
    </row>
    <row r="544" spans="1:2" ht="13" x14ac:dyDescent="0.15">
      <c r="A544" s="143"/>
      <c r="B544" s="150"/>
    </row>
    <row r="545" spans="1:2" ht="13" x14ac:dyDescent="0.15">
      <c r="A545" s="143"/>
      <c r="B545" s="150"/>
    </row>
    <row r="546" spans="1:2" ht="13" x14ac:dyDescent="0.15">
      <c r="A546" s="143"/>
      <c r="B546" s="150"/>
    </row>
    <row r="547" spans="1:2" ht="13" x14ac:dyDescent="0.15">
      <c r="A547" s="143"/>
      <c r="B547" s="150"/>
    </row>
    <row r="548" spans="1:2" ht="13" x14ac:dyDescent="0.15">
      <c r="A548" s="143"/>
      <c r="B548" s="150"/>
    </row>
    <row r="549" spans="1:2" ht="13" x14ac:dyDescent="0.15">
      <c r="A549" s="143"/>
      <c r="B549" s="150"/>
    </row>
    <row r="550" spans="1:2" ht="13" x14ac:dyDescent="0.15">
      <c r="A550" s="143"/>
      <c r="B550" s="150"/>
    </row>
    <row r="551" spans="1:2" ht="13" x14ac:dyDescent="0.15">
      <c r="A551" s="143"/>
      <c r="B551" s="150"/>
    </row>
    <row r="552" spans="1:2" ht="13" x14ac:dyDescent="0.15">
      <c r="A552" s="143"/>
      <c r="B552" s="150"/>
    </row>
    <row r="553" spans="1:2" ht="13" x14ac:dyDescent="0.15">
      <c r="A553" s="143"/>
      <c r="B553" s="150"/>
    </row>
    <row r="554" spans="1:2" ht="13" x14ac:dyDescent="0.15">
      <c r="A554" s="143"/>
      <c r="B554" s="150"/>
    </row>
    <row r="555" spans="1:2" ht="13" x14ac:dyDescent="0.15">
      <c r="A555" s="143"/>
      <c r="B555" s="150"/>
    </row>
    <row r="556" spans="1:2" ht="13" x14ac:dyDescent="0.15">
      <c r="A556" s="143"/>
      <c r="B556" s="150"/>
    </row>
    <row r="557" spans="1:2" ht="13" x14ac:dyDescent="0.15">
      <c r="A557" s="143"/>
      <c r="B557" s="150"/>
    </row>
    <row r="558" spans="1:2" ht="13" x14ac:dyDescent="0.15">
      <c r="A558" s="143"/>
      <c r="B558" s="150"/>
    </row>
    <row r="559" spans="1:2" ht="13" x14ac:dyDescent="0.15">
      <c r="A559" s="143"/>
      <c r="B559" s="150"/>
    </row>
    <row r="560" spans="1:2" ht="13" x14ac:dyDescent="0.15">
      <c r="A560" s="143"/>
      <c r="B560" s="150"/>
    </row>
    <row r="561" spans="1:2" ht="13" x14ac:dyDescent="0.15">
      <c r="A561" s="143"/>
      <c r="B561" s="150"/>
    </row>
    <row r="562" spans="1:2" ht="13" x14ac:dyDescent="0.15">
      <c r="A562" s="143"/>
      <c r="B562" s="150"/>
    </row>
    <row r="563" spans="1:2" ht="13" x14ac:dyDescent="0.15">
      <c r="A563" s="143"/>
      <c r="B563" s="150"/>
    </row>
    <row r="564" spans="1:2" ht="13" x14ac:dyDescent="0.15">
      <c r="A564" s="143"/>
      <c r="B564" s="150"/>
    </row>
    <row r="565" spans="1:2" ht="13" x14ac:dyDescent="0.15">
      <c r="A565" s="143"/>
      <c r="B565" s="150"/>
    </row>
    <row r="566" spans="1:2" ht="13" x14ac:dyDescent="0.15">
      <c r="A566" s="143"/>
      <c r="B566" s="150"/>
    </row>
    <row r="567" spans="1:2" ht="13" x14ac:dyDescent="0.15">
      <c r="A567" s="143"/>
      <c r="B567" s="150"/>
    </row>
    <row r="568" spans="1:2" ht="13" x14ac:dyDescent="0.15">
      <c r="A568" s="143"/>
      <c r="B568" s="150"/>
    </row>
    <row r="569" spans="1:2" ht="13" x14ac:dyDescent="0.15">
      <c r="A569" s="143"/>
      <c r="B569" s="150"/>
    </row>
    <row r="570" spans="1:2" ht="13" x14ac:dyDescent="0.15">
      <c r="A570" s="143"/>
      <c r="B570" s="150"/>
    </row>
    <row r="571" spans="1:2" ht="13" x14ac:dyDescent="0.15">
      <c r="A571" s="143"/>
      <c r="B571" s="150"/>
    </row>
    <row r="572" spans="1:2" ht="13" x14ac:dyDescent="0.15">
      <c r="A572" s="143"/>
      <c r="B572" s="150"/>
    </row>
    <row r="573" spans="1:2" ht="13" x14ac:dyDescent="0.15">
      <c r="A573" s="143"/>
      <c r="B573" s="150"/>
    </row>
    <row r="574" spans="1:2" ht="13" x14ac:dyDescent="0.15">
      <c r="A574" s="143"/>
      <c r="B574" s="150"/>
    </row>
    <row r="575" spans="1:2" ht="13" x14ac:dyDescent="0.15">
      <c r="A575" s="143"/>
      <c r="B575" s="150"/>
    </row>
    <row r="576" spans="1:2" ht="13" x14ac:dyDescent="0.15">
      <c r="A576" s="143"/>
      <c r="B576" s="150"/>
    </row>
    <row r="577" spans="1:2" ht="13" x14ac:dyDescent="0.15">
      <c r="A577" s="143"/>
      <c r="B577" s="150"/>
    </row>
    <row r="578" spans="1:2" ht="13" x14ac:dyDescent="0.15">
      <c r="A578" s="143"/>
      <c r="B578" s="150"/>
    </row>
    <row r="579" spans="1:2" ht="13" x14ac:dyDescent="0.15">
      <c r="A579" s="143"/>
      <c r="B579" s="150"/>
    </row>
    <row r="580" spans="1:2" ht="13" x14ac:dyDescent="0.15">
      <c r="A580" s="143"/>
      <c r="B580" s="150"/>
    </row>
    <row r="581" spans="1:2" ht="13" x14ac:dyDescent="0.15">
      <c r="A581" s="143"/>
      <c r="B581" s="150"/>
    </row>
    <row r="582" spans="1:2" ht="13" x14ac:dyDescent="0.15">
      <c r="A582" s="143"/>
      <c r="B582" s="150"/>
    </row>
    <row r="583" spans="1:2" ht="13" x14ac:dyDescent="0.15">
      <c r="A583" s="143"/>
      <c r="B583" s="150"/>
    </row>
    <row r="584" spans="1:2" ht="13" x14ac:dyDescent="0.15">
      <c r="A584" s="143"/>
      <c r="B584" s="150"/>
    </row>
    <row r="585" spans="1:2" ht="13" x14ac:dyDescent="0.15">
      <c r="A585" s="143"/>
      <c r="B585" s="150"/>
    </row>
    <row r="586" spans="1:2" ht="13" x14ac:dyDescent="0.15">
      <c r="A586" s="143"/>
      <c r="B586" s="150"/>
    </row>
    <row r="587" spans="1:2" ht="13" x14ac:dyDescent="0.15">
      <c r="A587" s="143"/>
      <c r="B587" s="150"/>
    </row>
    <row r="588" spans="1:2" ht="13" x14ac:dyDescent="0.15">
      <c r="A588" s="143"/>
      <c r="B588" s="150"/>
    </row>
    <row r="589" spans="1:2" ht="13" x14ac:dyDescent="0.15">
      <c r="A589" s="143"/>
      <c r="B589" s="150"/>
    </row>
    <row r="590" spans="1:2" ht="13" x14ac:dyDescent="0.15">
      <c r="A590" s="143"/>
      <c r="B590" s="150"/>
    </row>
    <row r="591" spans="1:2" ht="13" x14ac:dyDescent="0.15">
      <c r="A591" s="143"/>
      <c r="B591" s="150"/>
    </row>
    <row r="592" spans="1:2" ht="13" x14ac:dyDescent="0.15">
      <c r="A592" s="143"/>
      <c r="B592" s="150"/>
    </row>
    <row r="593" spans="1:2" ht="13" x14ac:dyDescent="0.15">
      <c r="A593" s="143"/>
      <c r="B593" s="150"/>
    </row>
    <row r="594" spans="1:2" ht="13" x14ac:dyDescent="0.15">
      <c r="A594" s="143"/>
      <c r="B594" s="150"/>
    </row>
    <row r="595" spans="1:2" ht="13" x14ac:dyDescent="0.15">
      <c r="A595" s="143"/>
      <c r="B595" s="150"/>
    </row>
    <row r="596" spans="1:2" ht="13" x14ac:dyDescent="0.15">
      <c r="A596" s="143"/>
      <c r="B596" s="150"/>
    </row>
    <row r="597" spans="1:2" ht="13" x14ac:dyDescent="0.15">
      <c r="A597" s="143"/>
      <c r="B597" s="150"/>
    </row>
    <row r="598" spans="1:2" ht="13" x14ac:dyDescent="0.15">
      <c r="A598" s="143"/>
      <c r="B598" s="150"/>
    </row>
    <row r="599" spans="1:2" ht="13" x14ac:dyDescent="0.15">
      <c r="A599" s="143"/>
      <c r="B599" s="150"/>
    </row>
    <row r="600" spans="1:2" ht="13" x14ac:dyDescent="0.15">
      <c r="A600" s="143"/>
      <c r="B600" s="150"/>
    </row>
    <row r="601" spans="1:2" ht="13" x14ac:dyDescent="0.15">
      <c r="A601" s="143"/>
      <c r="B601" s="150"/>
    </row>
    <row r="602" spans="1:2" ht="13" x14ac:dyDescent="0.15">
      <c r="A602" s="143"/>
      <c r="B602" s="150"/>
    </row>
    <row r="603" spans="1:2" ht="13" x14ac:dyDescent="0.15">
      <c r="A603" s="143"/>
      <c r="B603" s="150"/>
    </row>
    <row r="604" spans="1:2" ht="13" x14ac:dyDescent="0.15">
      <c r="A604" s="143"/>
      <c r="B604" s="150"/>
    </row>
    <row r="605" spans="1:2" ht="13" x14ac:dyDescent="0.15">
      <c r="A605" s="143"/>
      <c r="B605" s="150"/>
    </row>
    <row r="606" spans="1:2" ht="13" x14ac:dyDescent="0.15">
      <c r="A606" s="143"/>
      <c r="B606" s="150"/>
    </row>
    <row r="607" spans="1:2" ht="13" x14ac:dyDescent="0.15">
      <c r="A607" s="143"/>
      <c r="B607" s="150"/>
    </row>
    <row r="608" spans="1:2" ht="13" x14ac:dyDescent="0.15">
      <c r="A608" s="143"/>
      <c r="B608" s="150"/>
    </row>
    <row r="609" spans="1:2" ht="13" x14ac:dyDescent="0.15">
      <c r="A609" s="143"/>
      <c r="B609" s="150"/>
    </row>
    <row r="610" spans="1:2" ht="13" x14ac:dyDescent="0.15">
      <c r="A610" s="143"/>
      <c r="B610" s="150"/>
    </row>
    <row r="611" spans="1:2" ht="13" x14ac:dyDescent="0.15">
      <c r="A611" s="143"/>
      <c r="B611" s="150"/>
    </row>
    <row r="612" spans="1:2" ht="13" x14ac:dyDescent="0.15">
      <c r="A612" s="143"/>
      <c r="B612" s="150"/>
    </row>
    <row r="613" spans="1:2" ht="13" x14ac:dyDescent="0.15">
      <c r="A613" s="143"/>
      <c r="B613" s="150"/>
    </row>
    <row r="614" spans="1:2" ht="13" x14ac:dyDescent="0.15">
      <c r="A614" s="143"/>
      <c r="B614" s="150"/>
    </row>
    <row r="615" spans="1:2" ht="13" x14ac:dyDescent="0.15">
      <c r="A615" s="143"/>
      <c r="B615" s="150"/>
    </row>
    <row r="616" spans="1:2" ht="13" x14ac:dyDescent="0.15">
      <c r="A616" s="143"/>
      <c r="B616" s="150"/>
    </row>
    <row r="617" spans="1:2" ht="13" x14ac:dyDescent="0.15">
      <c r="A617" s="143"/>
      <c r="B617" s="150"/>
    </row>
    <row r="618" spans="1:2" ht="13" x14ac:dyDescent="0.15">
      <c r="A618" s="143"/>
      <c r="B618" s="150"/>
    </row>
    <row r="619" spans="1:2" ht="13" x14ac:dyDescent="0.15">
      <c r="A619" s="143"/>
      <c r="B619" s="150"/>
    </row>
    <row r="620" spans="1:2" ht="13" x14ac:dyDescent="0.15">
      <c r="A620" s="143"/>
      <c r="B620" s="150"/>
    </row>
    <row r="621" spans="1:2" ht="13" x14ac:dyDescent="0.15">
      <c r="A621" s="143"/>
      <c r="B621" s="150"/>
    </row>
    <row r="622" spans="1:2" ht="13" x14ac:dyDescent="0.15">
      <c r="A622" s="143"/>
      <c r="B622" s="150"/>
    </row>
    <row r="623" spans="1:2" ht="13" x14ac:dyDescent="0.15">
      <c r="A623" s="143"/>
      <c r="B623" s="150"/>
    </row>
    <row r="624" spans="1:2" ht="13" x14ac:dyDescent="0.15">
      <c r="A624" s="143"/>
      <c r="B624" s="150"/>
    </row>
    <row r="625" spans="1:2" ht="13" x14ac:dyDescent="0.15">
      <c r="A625" s="143"/>
      <c r="B625" s="150"/>
    </row>
    <row r="626" spans="1:2" ht="13" x14ac:dyDescent="0.15">
      <c r="A626" s="143"/>
      <c r="B626" s="150"/>
    </row>
    <row r="627" spans="1:2" ht="13" x14ac:dyDescent="0.15">
      <c r="A627" s="143"/>
      <c r="B627" s="150"/>
    </row>
    <row r="628" spans="1:2" ht="13" x14ac:dyDescent="0.15">
      <c r="A628" s="143"/>
      <c r="B628" s="150"/>
    </row>
    <row r="629" spans="1:2" ht="13" x14ac:dyDescent="0.15">
      <c r="A629" s="143"/>
      <c r="B629" s="150"/>
    </row>
    <row r="630" spans="1:2" ht="13" x14ac:dyDescent="0.15">
      <c r="A630" s="143"/>
      <c r="B630" s="150"/>
    </row>
    <row r="631" spans="1:2" ht="13" x14ac:dyDescent="0.15">
      <c r="A631" s="143"/>
      <c r="B631" s="150"/>
    </row>
    <row r="632" spans="1:2" ht="13" x14ac:dyDescent="0.15">
      <c r="A632" s="143"/>
      <c r="B632" s="150"/>
    </row>
    <row r="633" spans="1:2" ht="13" x14ac:dyDescent="0.15">
      <c r="A633" s="143"/>
      <c r="B633" s="150"/>
    </row>
    <row r="634" spans="1:2" ht="13" x14ac:dyDescent="0.15">
      <c r="A634" s="143"/>
      <c r="B634" s="150"/>
    </row>
    <row r="635" spans="1:2" ht="13" x14ac:dyDescent="0.15">
      <c r="A635" s="143"/>
      <c r="B635" s="150"/>
    </row>
    <row r="636" spans="1:2" ht="13" x14ac:dyDescent="0.15">
      <c r="A636" s="143"/>
      <c r="B636" s="150"/>
    </row>
    <row r="637" spans="1:2" ht="13" x14ac:dyDescent="0.15">
      <c r="A637" s="143"/>
      <c r="B637" s="150"/>
    </row>
    <row r="638" spans="1:2" ht="13" x14ac:dyDescent="0.15">
      <c r="A638" s="143"/>
      <c r="B638" s="150"/>
    </row>
    <row r="639" spans="1:2" ht="13" x14ac:dyDescent="0.15">
      <c r="A639" s="143"/>
      <c r="B639" s="150"/>
    </row>
    <row r="640" spans="1:2" ht="13" x14ac:dyDescent="0.15">
      <c r="A640" s="143"/>
      <c r="B640" s="150"/>
    </row>
    <row r="641" spans="1:2" ht="13" x14ac:dyDescent="0.15">
      <c r="A641" s="143"/>
      <c r="B641" s="150"/>
    </row>
    <row r="642" spans="1:2" ht="13" x14ac:dyDescent="0.15">
      <c r="A642" s="143"/>
      <c r="B642" s="150"/>
    </row>
    <row r="643" spans="1:2" ht="13" x14ac:dyDescent="0.15">
      <c r="A643" s="143"/>
      <c r="B643" s="150"/>
    </row>
    <row r="644" spans="1:2" ht="13" x14ac:dyDescent="0.15">
      <c r="A644" s="143"/>
      <c r="B644" s="150"/>
    </row>
    <row r="645" spans="1:2" ht="13" x14ac:dyDescent="0.15">
      <c r="A645" s="143"/>
      <c r="B645" s="150"/>
    </row>
    <row r="646" spans="1:2" ht="13" x14ac:dyDescent="0.15">
      <c r="A646" s="143"/>
      <c r="B646" s="150"/>
    </row>
    <row r="647" spans="1:2" ht="13" x14ac:dyDescent="0.15">
      <c r="A647" s="143"/>
      <c r="B647" s="150"/>
    </row>
    <row r="648" spans="1:2" ht="13" x14ac:dyDescent="0.15">
      <c r="A648" s="143"/>
      <c r="B648" s="150"/>
    </row>
    <row r="649" spans="1:2" ht="13" x14ac:dyDescent="0.15">
      <c r="A649" s="143"/>
      <c r="B649" s="150"/>
    </row>
    <row r="650" spans="1:2" ht="13" x14ac:dyDescent="0.15">
      <c r="A650" s="143"/>
      <c r="B650" s="150"/>
    </row>
    <row r="651" spans="1:2" ht="13" x14ac:dyDescent="0.15">
      <c r="A651" s="143"/>
      <c r="B651" s="150"/>
    </row>
    <row r="652" spans="1:2" ht="13" x14ac:dyDescent="0.15">
      <c r="A652" s="143"/>
      <c r="B652" s="150"/>
    </row>
    <row r="653" spans="1:2" ht="13" x14ac:dyDescent="0.15">
      <c r="A653" s="143"/>
      <c r="B653" s="150"/>
    </row>
    <row r="654" spans="1:2" ht="13" x14ac:dyDescent="0.15">
      <c r="A654" s="143"/>
      <c r="B654" s="150"/>
    </row>
    <row r="655" spans="1:2" ht="13" x14ac:dyDescent="0.15">
      <c r="A655" s="143"/>
      <c r="B655" s="150"/>
    </row>
    <row r="656" spans="1:2" ht="13" x14ac:dyDescent="0.15">
      <c r="A656" s="143"/>
      <c r="B656" s="150"/>
    </row>
    <row r="657" spans="1:2" ht="13" x14ac:dyDescent="0.15">
      <c r="A657" s="143"/>
      <c r="B657" s="150"/>
    </row>
    <row r="658" spans="1:2" ht="13" x14ac:dyDescent="0.15">
      <c r="A658" s="143"/>
      <c r="B658" s="150"/>
    </row>
    <row r="659" spans="1:2" ht="13" x14ac:dyDescent="0.15">
      <c r="A659" s="143"/>
      <c r="B659" s="150"/>
    </row>
    <row r="660" spans="1:2" ht="13" x14ac:dyDescent="0.15">
      <c r="A660" s="143"/>
      <c r="B660" s="150"/>
    </row>
    <row r="661" spans="1:2" ht="13" x14ac:dyDescent="0.15">
      <c r="A661" s="143"/>
      <c r="B661" s="150"/>
    </row>
    <row r="662" spans="1:2" ht="13" x14ac:dyDescent="0.15">
      <c r="A662" s="143"/>
      <c r="B662" s="150"/>
    </row>
    <row r="663" spans="1:2" ht="13" x14ac:dyDescent="0.15">
      <c r="A663" s="143"/>
      <c r="B663" s="150"/>
    </row>
    <row r="664" spans="1:2" ht="13" x14ac:dyDescent="0.15">
      <c r="A664" s="143"/>
      <c r="B664" s="150"/>
    </row>
    <row r="665" spans="1:2" ht="13" x14ac:dyDescent="0.15">
      <c r="A665" s="143"/>
      <c r="B665" s="150"/>
    </row>
    <row r="666" spans="1:2" ht="13" x14ac:dyDescent="0.15">
      <c r="A666" s="143"/>
      <c r="B666" s="150"/>
    </row>
    <row r="667" spans="1:2" ht="13" x14ac:dyDescent="0.15">
      <c r="A667" s="143"/>
      <c r="B667" s="150"/>
    </row>
    <row r="668" spans="1:2" ht="13" x14ac:dyDescent="0.15">
      <c r="A668" s="143"/>
      <c r="B668" s="150"/>
    </row>
    <row r="669" spans="1:2" ht="13" x14ac:dyDescent="0.15">
      <c r="A669" s="143"/>
      <c r="B669" s="150"/>
    </row>
    <row r="670" spans="1:2" ht="13" x14ac:dyDescent="0.15">
      <c r="A670" s="143"/>
      <c r="B670" s="150"/>
    </row>
    <row r="671" spans="1:2" ht="13" x14ac:dyDescent="0.15">
      <c r="A671" s="143"/>
      <c r="B671" s="150"/>
    </row>
    <row r="672" spans="1:2" ht="13" x14ac:dyDescent="0.15">
      <c r="A672" s="143"/>
      <c r="B672" s="150"/>
    </row>
    <row r="673" spans="1:2" ht="13" x14ac:dyDescent="0.15">
      <c r="A673" s="143"/>
      <c r="B673" s="150"/>
    </row>
    <row r="674" spans="1:2" ht="13" x14ac:dyDescent="0.15">
      <c r="A674" s="143"/>
      <c r="B674" s="150"/>
    </row>
    <row r="675" spans="1:2" ht="13" x14ac:dyDescent="0.15">
      <c r="A675" s="143"/>
      <c r="B675" s="150"/>
    </row>
    <row r="676" spans="1:2" ht="13" x14ac:dyDescent="0.15">
      <c r="A676" s="143"/>
      <c r="B676" s="150"/>
    </row>
    <row r="677" spans="1:2" ht="13" x14ac:dyDescent="0.15">
      <c r="A677" s="143"/>
      <c r="B677" s="150"/>
    </row>
    <row r="678" spans="1:2" ht="13" x14ac:dyDescent="0.15">
      <c r="A678" s="143"/>
      <c r="B678" s="150"/>
    </row>
    <row r="679" spans="1:2" ht="13" x14ac:dyDescent="0.15">
      <c r="A679" s="143"/>
      <c r="B679" s="150"/>
    </row>
    <row r="680" spans="1:2" ht="13" x14ac:dyDescent="0.15">
      <c r="A680" s="143"/>
      <c r="B680" s="150"/>
    </row>
    <row r="681" spans="1:2" ht="13" x14ac:dyDescent="0.15">
      <c r="A681" s="143"/>
      <c r="B681" s="150"/>
    </row>
    <row r="682" spans="1:2" ht="13" x14ac:dyDescent="0.15">
      <c r="A682" s="143"/>
      <c r="B682" s="150"/>
    </row>
    <row r="683" spans="1:2" ht="13" x14ac:dyDescent="0.15">
      <c r="A683" s="143"/>
      <c r="B683" s="150"/>
    </row>
    <row r="684" spans="1:2" ht="13" x14ac:dyDescent="0.15">
      <c r="A684" s="143"/>
      <c r="B684" s="150"/>
    </row>
    <row r="685" spans="1:2" ht="13" x14ac:dyDescent="0.15">
      <c r="A685" s="143"/>
      <c r="B685" s="150"/>
    </row>
    <row r="686" spans="1:2" ht="13" x14ac:dyDescent="0.15">
      <c r="A686" s="143"/>
      <c r="B686" s="150"/>
    </row>
    <row r="687" spans="1:2" ht="13" x14ac:dyDescent="0.15">
      <c r="A687" s="143"/>
      <c r="B687" s="150"/>
    </row>
    <row r="688" spans="1:2" ht="13" x14ac:dyDescent="0.15">
      <c r="A688" s="143"/>
      <c r="B688" s="150"/>
    </row>
    <row r="689" spans="1:2" ht="13" x14ac:dyDescent="0.15">
      <c r="A689" s="143"/>
      <c r="B689" s="150"/>
    </row>
    <row r="690" spans="1:2" ht="13" x14ac:dyDescent="0.15">
      <c r="A690" s="143"/>
      <c r="B690" s="150"/>
    </row>
    <row r="691" spans="1:2" ht="13" x14ac:dyDescent="0.15">
      <c r="A691" s="143"/>
      <c r="B691" s="150"/>
    </row>
    <row r="692" spans="1:2" ht="13" x14ac:dyDescent="0.15">
      <c r="A692" s="143"/>
      <c r="B692" s="150"/>
    </row>
    <row r="693" spans="1:2" ht="13" x14ac:dyDescent="0.15">
      <c r="A693" s="143"/>
      <c r="B693" s="150"/>
    </row>
    <row r="694" spans="1:2" ht="13" x14ac:dyDescent="0.15">
      <c r="A694" s="143"/>
      <c r="B694" s="150"/>
    </row>
    <row r="695" spans="1:2" ht="13" x14ac:dyDescent="0.15">
      <c r="A695" s="143"/>
      <c r="B695" s="150"/>
    </row>
    <row r="696" spans="1:2" ht="13" x14ac:dyDescent="0.15">
      <c r="A696" s="143"/>
      <c r="B696" s="150"/>
    </row>
    <row r="697" spans="1:2" ht="13" x14ac:dyDescent="0.15">
      <c r="A697" s="143"/>
      <c r="B697" s="150"/>
    </row>
    <row r="698" spans="1:2" ht="13" x14ac:dyDescent="0.15">
      <c r="A698" s="143"/>
      <c r="B698" s="150"/>
    </row>
    <row r="699" spans="1:2" ht="13" x14ac:dyDescent="0.15">
      <c r="A699" s="143"/>
      <c r="B699" s="150"/>
    </row>
    <row r="700" spans="1:2" ht="13" x14ac:dyDescent="0.15">
      <c r="A700" s="143"/>
      <c r="B700" s="150"/>
    </row>
    <row r="701" spans="1:2" ht="13" x14ac:dyDescent="0.15">
      <c r="A701" s="143"/>
      <c r="B701" s="150"/>
    </row>
    <row r="702" spans="1:2" ht="13" x14ac:dyDescent="0.15">
      <c r="A702" s="143"/>
      <c r="B702" s="150"/>
    </row>
    <row r="703" spans="1:2" ht="13" x14ac:dyDescent="0.15">
      <c r="A703" s="143"/>
      <c r="B703" s="150"/>
    </row>
    <row r="704" spans="1:2" ht="13" x14ac:dyDescent="0.15">
      <c r="A704" s="143"/>
      <c r="B704" s="150"/>
    </row>
    <row r="705" spans="1:2" ht="13" x14ac:dyDescent="0.15">
      <c r="A705" s="143"/>
      <c r="B705" s="150"/>
    </row>
    <row r="706" spans="1:2" ht="13" x14ac:dyDescent="0.15">
      <c r="A706" s="143"/>
      <c r="B706" s="150"/>
    </row>
    <row r="707" spans="1:2" ht="13" x14ac:dyDescent="0.15">
      <c r="A707" s="143"/>
      <c r="B707" s="150"/>
    </row>
    <row r="708" spans="1:2" ht="13" x14ac:dyDescent="0.15">
      <c r="A708" s="143"/>
      <c r="B708" s="150"/>
    </row>
    <row r="709" spans="1:2" ht="13" x14ac:dyDescent="0.15">
      <c r="A709" s="143"/>
      <c r="B709" s="150"/>
    </row>
    <row r="710" spans="1:2" ht="13" x14ac:dyDescent="0.15">
      <c r="A710" s="143"/>
      <c r="B710" s="150"/>
    </row>
    <row r="711" spans="1:2" ht="13" x14ac:dyDescent="0.15">
      <c r="A711" s="143"/>
      <c r="B711" s="150"/>
    </row>
    <row r="712" spans="1:2" ht="13" x14ac:dyDescent="0.15">
      <c r="A712" s="143"/>
      <c r="B712" s="150"/>
    </row>
    <row r="713" spans="1:2" ht="13" x14ac:dyDescent="0.15">
      <c r="A713" s="143"/>
      <c r="B713" s="150"/>
    </row>
    <row r="714" spans="1:2" ht="13" x14ac:dyDescent="0.15">
      <c r="A714" s="143"/>
      <c r="B714" s="150"/>
    </row>
    <row r="715" spans="1:2" ht="13" x14ac:dyDescent="0.15">
      <c r="A715" s="143"/>
      <c r="B715" s="150"/>
    </row>
    <row r="716" spans="1:2" ht="13" x14ac:dyDescent="0.15">
      <c r="A716" s="143"/>
      <c r="B716" s="150"/>
    </row>
    <row r="717" spans="1:2" ht="13" x14ac:dyDescent="0.15">
      <c r="A717" s="143"/>
      <c r="B717" s="150"/>
    </row>
    <row r="718" spans="1:2" ht="13" x14ac:dyDescent="0.15">
      <c r="A718" s="143"/>
      <c r="B718" s="150"/>
    </row>
    <row r="719" spans="1:2" ht="13" x14ac:dyDescent="0.15">
      <c r="A719" s="143"/>
      <c r="B719" s="150"/>
    </row>
    <row r="720" spans="1:2" ht="13" x14ac:dyDescent="0.15">
      <c r="A720" s="143"/>
      <c r="B720" s="150"/>
    </row>
    <row r="721" spans="1:2" ht="13" x14ac:dyDescent="0.15">
      <c r="A721" s="143"/>
      <c r="B721" s="150"/>
    </row>
    <row r="722" spans="1:2" ht="13" x14ac:dyDescent="0.15">
      <c r="A722" s="143"/>
      <c r="B722" s="150"/>
    </row>
    <row r="723" spans="1:2" ht="13" x14ac:dyDescent="0.15">
      <c r="A723" s="143"/>
      <c r="B723" s="150"/>
    </row>
    <row r="724" spans="1:2" ht="13" x14ac:dyDescent="0.15">
      <c r="A724" s="143"/>
      <c r="B724" s="150"/>
    </row>
    <row r="725" spans="1:2" ht="13" x14ac:dyDescent="0.15">
      <c r="A725" s="143"/>
      <c r="B725" s="150"/>
    </row>
    <row r="726" spans="1:2" ht="13" x14ac:dyDescent="0.15">
      <c r="A726" s="143"/>
      <c r="B726" s="150"/>
    </row>
    <row r="727" spans="1:2" ht="13" x14ac:dyDescent="0.15">
      <c r="A727" s="143"/>
      <c r="B727" s="150"/>
    </row>
    <row r="728" spans="1:2" ht="13" x14ac:dyDescent="0.15">
      <c r="A728" s="143"/>
      <c r="B728" s="150"/>
    </row>
    <row r="729" spans="1:2" ht="13" x14ac:dyDescent="0.15">
      <c r="A729" s="143"/>
      <c r="B729" s="150"/>
    </row>
    <row r="730" spans="1:2" ht="13" x14ac:dyDescent="0.15">
      <c r="A730" s="143"/>
      <c r="B730" s="150"/>
    </row>
    <row r="731" spans="1:2" ht="13" x14ac:dyDescent="0.15">
      <c r="A731" s="143"/>
      <c r="B731" s="150"/>
    </row>
    <row r="732" spans="1:2" ht="13" x14ac:dyDescent="0.15">
      <c r="A732" s="143"/>
      <c r="B732" s="150"/>
    </row>
    <row r="733" spans="1:2" ht="13" x14ac:dyDescent="0.15">
      <c r="A733" s="143"/>
      <c r="B733" s="150"/>
    </row>
    <row r="734" spans="1:2" ht="13" x14ac:dyDescent="0.15">
      <c r="A734" s="143"/>
      <c r="B734" s="150"/>
    </row>
    <row r="735" spans="1:2" ht="13" x14ac:dyDescent="0.15">
      <c r="A735" s="143"/>
      <c r="B735" s="150"/>
    </row>
    <row r="736" spans="1:2" ht="13" x14ac:dyDescent="0.15">
      <c r="A736" s="143"/>
      <c r="B736" s="150"/>
    </row>
    <row r="737" spans="1:2" ht="13" x14ac:dyDescent="0.15">
      <c r="A737" s="143"/>
      <c r="B737" s="150"/>
    </row>
    <row r="738" spans="1:2" ht="13" x14ac:dyDescent="0.15">
      <c r="A738" s="143"/>
      <c r="B738" s="150"/>
    </row>
    <row r="739" spans="1:2" ht="13" x14ac:dyDescent="0.15">
      <c r="A739" s="143"/>
      <c r="B739" s="150"/>
    </row>
    <row r="740" spans="1:2" ht="13" x14ac:dyDescent="0.15">
      <c r="A740" s="143"/>
      <c r="B740" s="150"/>
    </row>
    <row r="741" spans="1:2" ht="13" x14ac:dyDescent="0.15">
      <c r="A741" s="143"/>
      <c r="B741" s="150"/>
    </row>
    <row r="742" spans="1:2" ht="13" x14ac:dyDescent="0.15">
      <c r="A742" s="143"/>
      <c r="B742" s="150"/>
    </row>
    <row r="743" spans="1:2" ht="13" x14ac:dyDescent="0.15">
      <c r="A743" s="143"/>
      <c r="B743" s="150"/>
    </row>
    <row r="744" spans="1:2" ht="13" x14ac:dyDescent="0.15">
      <c r="A744" s="143"/>
      <c r="B744" s="150"/>
    </row>
    <row r="745" spans="1:2" ht="13" x14ac:dyDescent="0.15">
      <c r="A745" s="143"/>
      <c r="B745" s="150"/>
    </row>
    <row r="746" spans="1:2" ht="13" x14ac:dyDescent="0.15">
      <c r="A746" s="143"/>
      <c r="B746" s="150"/>
    </row>
    <row r="747" spans="1:2" ht="13" x14ac:dyDescent="0.15">
      <c r="A747" s="143"/>
      <c r="B747" s="150"/>
    </row>
    <row r="748" spans="1:2" ht="13" x14ac:dyDescent="0.15">
      <c r="A748" s="143"/>
      <c r="B748" s="150"/>
    </row>
    <row r="749" spans="1:2" ht="13" x14ac:dyDescent="0.15">
      <c r="A749" s="143"/>
      <c r="B749" s="150"/>
    </row>
    <row r="750" spans="1:2" ht="13" x14ac:dyDescent="0.15">
      <c r="A750" s="143"/>
      <c r="B750" s="150"/>
    </row>
    <row r="751" spans="1:2" ht="13" x14ac:dyDescent="0.15">
      <c r="A751" s="143"/>
      <c r="B751" s="150"/>
    </row>
    <row r="752" spans="1:2" ht="13" x14ac:dyDescent="0.15">
      <c r="A752" s="143"/>
      <c r="B752" s="150"/>
    </row>
    <row r="753" spans="1:2" ht="13" x14ac:dyDescent="0.15">
      <c r="A753" s="143"/>
      <c r="B753" s="150"/>
    </row>
    <row r="754" spans="1:2" ht="13" x14ac:dyDescent="0.15">
      <c r="A754" s="143"/>
      <c r="B754" s="150"/>
    </row>
    <row r="755" spans="1:2" ht="13" x14ac:dyDescent="0.15">
      <c r="A755" s="143"/>
      <c r="B755" s="150"/>
    </row>
    <row r="756" spans="1:2" ht="13" x14ac:dyDescent="0.15">
      <c r="A756" s="143"/>
      <c r="B756" s="150"/>
    </row>
    <row r="757" spans="1:2" ht="13" x14ac:dyDescent="0.15">
      <c r="A757" s="143"/>
      <c r="B757" s="150"/>
    </row>
    <row r="758" spans="1:2" ht="13" x14ac:dyDescent="0.15">
      <c r="A758" s="143"/>
      <c r="B758" s="150"/>
    </row>
    <row r="759" spans="1:2" ht="13" x14ac:dyDescent="0.15">
      <c r="A759" s="143"/>
      <c r="B759" s="150"/>
    </row>
    <row r="760" spans="1:2" ht="13" x14ac:dyDescent="0.15">
      <c r="A760" s="143"/>
      <c r="B760" s="150"/>
    </row>
    <row r="761" spans="1:2" ht="13" x14ac:dyDescent="0.15">
      <c r="A761" s="143"/>
      <c r="B761" s="150"/>
    </row>
    <row r="762" spans="1:2" ht="13" x14ac:dyDescent="0.15">
      <c r="A762" s="143"/>
      <c r="B762" s="150"/>
    </row>
    <row r="763" spans="1:2" ht="13" x14ac:dyDescent="0.15">
      <c r="A763" s="143"/>
      <c r="B763" s="150"/>
    </row>
    <row r="764" spans="1:2" ht="13" x14ac:dyDescent="0.15">
      <c r="A764" s="143"/>
      <c r="B764" s="150"/>
    </row>
    <row r="765" spans="1:2" ht="13" x14ac:dyDescent="0.15">
      <c r="A765" s="143"/>
      <c r="B765" s="150"/>
    </row>
    <row r="766" spans="1:2" ht="13" x14ac:dyDescent="0.15">
      <c r="A766" s="143"/>
      <c r="B766" s="150"/>
    </row>
    <row r="767" spans="1:2" ht="13" x14ac:dyDescent="0.15">
      <c r="A767" s="143"/>
      <c r="B767" s="150"/>
    </row>
    <row r="768" spans="1:2" ht="13" x14ac:dyDescent="0.15">
      <c r="A768" s="143"/>
      <c r="B768" s="150"/>
    </row>
    <row r="769" spans="1:2" ht="13" x14ac:dyDescent="0.15">
      <c r="A769" s="143"/>
      <c r="B769" s="150"/>
    </row>
    <row r="770" spans="1:2" ht="13" x14ac:dyDescent="0.15">
      <c r="A770" s="143"/>
      <c r="B770" s="150"/>
    </row>
    <row r="771" spans="1:2" ht="13" x14ac:dyDescent="0.15">
      <c r="A771" s="143"/>
      <c r="B771" s="150"/>
    </row>
    <row r="772" spans="1:2" ht="13" x14ac:dyDescent="0.15">
      <c r="A772" s="143"/>
      <c r="B772" s="150"/>
    </row>
    <row r="773" spans="1:2" ht="13" x14ac:dyDescent="0.15">
      <c r="A773" s="143"/>
      <c r="B773" s="150"/>
    </row>
    <row r="774" spans="1:2" ht="13" x14ac:dyDescent="0.15">
      <c r="A774" s="143"/>
      <c r="B774" s="150"/>
    </row>
    <row r="775" spans="1:2" ht="13" x14ac:dyDescent="0.15">
      <c r="A775" s="143"/>
      <c r="B775" s="150"/>
    </row>
    <row r="776" spans="1:2" ht="13" x14ac:dyDescent="0.15">
      <c r="A776" s="143"/>
      <c r="B776" s="150"/>
    </row>
    <row r="777" spans="1:2" ht="13" x14ac:dyDescent="0.15">
      <c r="A777" s="143"/>
      <c r="B777" s="150"/>
    </row>
    <row r="778" spans="1:2" ht="13" x14ac:dyDescent="0.15">
      <c r="A778" s="143"/>
      <c r="B778" s="150"/>
    </row>
    <row r="779" spans="1:2" ht="13" x14ac:dyDescent="0.15">
      <c r="A779" s="143"/>
      <c r="B779" s="150"/>
    </row>
    <row r="780" spans="1:2" ht="13" x14ac:dyDescent="0.15">
      <c r="A780" s="143"/>
      <c r="B780" s="150"/>
    </row>
    <row r="781" spans="1:2" ht="13" x14ac:dyDescent="0.15">
      <c r="A781" s="143"/>
      <c r="B781" s="150"/>
    </row>
    <row r="782" spans="1:2" ht="13" x14ac:dyDescent="0.15">
      <c r="A782" s="143"/>
      <c r="B782" s="150"/>
    </row>
    <row r="783" spans="1:2" ht="13" x14ac:dyDescent="0.15">
      <c r="A783" s="143"/>
      <c r="B783" s="150"/>
    </row>
    <row r="784" spans="1:2" ht="13" x14ac:dyDescent="0.15">
      <c r="A784" s="143"/>
      <c r="B784" s="150"/>
    </row>
    <row r="785" spans="1:2" ht="13" x14ac:dyDescent="0.15">
      <c r="A785" s="143"/>
      <c r="B785" s="150"/>
    </row>
    <row r="786" spans="1:2" ht="13" x14ac:dyDescent="0.15">
      <c r="A786" s="143"/>
      <c r="B786" s="150"/>
    </row>
    <row r="787" spans="1:2" ht="13" x14ac:dyDescent="0.15">
      <c r="A787" s="143"/>
      <c r="B787" s="150"/>
    </row>
    <row r="788" spans="1:2" ht="13" x14ac:dyDescent="0.15">
      <c r="A788" s="143"/>
      <c r="B788" s="150"/>
    </row>
    <row r="789" spans="1:2" ht="13" x14ac:dyDescent="0.15">
      <c r="A789" s="143"/>
      <c r="B789" s="150"/>
    </row>
    <row r="790" spans="1:2" ht="13" x14ac:dyDescent="0.15">
      <c r="A790" s="143"/>
      <c r="B790" s="150"/>
    </row>
    <row r="791" spans="1:2" ht="13" x14ac:dyDescent="0.15">
      <c r="A791" s="143"/>
      <c r="B791" s="150"/>
    </row>
    <row r="792" spans="1:2" ht="13" x14ac:dyDescent="0.15">
      <c r="A792" s="143"/>
      <c r="B792" s="150"/>
    </row>
    <row r="793" spans="1:2" ht="13" x14ac:dyDescent="0.15">
      <c r="A793" s="143"/>
      <c r="B793" s="150"/>
    </row>
    <row r="794" spans="1:2" ht="13" x14ac:dyDescent="0.15">
      <c r="A794" s="143"/>
      <c r="B794" s="150"/>
    </row>
    <row r="795" spans="1:2" ht="13" x14ac:dyDescent="0.15">
      <c r="A795" s="143"/>
      <c r="B795" s="150"/>
    </row>
    <row r="796" spans="1:2" ht="13" x14ac:dyDescent="0.15">
      <c r="A796" s="143"/>
      <c r="B796" s="150"/>
    </row>
    <row r="797" spans="1:2" ht="13" x14ac:dyDescent="0.15">
      <c r="A797" s="143"/>
      <c r="B797" s="150"/>
    </row>
    <row r="798" spans="1:2" ht="13" x14ac:dyDescent="0.15">
      <c r="A798" s="143"/>
      <c r="B798" s="150"/>
    </row>
    <row r="799" spans="1:2" ht="13" x14ac:dyDescent="0.15">
      <c r="A799" s="143"/>
      <c r="B799" s="150"/>
    </row>
    <row r="800" spans="1:2" ht="13" x14ac:dyDescent="0.15">
      <c r="A800" s="143"/>
      <c r="B800" s="150"/>
    </row>
    <row r="801" spans="1:2" ht="13" x14ac:dyDescent="0.15">
      <c r="A801" s="143"/>
      <c r="B801" s="150"/>
    </row>
    <row r="802" spans="1:2" ht="13" x14ac:dyDescent="0.15">
      <c r="A802" s="143"/>
      <c r="B802" s="150"/>
    </row>
    <row r="803" spans="1:2" ht="13" x14ac:dyDescent="0.15">
      <c r="A803" s="143"/>
      <c r="B803" s="150"/>
    </row>
    <row r="804" spans="1:2" ht="13" x14ac:dyDescent="0.15">
      <c r="A804" s="143"/>
      <c r="B804" s="150"/>
    </row>
    <row r="805" spans="1:2" ht="13" x14ac:dyDescent="0.15">
      <c r="A805" s="143"/>
      <c r="B805" s="150"/>
    </row>
    <row r="806" spans="1:2" ht="13" x14ac:dyDescent="0.15">
      <c r="A806" s="143"/>
      <c r="B806" s="150"/>
    </row>
    <row r="807" spans="1:2" ht="13" x14ac:dyDescent="0.15">
      <c r="A807" s="143"/>
      <c r="B807" s="150"/>
    </row>
    <row r="808" spans="1:2" ht="13" x14ac:dyDescent="0.15">
      <c r="A808" s="143"/>
      <c r="B808" s="150"/>
    </row>
    <row r="809" spans="1:2" ht="13" x14ac:dyDescent="0.15">
      <c r="A809" s="143"/>
      <c r="B809" s="150"/>
    </row>
    <row r="810" spans="1:2" ht="13" x14ac:dyDescent="0.15">
      <c r="A810" s="143"/>
      <c r="B810" s="150"/>
    </row>
    <row r="811" spans="1:2" ht="13" x14ac:dyDescent="0.15">
      <c r="A811" s="143"/>
      <c r="B811" s="150"/>
    </row>
    <row r="812" spans="1:2" ht="13" x14ac:dyDescent="0.15">
      <c r="A812" s="143"/>
      <c r="B812" s="150"/>
    </row>
    <row r="813" spans="1:2" ht="13" x14ac:dyDescent="0.15">
      <c r="A813" s="143"/>
      <c r="B813" s="150"/>
    </row>
    <row r="814" spans="1:2" ht="13" x14ac:dyDescent="0.15">
      <c r="A814" s="143"/>
      <c r="B814" s="150"/>
    </row>
    <row r="815" spans="1:2" ht="13" x14ac:dyDescent="0.15">
      <c r="A815" s="143"/>
      <c r="B815" s="150"/>
    </row>
    <row r="816" spans="1:2" ht="13" x14ac:dyDescent="0.15">
      <c r="A816" s="143"/>
      <c r="B816" s="150"/>
    </row>
    <row r="817" spans="1:2" ht="13" x14ac:dyDescent="0.15">
      <c r="A817" s="143"/>
      <c r="B817" s="150"/>
    </row>
    <row r="818" spans="1:2" ht="13" x14ac:dyDescent="0.15">
      <c r="A818" s="143"/>
      <c r="B818" s="150"/>
    </row>
    <row r="819" spans="1:2" ht="13" x14ac:dyDescent="0.15">
      <c r="A819" s="143"/>
      <c r="B819" s="150"/>
    </row>
    <row r="820" spans="1:2" ht="13" x14ac:dyDescent="0.15">
      <c r="A820" s="143"/>
      <c r="B820" s="150"/>
    </row>
    <row r="821" spans="1:2" ht="13" x14ac:dyDescent="0.15">
      <c r="A821" s="143"/>
      <c r="B821" s="150"/>
    </row>
    <row r="822" spans="1:2" ht="13" x14ac:dyDescent="0.15">
      <c r="A822" s="143"/>
      <c r="B822" s="150"/>
    </row>
    <row r="823" spans="1:2" ht="13" x14ac:dyDescent="0.15">
      <c r="A823" s="143"/>
      <c r="B823" s="150"/>
    </row>
    <row r="824" spans="1:2" ht="13" x14ac:dyDescent="0.15">
      <c r="A824" s="143"/>
      <c r="B824" s="150"/>
    </row>
    <row r="825" spans="1:2" ht="13" x14ac:dyDescent="0.15">
      <c r="A825" s="143"/>
      <c r="B825" s="150"/>
    </row>
    <row r="826" spans="1:2" ht="13" x14ac:dyDescent="0.15">
      <c r="A826" s="143"/>
      <c r="B826" s="150"/>
    </row>
    <row r="827" spans="1:2" ht="13" x14ac:dyDescent="0.15">
      <c r="A827" s="143"/>
      <c r="B827" s="150"/>
    </row>
    <row r="828" spans="1:2" ht="13" x14ac:dyDescent="0.15">
      <c r="A828" s="143"/>
      <c r="B828" s="150"/>
    </row>
    <row r="829" spans="1:2" ht="13" x14ac:dyDescent="0.15">
      <c r="A829" s="143"/>
      <c r="B829" s="150"/>
    </row>
    <row r="830" spans="1:2" ht="13" x14ac:dyDescent="0.15">
      <c r="A830" s="143"/>
      <c r="B830" s="150"/>
    </row>
    <row r="831" spans="1:2" ht="13" x14ac:dyDescent="0.15">
      <c r="A831" s="143"/>
      <c r="B831" s="150"/>
    </row>
    <row r="832" spans="1:2" ht="13" x14ac:dyDescent="0.15">
      <c r="A832" s="143"/>
      <c r="B832" s="150"/>
    </row>
    <row r="833" spans="1:2" ht="13" x14ac:dyDescent="0.15">
      <c r="A833" s="143"/>
      <c r="B833" s="150"/>
    </row>
    <row r="834" spans="1:2" ht="13" x14ac:dyDescent="0.15">
      <c r="A834" s="143"/>
      <c r="B834" s="150"/>
    </row>
    <row r="835" spans="1:2" ht="13" x14ac:dyDescent="0.15">
      <c r="A835" s="143"/>
      <c r="B835" s="150"/>
    </row>
    <row r="836" spans="1:2" ht="13" x14ac:dyDescent="0.15">
      <c r="A836" s="143"/>
      <c r="B836" s="150"/>
    </row>
    <row r="837" spans="1:2" ht="13" x14ac:dyDescent="0.15">
      <c r="A837" s="143"/>
      <c r="B837" s="150"/>
    </row>
    <row r="838" spans="1:2" ht="13" x14ac:dyDescent="0.15">
      <c r="A838" s="143"/>
      <c r="B838" s="150"/>
    </row>
    <row r="839" spans="1:2" ht="13" x14ac:dyDescent="0.15">
      <c r="A839" s="143"/>
      <c r="B839" s="150"/>
    </row>
    <row r="840" spans="1:2" ht="13" x14ac:dyDescent="0.15">
      <c r="A840" s="143"/>
      <c r="B840" s="150"/>
    </row>
    <row r="841" spans="1:2" ht="13" x14ac:dyDescent="0.15">
      <c r="A841" s="143"/>
      <c r="B841" s="150"/>
    </row>
    <row r="842" spans="1:2" ht="13" x14ac:dyDescent="0.15">
      <c r="A842" s="143"/>
      <c r="B842" s="150"/>
    </row>
    <row r="843" spans="1:2" ht="13" x14ac:dyDescent="0.15">
      <c r="A843" s="143"/>
      <c r="B843" s="150"/>
    </row>
    <row r="844" spans="1:2" ht="13" x14ac:dyDescent="0.15">
      <c r="A844" s="143"/>
      <c r="B844" s="150"/>
    </row>
    <row r="845" spans="1:2" ht="13" x14ac:dyDescent="0.15">
      <c r="A845" s="143"/>
      <c r="B845" s="150"/>
    </row>
    <row r="846" spans="1:2" ht="13" x14ac:dyDescent="0.15">
      <c r="A846" s="143"/>
      <c r="B846" s="150"/>
    </row>
    <row r="847" spans="1:2" ht="13" x14ac:dyDescent="0.15">
      <c r="A847" s="143"/>
      <c r="B847" s="150"/>
    </row>
    <row r="848" spans="1:2" ht="13" x14ac:dyDescent="0.15">
      <c r="A848" s="143"/>
      <c r="B848" s="150"/>
    </row>
    <row r="849" spans="1:2" ht="13" x14ac:dyDescent="0.15">
      <c r="A849" s="143"/>
      <c r="B849" s="150"/>
    </row>
    <row r="850" spans="1:2" ht="13" x14ac:dyDescent="0.15">
      <c r="A850" s="143"/>
      <c r="B850" s="150"/>
    </row>
    <row r="851" spans="1:2" ht="13" x14ac:dyDescent="0.15">
      <c r="A851" s="143"/>
      <c r="B851" s="150"/>
    </row>
    <row r="852" spans="1:2" ht="13" x14ac:dyDescent="0.15">
      <c r="A852" s="143"/>
      <c r="B852" s="150"/>
    </row>
    <row r="853" spans="1:2" ht="13" x14ac:dyDescent="0.15">
      <c r="A853" s="143"/>
      <c r="B853" s="150"/>
    </row>
    <row r="854" spans="1:2" ht="13" x14ac:dyDescent="0.15">
      <c r="A854" s="143"/>
      <c r="B854" s="150"/>
    </row>
    <row r="855" spans="1:2" ht="13" x14ac:dyDescent="0.15">
      <c r="A855" s="143"/>
      <c r="B855" s="150"/>
    </row>
    <row r="856" spans="1:2" ht="13" x14ac:dyDescent="0.15">
      <c r="A856" s="143"/>
      <c r="B856" s="150"/>
    </row>
    <row r="857" spans="1:2" ht="13" x14ac:dyDescent="0.15">
      <c r="A857" s="143"/>
      <c r="B857" s="150"/>
    </row>
    <row r="858" spans="1:2" ht="13" x14ac:dyDescent="0.15">
      <c r="A858" s="143"/>
      <c r="B858" s="150"/>
    </row>
    <row r="859" spans="1:2" ht="13" x14ac:dyDescent="0.15">
      <c r="A859" s="143"/>
      <c r="B859" s="150"/>
    </row>
    <row r="860" spans="1:2" ht="13" x14ac:dyDescent="0.15">
      <c r="A860" s="143"/>
      <c r="B860" s="150"/>
    </row>
    <row r="861" spans="1:2" ht="13" x14ac:dyDescent="0.15">
      <c r="A861" s="143"/>
      <c r="B861" s="150"/>
    </row>
    <row r="862" spans="1:2" ht="13" x14ac:dyDescent="0.15">
      <c r="A862" s="143"/>
      <c r="B862" s="150"/>
    </row>
    <row r="863" spans="1:2" ht="13" x14ac:dyDescent="0.15">
      <c r="A863" s="143"/>
      <c r="B863" s="150"/>
    </row>
    <row r="864" spans="1:2" ht="13" x14ac:dyDescent="0.15">
      <c r="A864" s="143"/>
      <c r="B864" s="150"/>
    </row>
    <row r="865" spans="1:2" ht="13" x14ac:dyDescent="0.15">
      <c r="A865" s="143"/>
      <c r="B865" s="150"/>
    </row>
    <row r="866" spans="1:2" ht="13" x14ac:dyDescent="0.15">
      <c r="A866" s="143"/>
      <c r="B866" s="150"/>
    </row>
    <row r="867" spans="1:2" ht="13" x14ac:dyDescent="0.15">
      <c r="A867" s="143"/>
      <c r="B867" s="150"/>
    </row>
    <row r="868" spans="1:2" ht="13" x14ac:dyDescent="0.15">
      <c r="A868" s="143"/>
      <c r="B868" s="150"/>
    </row>
    <row r="869" spans="1:2" ht="13" x14ac:dyDescent="0.15">
      <c r="A869" s="143"/>
      <c r="B869" s="150"/>
    </row>
    <row r="870" spans="1:2" ht="13" x14ac:dyDescent="0.15">
      <c r="A870" s="143"/>
      <c r="B870" s="150"/>
    </row>
    <row r="871" spans="1:2" ht="13" x14ac:dyDescent="0.15">
      <c r="A871" s="143"/>
      <c r="B871" s="150"/>
    </row>
    <row r="872" spans="1:2" ht="13" x14ac:dyDescent="0.15">
      <c r="A872" s="143"/>
      <c r="B872" s="150"/>
    </row>
    <row r="873" spans="1:2" ht="13" x14ac:dyDescent="0.15">
      <c r="A873" s="143"/>
      <c r="B873" s="150"/>
    </row>
    <row r="874" spans="1:2" ht="13" x14ac:dyDescent="0.15">
      <c r="A874" s="143"/>
      <c r="B874" s="150"/>
    </row>
    <row r="875" spans="1:2" ht="13" x14ac:dyDescent="0.15">
      <c r="A875" s="143"/>
      <c r="B875" s="150"/>
    </row>
    <row r="876" spans="1:2" ht="13" x14ac:dyDescent="0.15">
      <c r="A876" s="143"/>
      <c r="B876" s="150"/>
    </row>
    <row r="877" spans="1:2" ht="13" x14ac:dyDescent="0.15">
      <c r="A877" s="143"/>
      <c r="B877" s="150"/>
    </row>
    <row r="878" spans="1:2" ht="13" x14ac:dyDescent="0.15">
      <c r="A878" s="143"/>
      <c r="B878" s="150"/>
    </row>
    <row r="879" spans="1:2" ht="13" x14ac:dyDescent="0.15">
      <c r="A879" s="143"/>
      <c r="B879" s="150"/>
    </row>
    <row r="880" spans="1:2" ht="13" x14ac:dyDescent="0.15">
      <c r="A880" s="143"/>
      <c r="B880" s="150"/>
    </row>
    <row r="881" spans="1:2" ht="13" x14ac:dyDescent="0.15">
      <c r="A881" s="143"/>
      <c r="B881" s="150"/>
    </row>
    <row r="882" spans="1:2" ht="13" x14ac:dyDescent="0.15">
      <c r="A882" s="143"/>
      <c r="B882" s="150"/>
    </row>
    <row r="883" spans="1:2" ht="13" x14ac:dyDescent="0.15">
      <c r="A883" s="143"/>
      <c r="B883" s="150"/>
    </row>
    <row r="884" spans="1:2" ht="13" x14ac:dyDescent="0.15">
      <c r="A884" s="143"/>
      <c r="B884" s="150"/>
    </row>
    <row r="885" spans="1:2" ht="13" x14ac:dyDescent="0.15">
      <c r="A885" s="143"/>
      <c r="B885" s="150"/>
    </row>
    <row r="886" spans="1:2" ht="13" x14ac:dyDescent="0.15">
      <c r="A886" s="143"/>
      <c r="B886" s="150"/>
    </row>
    <row r="887" spans="1:2" ht="13" x14ac:dyDescent="0.15">
      <c r="A887" s="143"/>
      <c r="B887" s="150"/>
    </row>
    <row r="888" spans="1:2" ht="13" x14ac:dyDescent="0.15">
      <c r="A888" s="143"/>
      <c r="B888" s="150"/>
    </row>
    <row r="889" spans="1:2" ht="13" x14ac:dyDescent="0.15">
      <c r="A889" s="143"/>
      <c r="B889" s="150"/>
    </row>
    <row r="890" spans="1:2" ht="13" x14ac:dyDescent="0.15">
      <c r="A890" s="143"/>
      <c r="B890" s="150"/>
    </row>
    <row r="891" spans="1:2" ht="13" x14ac:dyDescent="0.15">
      <c r="A891" s="143"/>
      <c r="B891" s="150"/>
    </row>
    <row r="892" spans="1:2" ht="13" x14ac:dyDescent="0.15">
      <c r="A892" s="143"/>
      <c r="B892" s="150"/>
    </row>
    <row r="893" spans="1:2" ht="13" x14ac:dyDescent="0.15">
      <c r="A893" s="143"/>
      <c r="B893" s="150"/>
    </row>
    <row r="894" spans="1:2" ht="13" x14ac:dyDescent="0.15">
      <c r="A894" s="143"/>
      <c r="B894" s="150"/>
    </row>
    <row r="895" spans="1:2" ht="13" x14ac:dyDescent="0.15">
      <c r="A895" s="143"/>
      <c r="B895" s="150"/>
    </row>
    <row r="896" spans="1:2" ht="13" x14ac:dyDescent="0.15">
      <c r="A896" s="143"/>
      <c r="B896" s="150"/>
    </row>
    <row r="897" spans="1:2" ht="13" x14ac:dyDescent="0.15">
      <c r="A897" s="143"/>
      <c r="B897" s="150"/>
    </row>
    <row r="898" spans="1:2" ht="13" x14ac:dyDescent="0.15">
      <c r="A898" s="143"/>
      <c r="B898" s="150"/>
    </row>
    <row r="899" spans="1:2" ht="13" x14ac:dyDescent="0.15">
      <c r="A899" s="143"/>
      <c r="B899" s="150"/>
    </row>
    <row r="900" spans="1:2" ht="13" x14ac:dyDescent="0.15">
      <c r="A900" s="143"/>
      <c r="B900" s="150"/>
    </row>
    <row r="901" spans="1:2" ht="13" x14ac:dyDescent="0.15">
      <c r="A901" s="143"/>
      <c r="B901" s="150"/>
    </row>
    <row r="902" spans="1:2" ht="13" x14ac:dyDescent="0.15">
      <c r="A902" s="143"/>
      <c r="B902" s="150"/>
    </row>
    <row r="903" spans="1:2" ht="13" x14ac:dyDescent="0.15">
      <c r="A903" s="143"/>
      <c r="B903" s="150"/>
    </row>
    <row r="904" spans="1:2" ht="13" x14ac:dyDescent="0.15">
      <c r="A904" s="143"/>
      <c r="B904" s="150"/>
    </row>
    <row r="905" spans="1:2" ht="13" x14ac:dyDescent="0.15">
      <c r="A905" s="143"/>
      <c r="B905" s="150"/>
    </row>
    <row r="906" spans="1:2" ht="13" x14ac:dyDescent="0.15">
      <c r="A906" s="143"/>
      <c r="B906" s="150"/>
    </row>
    <row r="907" spans="1:2" ht="13" x14ac:dyDescent="0.15">
      <c r="A907" s="143"/>
      <c r="B907" s="150"/>
    </row>
    <row r="908" spans="1:2" ht="13" x14ac:dyDescent="0.15">
      <c r="A908" s="143"/>
      <c r="B908" s="150"/>
    </row>
    <row r="909" spans="1:2" ht="13" x14ac:dyDescent="0.15">
      <c r="A909" s="143"/>
      <c r="B909" s="150"/>
    </row>
    <row r="910" spans="1:2" ht="13" x14ac:dyDescent="0.15">
      <c r="A910" s="143"/>
      <c r="B910" s="150"/>
    </row>
    <row r="911" spans="1:2" ht="13" x14ac:dyDescent="0.15">
      <c r="A911" s="143"/>
      <c r="B911" s="150"/>
    </row>
    <row r="912" spans="1:2" ht="13" x14ac:dyDescent="0.15">
      <c r="A912" s="143"/>
      <c r="B912" s="150"/>
    </row>
    <row r="913" spans="1:2" ht="13" x14ac:dyDescent="0.15">
      <c r="A913" s="143"/>
      <c r="B913" s="150"/>
    </row>
    <row r="914" spans="1:2" ht="13" x14ac:dyDescent="0.15">
      <c r="A914" s="143"/>
      <c r="B914" s="150"/>
    </row>
    <row r="915" spans="1:2" ht="13" x14ac:dyDescent="0.15">
      <c r="A915" s="143"/>
      <c r="B915" s="150"/>
    </row>
    <row r="916" spans="1:2" ht="13" x14ac:dyDescent="0.15">
      <c r="A916" s="143"/>
      <c r="B916" s="150"/>
    </row>
    <row r="917" spans="1:2" ht="13" x14ac:dyDescent="0.15">
      <c r="A917" s="143"/>
      <c r="B917" s="150"/>
    </row>
    <row r="918" spans="1:2" ht="13" x14ac:dyDescent="0.15">
      <c r="A918" s="143"/>
      <c r="B918" s="150"/>
    </row>
    <row r="919" spans="1:2" ht="13" x14ac:dyDescent="0.15">
      <c r="A919" s="143"/>
      <c r="B919" s="150"/>
    </row>
    <row r="920" spans="1:2" ht="13" x14ac:dyDescent="0.15">
      <c r="A920" s="143"/>
      <c r="B920" s="150"/>
    </row>
    <row r="921" spans="1:2" ht="13" x14ac:dyDescent="0.15">
      <c r="A921" s="143"/>
      <c r="B921" s="150"/>
    </row>
    <row r="922" spans="1:2" ht="13" x14ac:dyDescent="0.15">
      <c r="A922" s="143"/>
      <c r="B922" s="150"/>
    </row>
    <row r="923" spans="1:2" ht="13" x14ac:dyDescent="0.15">
      <c r="A923" s="143"/>
      <c r="B923" s="150"/>
    </row>
    <row r="924" spans="1:2" ht="13" x14ac:dyDescent="0.15">
      <c r="A924" s="143"/>
      <c r="B924" s="150"/>
    </row>
    <row r="925" spans="1:2" ht="13" x14ac:dyDescent="0.15">
      <c r="A925" s="143"/>
      <c r="B925" s="150"/>
    </row>
    <row r="926" spans="1:2" ht="13" x14ac:dyDescent="0.15">
      <c r="A926" s="143"/>
      <c r="B926" s="150"/>
    </row>
    <row r="927" spans="1:2" ht="13" x14ac:dyDescent="0.15">
      <c r="A927" s="143"/>
      <c r="B927" s="150"/>
    </row>
    <row r="928" spans="1:2" ht="13" x14ac:dyDescent="0.15">
      <c r="A928" s="143"/>
      <c r="B928" s="150"/>
    </row>
    <row r="929" spans="1:2" ht="13" x14ac:dyDescent="0.15">
      <c r="A929" s="143"/>
      <c r="B929" s="150"/>
    </row>
    <row r="930" spans="1:2" ht="13" x14ac:dyDescent="0.15">
      <c r="A930" s="143"/>
      <c r="B930" s="150"/>
    </row>
    <row r="931" spans="1:2" ht="13" x14ac:dyDescent="0.15">
      <c r="A931" s="143"/>
      <c r="B931" s="150"/>
    </row>
    <row r="932" spans="1:2" ht="13" x14ac:dyDescent="0.15">
      <c r="A932" s="143"/>
      <c r="B932" s="150"/>
    </row>
    <row r="933" spans="1:2" ht="13" x14ac:dyDescent="0.15">
      <c r="A933" s="143"/>
      <c r="B933" s="150"/>
    </row>
    <row r="934" spans="1:2" ht="13" x14ac:dyDescent="0.15">
      <c r="A934" s="143"/>
      <c r="B934" s="150"/>
    </row>
    <row r="935" spans="1:2" ht="13" x14ac:dyDescent="0.15">
      <c r="A935" s="143"/>
      <c r="B935" s="150"/>
    </row>
    <row r="936" spans="1:2" ht="13" x14ac:dyDescent="0.15">
      <c r="A936" s="143"/>
      <c r="B936" s="150"/>
    </row>
    <row r="937" spans="1:2" ht="13" x14ac:dyDescent="0.15">
      <c r="A937" s="143"/>
      <c r="B937" s="150"/>
    </row>
    <row r="938" spans="1:2" ht="13" x14ac:dyDescent="0.15">
      <c r="A938" s="143"/>
      <c r="B938" s="150"/>
    </row>
    <row r="939" spans="1:2" ht="13" x14ac:dyDescent="0.15">
      <c r="A939" s="143"/>
      <c r="B939" s="150"/>
    </row>
    <row r="940" spans="1:2" ht="13" x14ac:dyDescent="0.15">
      <c r="A940" s="143"/>
      <c r="B940" s="150"/>
    </row>
    <row r="941" spans="1:2" ht="13" x14ac:dyDescent="0.15">
      <c r="A941" s="143"/>
      <c r="B941" s="150"/>
    </row>
    <row r="942" spans="1:2" ht="13" x14ac:dyDescent="0.15">
      <c r="A942" s="143"/>
      <c r="B942" s="150"/>
    </row>
    <row r="943" spans="1:2" ht="13" x14ac:dyDescent="0.15">
      <c r="A943" s="143"/>
      <c r="B943" s="150"/>
    </row>
    <row r="944" spans="1:2" ht="13" x14ac:dyDescent="0.15">
      <c r="A944" s="143"/>
      <c r="B944" s="150"/>
    </row>
    <row r="945" spans="1:2" ht="13" x14ac:dyDescent="0.15">
      <c r="A945" s="143"/>
      <c r="B945" s="150"/>
    </row>
    <row r="946" spans="1:2" ht="13" x14ac:dyDescent="0.15">
      <c r="A946" s="143"/>
      <c r="B946" s="150"/>
    </row>
    <row r="947" spans="1:2" ht="13" x14ac:dyDescent="0.15">
      <c r="A947" s="143"/>
      <c r="B947" s="150"/>
    </row>
    <row r="948" spans="1:2" ht="13" x14ac:dyDescent="0.15">
      <c r="A948" s="143"/>
      <c r="B948" s="150"/>
    </row>
    <row r="949" spans="1:2" ht="13" x14ac:dyDescent="0.15">
      <c r="A949" s="143"/>
      <c r="B949" s="150"/>
    </row>
    <row r="950" spans="1:2" ht="13" x14ac:dyDescent="0.15">
      <c r="A950" s="143"/>
      <c r="B950" s="150"/>
    </row>
    <row r="951" spans="1:2" ht="13" x14ac:dyDescent="0.15">
      <c r="A951" s="143"/>
      <c r="B951" s="150"/>
    </row>
    <row r="952" spans="1:2" ht="13" x14ac:dyDescent="0.15">
      <c r="A952" s="143"/>
      <c r="B952" s="150"/>
    </row>
    <row r="953" spans="1:2" ht="13" x14ac:dyDescent="0.15">
      <c r="A953" s="143"/>
      <c r="B953" s="150"/>
    </row>
    <row r="954" spans="1:2" ht="13" x14ac:dyDescent="0.15">
      <c r="A954" s="143"/>
      <c r="B954" s="150"/>
    </row>
    <row r="955" spans="1:2" ht="13" x14ac:dyDescent="0.15">
      <c r="A955" s="143"/>
      <c r="B955" s="150"/>
    </row>
    <row r="956" spans="1:2" ht="13" x14ac:dyDescent="0.15">
      <c r="A956" s="143"/>
      <c r="B956" s="150"/>
    </row>
    <row r="957" spans="1:2" ht="13" x14ac:dyDescent="0.15">
      <c r="A957" s="143"/>
      <c r="B957" s="150"/>
    </row>
    <row r="958" spans="1:2" ht="13" x14ac:dyDescent="0.15">
      <c r="A958" s="143"/>
      <c r="B958" s="150"/>
    </row>
    <row r="959" spans="1:2" ht="13" x14ac:dyDescent="0.15">
      <c r="A959" s="143"/>
      <c r="B959" s="150"/>
    </row>
    <row r="960" spans="1:2" ht="13" x14ac:dyDescent="0.15">
      <c r="A960" s="143"/>
      <c r="B960" s="150"/>
    </row>
    <row r="961" spans="1:2" ht="13" x14ac:dyDescent="0.15">
      <c r="A961" s="143"/>
      <c r="B961" s="150"/>
    </row>
    <row r="962" spans="1:2" ht="13" x14ac:dyDescent="0.15">
      <c r="A962" s="143"/>
      <c r="B962" s="150"/>
    </row>
    <row r="963" spans="1:2" ht="13" x14ac:dyDescent="0.15">
      <c r="A963" s="143"/>
      <c r="B963" s="150"/>
    </row>
    <row r="964" spans="1:2" ht="13" x14ac:dyDescent="0.15">
      <c r="A964" s="143"/>
      <c r="B964" s="150"/>
    </row>
    <row r="965" spans="1:2" ht="13" x14ac:dyDescent="0.15">
      <c r="A965" s="143"/>
      <c r="B965" s="150"/>
    </row>
    <row r="966" spans="1:2" ht="13" x14ac:dyDescent="0.15">
      <c r="A966" s="143"/>
      <c r="B966" s="150"/>
    </row>
    <row r="967" spans="1:2" ht="13" x14ac:dyDescent="0.15">
      <c r="A967" s="143"/>
      <c r="B967" s="150"/>
    </row>
    <row r="968" spans="1:2" ht="13" x14ac:dyDescent="0.15">
      <c r="A968" s="143"/>
      <c r="B968" s="150"/>
    </row>
    <row r="969" spans="1:2" ht="13" x14ac:dyDescent="0.15">
      <c r="A969" s="143"/>
      <c r="B969" s="150"/>
    </row>
    <row r="970" spans="1:2" ht="13" x14ac:dyDescent="0.15">
      <c r="A970" s="143"/>
      <c r="B970" s="150"/>
    </row>
    <row r="971" spans="1:2" ht="13" x14ac:dyDescent="0.15">
      <c r="A971" s="143"/>
      <c r="B971" s="150"/>
    </row>
    <row r="972" spans="1:2" ht="13" x14ac:dyDescent="0.15">
      <c r="A972" s="143"/>
      <c r="B972" s="150"/>
    </row>
    <row r="973" spans="1:2" ht="13" x14ac:dyDescent="0.15">
      <c r="A973" s="143"/>
      <c r="B973" s="150"/>
    </row>
    <row r="974" spans="1:2" ht="13" x14ac:dyDescent="0.15">
      <c r="A974" s="143"/>
      <c r="B974" s="150"/>
    </row>
    <row r="975" spans="1:2" ht="13" x14ac:dyDescent="0.15">
      <c r="A975" s="143"/>
      <c r="B975" s="150"/>
    </row>
    <row r="976" spans="1:2" ht="13" x14ac:dyDescent="0.15">
      <c r="A976" s="143"/>
      <c r="B976" s="150"/>
    </row>
    <row r="977" spans="1:2" ht="13" x14ac:dyDescent="0.15">
      <c r="A977" s="143"/>
      <c r="B977" s="150"/>
    </row>
    <row r="978" spans="1:2" ht="13" x14ac:dyDescent="0.15">
      <c r="A978" s="143"/>
      <c r="B978" s="150"/>
    </row>
    <row r="979" spans="1:2" ht="13" x14ac:dyDescent="0.15">
      <c r="A979" s="143"/>
      <c r="B979" s="150"/>
    </row>
    <row r="980" spans="1:2" ht="13" x14ac:dyDescent="0.15">
      <c r="A980" s="143"/>
      <c r="B980" s="150"/>
    </row>
    <row r="981" spans="1:2" ht="13" x14ac:dyDescent="0.15">
      <c r="A981" s="143"/>
      <c r="B981" s="150"/>
    </row>
    <row r="982" spans="1:2" ht="13" x14ac:dyDescent="0.15">
      <c r="A982" s="143"/>
      <c r="B982" s="150"/>
    </row>
    <row r="983" spans="1:2" ht="13" x14ac:dyDescent="0.15">
      <c r="A983" s="143"/>
      <c r="B983" s="150"/>
    </row>
    <row r="984" spans="1:2" ht="13" x14ac:dyDescent="0.15">
      <c r="A984" s="143"/>
      <c r="B984" s="150"/>
    </row>
    <row r="985" spans="1:2" ht="13" x14ac:dyDescent="0.15">
      <c r="A985" s="143"/>
      <c r="B985" s="150"/>
    </row>
    <row r="986" spans="1:2" ht="13" x14ac:dyDescent="0.15">
      <c r="A986" s="143"/>
      <c r="B986" s="150"/>
    </row>
    <row r="987" spans="1:2" ht="13" x14ac:dyDescent="0.15">
      <c r="A987" s="143"/>
      <c r="B987" s="150"/>
    </row>
    <row r="988" spans="1:2" ht="13" x14ac:dyDescent="0.15">
      <c r="A988" s="143"/>
      <c r="B988" s="150"/>
    </row>
    <row r="989" spans="1:2" ht="13" x14ac:dyDescent="0.15">
      <c r="A989" s="143"/>
      <c r="B989" s="150"/>
    </row>
    <row r="990" spans="1:2" ht="13" x14ac:dyDescent="0.15">
      <c r="A990" s="143"/>
      <c r="B990" s="150"/>
    </row>
    <row r="991" spans="1:2" ht="13" x14ac:dyDescent="0.15">
      <c r="A991" s="143"/>
      <c r="B991" s="150"/>
    </row>
    <row r="992" spans="1:2" ht="13" x14ac:dyDescent="0.15">
      <c r="A992" s="143"/>
      <c r="B992" s="150"/>
    </row>
    <row r="993" spans="1:2" ht="13" x14ac:dyDescent="0.15">
      <c r="A993" s="143"/>
      <c r="B993" s="150"/>
    </row>
    <row r="994" spans="1:2" ht="13" x14ac:dyDescent="0.15">
      <c r="A994" s="143"/>
      <c r="B994" s="150"/>
    </row>
    <row r="995" spans="1:2" ht="13" x14ac:dyDescent="0.15">
      <c r="A995" s="143"/>
      <c r="B995" s="150"/>
    </row>
    <row r="996" spans="1:2" ht="13" x14ac:dyDescent="0.15">
      <c r="A996" s="143"/>
      <c r="B996" s="150"/>
    </row>
    <row r="997" spans="1:2" ht="13" x14ac:dyDescent="0.15">
      <c r="A997" s="143"/>
      <c r="B997" s="150"/>
    </row>
    <row r="998" spans="1:2" ht="13" x14ac:dyDescent="0.15">
      <c r="A998" s="143"/>
      <c r="B998" s="150"/>
    </row>
    <row r="999" spans="1:2" ht="13" x14ac:dyDescent="0.15">
      <c r="A999" s="143"/>
      <c r="B999" s="150"/>
    </row>
    <row r="1000" spans="1:2" ht="13" x14ac:dyDescent="0.15">
      <c r="A1000" s="143"/>
      <c r="B1000" s="15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1000"/>
  <sheetViews>
    <sheetView workbookViewId="0"/>
  </sheetViews>
  <sheetFormatPr baseColWidth="10" defaultColWidth="12.6640625" defaultRowHeight="15.75" customHeight="1" x14ac:dyDescent="0.15"/>
  <cols>
    <col min="1" max="1" width="22.6640625" customWidth="1"/>
    <col min="5" max="5" width="21.5" customWidth="1"/>
    <col min="10" max="12" width="17.83203125" customWidth="1"/>
    <col min="13" max="13" width="18.6640625" customWidth="1"/>
  </cols>
  <sheetData>
    <row r="1" spans="1:13" x14ac:dyDescent="0.2">
      <c r="A1" s="152" t="s">
        <v>405</v>
      </c>
      <c r="B1" s="152" t="s">
        <v>116</v>
      </c>
      <c r="C1" s="153" t="s">
        <v>406</v>
      </c>
      <c r="D1" s="153" t="s">
        <v>407</v>
      </c>
      <c r="E1" s="153" t="s">
        <v>408</v>
      </c>
      <c r="F1" s="152" t="s">
        <v>409</v>
      </c>
      <c r="G1" s="152" t="s">
        <v>410</v>
      </c>
      <c r="H1" s="152" t="s">
        <v>411</v>
      </c>
      <c r="I1" s="152" t="s">
        <v>412</v>
      </c>
      <c r="J1" s="154" t="s">
        <v>413</v>
      </c>
      <c r="K1" s="154" t="s">
        <v>414</v>
      </c>
      <c r="L1" s="154" t="s">
        <v>415</v>
      </c>
      <c r="M1" s="155" t="s">
        <v>416</v>
      </c>
    </row>
    <row r="2" spans="1:13" x14ac:dyDescent="0.2">
      <c r="A2" s="156" t="s">
        <v>138</v>
      </c>
      <c r="B2" s="156" t="s">
        <v>139</v>
      </c>
      <c r="C2" s="157">
        <v>1490</v>
      </c>
      <c r="D2" s="157">
        <v>1590</v>
      </c>
      <c r="E2" s="158" t="s">
        <v>184</v>
      </c>
      <c r="F2" s="159" t="s">
        <v>417</v>
      </c>
      <c r="G2" s="159" t="s">
        <v>418</v>
      </c>
      <c r="H2" s="159" t="s">
        <v>419</v>
      </c>
      <c r="I2" s="159" t="s">
        <v>184</v>
      </c>
      <c r="J2" s="160" t="s">
        <v>420</v>
      </c>
      <c r="K2" s="160" t="s">
        <v>421</v>
      </c>
      <c r="L2" s="161" t="s">
        <v>184</v>
      </c>
      <c r="M2" s="75" t="e">
        <f t="shared" ref="M2:M41" si="0">E2/D2-1</f>
        <v>#VALUE!</v>
      </c>
    </row>
    <row r="3" spans="1:13" x14ac:dyDescent="0.2">
      <c r="A3" s="156" t="s">
        <v>141</v>
      </c>
      <c r="B3" s="156" t="s">
        <v>142</v>
      </c>
      <c r="C3" s="158" t="s">
        <v>184</v>
      </c>
      <c r="D3" s="158" t="s">
        <v>184</v>
      </c>
      <c r="E3" s="162">
        <v>1390</v>
      </c>
      <c r="F3" s="159" t="s">
        <v>422</v>
      </c>
      <c r="G3" s="159" t="s">
        <v>184</v>
      </c>
      <c r="H3" s="159" t="s">
        <v>184</v>
      </c>
      <c r="I3" s="159" t="s">
        <v>423</v>
      </c>
      <c r="J3" s="161" t="s">
        <v>184</v>
      </c>
      <c r="K3" s="161" t="s">
        <v>184</v>
      </c>
      <c r="L3" s="160" t="s">
        <v>424</v>
      </c>
      <c r="M3" s="75" t="e">
        <f t="shared" si="0"/>
        <v>#VALUE!</v>
      </c>
    </row>
    <row r="4" spans="1:13" x14ac:dyDescent="0.2">
      <c r="A4" s="156" t="s">
        <v>144</v>
      </c>
      <c r="B4" s="156" t="s">
        <v>142</v>
      </c>
      <c r="C4" s="157">
        <v>5390</v>
      </c>
      <c r="D4" s="157">
        <v>579</v>
      </c>
      <c r="E4" s="162">
        <v>590</v>
      </c>
      <c r="F4" s="159" t="s">
        <v>425</v>
      </c>
      <c r="G4" s="159" t="s">
        <v>426</v>
      </c>
      <c r="H4" s="159" t="s">
        <v>426</v>
      </c>
      <c r="I4" s="159" t="s">
        <v>427</v>
      </c>
      <c r="J4" s="160" t="s">
        <v>428</v>
      </c>
      <c r="K4" s="160" t="s">
        <v>429</v>
      </c>
      <c r="L4" s="160" t="s">
        <v>430</v>
      </c>
      <c r="M4" s="75">
        <f t="shared" si="0"/>
        <v>1.899827288428324E-2</v>
      </c>
    </row>
    <row r="5" spans="1:13" x14ac:dyDescent="0.2">
      <c r="A5" s="156" t="s">
        <v>146</v>
      </c>
      <c r="B5" s="156" t="s">
        <v>116</v>
      </c>
      <c r="C5" s="157">
        <v>1090</v>
      </c>
      <c r="D5" s="157">
        <v>1190</v>
      </c>
      <c r="E5" s="162">
        <f>400*3</f>
        <v>1200</v>
      </c>
      <c r="F5" s="159" t="s">
        <v>431</v>
      </c>
      <c r="G5" s="159" t="s">
        <v>432</v>
      </c>
      <c r="H5" s="159" t="s">
        <v>433</v>
      </c>
      <c r="I5" s="159" t="s">
        <v>434</v>
      </c>
      <c r="J5" s="160" t="s">
        <v>435</v>
      </c>
      <c r="K5" s="160" t="s">
        <v>436</v>
      </c>
      <c r="L5" s="160" t="s">
        <v>437</v>
      </c>
      <c r="M5" s="75">
        <f t="shared" si="0"/>
        <v>8.4033613445377853E-3</v>
      </c>
    </row>
    <row r="6" spans="1:13" x14ac:dyDescent="0.2">
      <c r="A6" s="156" t="s">
        <v>148</v>
      </c>
      <c r="B6" s="156" t="s">
        <v>142</v>
      </c>
      <c r="C6" s="157">
        <v>1590</v>
      </c>
      <c r="D6" s="157">
        <v>1590</v>
      </c>
      <c r="E6" s="162">
        <v>1690</v>
      </c>
      <c r="F6" s="159" t="s">
        <v>438</v>
      </c>
      <c r="G6" s="159" t="s">
        <v>439</v>
      </c>
      <c r="H6" s="159" t="s">
        <v>440</v>
      </c>
      <c r="I6" s="159" t="s">
        <v>148</v>
      </c>
      <c r="J6" s="160" t="s">
        <v>441</v>
      </c>
      <c r="K6" s="160" t="s">
        <v>441</v>
      </c>
      <c r="L6" s="160" t="s">
        <v>442</v>
      </c>
      <c r="M6" s="75">
        <f t="shared" si="0"/>
        <v>6.2893081761006275E-2</v>
      </c>
    </row>
    <row r="7" spans="1:13" x14ac:dyDescent="0.2">
      <c r="A7" s="156" t="s">
        <v>152</v>
      </c>
      <c r="B7" s="156" t="s">
        <v>116</v>
      </c>
      <c r="C7" s="157">
        <v>790</v>
      </c>
      <c r="D7" s="157">
        <v>790</v>
      </c>
      <c r="E7" s="162">
        <v>1290</v>
      </c>
      <c r="F7" s="159" t="s">
        <v>443</v>
      </c>
      <c r="G7" s="159" t="s">
        <v>444</v>
      </c>
      <c r="H7" s="159" t="s">
        <v>445</v>
      </c>
      <c r="I7" s="159" t="s">
        <v>446</v>
      </c>
      <c r="J7" s="160" t="s">
        <v>447</v>
      </c>
      <c r="K7" s="160" t="s">
        <v>447</v>
      </c>
      <c r="L7" s="160" t="s">
        <v>448</v>
      </c>
      <c r="M7" s="75">
        <f t="shared" si="0"/>
        <v>0.63291139240506333</v>
      </c>
    </row>
    <row r="8" spans="1:13" x14ac:dyDescent="0.2">
      <c r="A8" s="156" t="s">
        <v>449</v>
      </c>
      <c r="B8" s="156" t="s">
        <v>142</v>
      </c>
      <c r="C8" s="163">
        <v>14700</v>
      </c>
      <c r="D8" s="163">
        <v>14700</v>
      </c>
      <c r="E8" s="164">
        <v>15980</v>
      </c>
      <c r="F8" s="159" t="s">
        <v>450</v>
      </c>
      <c r="G8" s="159" t="s">
        <v>184</v>
      </c>
      <c r="H8" s="159" t="s">
        <v>451</v>
      </c>
      <c r="I8" s="159" t="s">
        <v>184</v>
      </c>
      <c r="J8" s="161" t="s">
        <v>184</v>
      </c>
      <c r="K8" s="160" t="s">
        <v>452</v>
      </c>
      <c r="L8" s="161" t="s">
        <v>184</v>
      </c>
      <c r="M8" s="75">
        <f t="shared" si="0"/>
        <v>8.7074829931972797E-2</v>
      </c>
    </row>
    <row r="9" spans="1:13" x14ac:dyDescent="0.2">
      <c r="A9" s="156" t="s">
        <v>453</v>
      </c>
      <c r="B9" s="156" t="s">
        <v>142</v>
      </c>
      <c r="C9" s="158" t="s">
        <v>184</v>
      </c>
      <c r="D9" s="127">
        <v>4530</v>
      </c>
      <c r="E9" s="158" t="s">
        <v>184</v>
      </c>
      <c r="F9" s="159" t="s">
        <v>454</v>
      </c>
      <c r="G9" s="159" t="s">
        <v>184</v>
      </c>
      <c r="H9" s="159" t="s">
        <v>184</v>
      </c>
      <c r="I9" s="159" t="s">
        <v>184</v>
      </c>
      <c r="J9" s="161" t="s">
        <v>184</v>
      </c>
      <c r="K9" s="161" t="s">
        <v>184</v>
      </c>
      <c r="L9" s="161" t="s">
        <v>184</v>
      </c>
      <c r="M9" s="75" t="e">
        <f t="shared" si="0"/>
        <v>#VALUE!</v>
      </c>
    </row>
    <row r="10" spans="1:13" x14ac:dyDescent="0.2">
      <c r="A10" s="156" t="s">
        <v>455</v>
      </c>
      <c r="B10" s="156" t="s">
        <v>142</v>
      </c>
      <c r="C10" s="157">
        <v>2790</v>
      </c>
      <c r="D10" s="157">
        <v>2890</v>
      </c>
      <c r="E10" s="158" t="s">
        <v>184</v>
      </c>
      <c r="F10" s="159" t="s">
        <v>456</v>
      </c>
      <c r="G10" s="159" t="s">
        <v>457</v>
      </c>
      <c r="H10" s="159" t="s">
        <v>458</v>
      </c>
      <c r="I10" s="159" t="s">
        <v>184</v>
      </c>
      <c r="J10" s="160" t="s">
        <v>459</v>
      </c>
      <c r="K10" s="160" t="s">
        <v>460</v>
      </c>
      <c r="L10" s="161" t="s">
        <v>184</v>
      </c>
      <c r="M10" s="75" t="e">
        <f t="shared" si="0"/>
        <v>#VALUE!</v>
      </c>
    </row>
    <row r="11" spans="1:13" x14ac:dyDescent="0.2">
      <c r="A11" s="156" t="s">
        <v>150</v>
      </c>
      <c r="B11" s="156" t="s">
        <v>116</v>
      </c>
      <c r="C11" s="157">
        <v>1000</v>
      </c>
      <c r="D11" s="157">
        <v>1490</v>
      </c>
      <c r="E11" s="162">
        <v>1990</v>
      </c>
      <c r="F11" s="159" t="s">
        <v>461</v>
      </c>
      <c r="G11" s="159" t="s">
        <v>462</v>
      </c>
      <c r="H11" s="159" t="s">
        <v>463</v>
      </c>
      <c r="I11" s="159" t="s">
        <v>464</v>
      </c>
      <c r="J11" s="160" t="s">
        <v>465</v>
      </c>
      <c r="K11" s="160" t="s">
        <v>466</v>
      </c>
      <c r="L11" s="160" t="s">
        <v>467</v>
      </c>
      <c r="M11" s="75">
        <f t="shared" si="0"/>
        <v>0.33557046979865768</v>
      </c>
    </row>
    <row r="12" spans="1:13" x14ac:dyDescent="0.2">
      <c r="A12" s="156" t="s">
        <v>239</v>
      </c>
      <c r="B12" s="156" t="s">
        <v>142</v>
      </c>
      <c r="C12" s="157">
        <v>2390</v>
      </c>
      <c r="D12" s="157">
        <v>2490</v>
      </c>
      <c r="E12" s="162">
        <v>10490</v>
      </c>
      <c r="F12" s="159" t="s">
        <v>468</v>
      </c>
      <c r="G12" s="159" t="s">
        <v>469</v>
      </c>
      <c r="H12" s="159" t="s">
        <v>470</v>
      </c>
      <c r="I12" s="159" t="s">
        <v>471</v>
      </c>
      <c r="J12" s="160" t="s">
        <v>472</v>
      </c>
      <c r="K12" s="160" t="s">
        <v>473</v>
      </c>
      <c r="L12" s="160" t="s">
        <v>474</v>
      </c>
      <c r="M12" s="75">
        <f t="shared" si="0"/>
        <v>3.2128514056224899</v>
      </c>
    </row>
    <row r="13" spans="1:13" x14ac:dyDescent="0.2">
      <c r="A13" s="156" t="s">
        <v>475</v>
      </c>
      <c r="B13" s="156" t="s">
        <v>142</v>
      </c>
      <c r="C13" s="158" t="s">
        <v>184</v>
      </c>
      <c r="D13" s="157">
        <v>1899</v>
      </c>
      <c r="E13" s="158" t="s">
        <v>184</v>
      </c>
      <c r="F13" s="159" t="s">
        <v>476</v>
      </c>
      <c r="G13" s="159" t="s">
        <v>184</v>
      </c>
      <c r="H13" s="159" t="s">
        <v>477</v>
      </c>
      <c r="I13" s="159" t="s">
        <v>184</v>
      </c>
      <c r="J13" s="161" t="s">
        <v>184</v>
      </c>
      <c r="K13" s="160" t="s">
        <v>452</v>
      </c>
      <c r="L13" s="161" t="s">
        <v>184</v>
      </c>
      <c r="M13" s="75" t="e">
        <f t="shared" si="0"/>
        <v>#VALUE!</v>
      </c>
    </row>
    <row r="14" spans="1:13" x14ac:dyDescent="0.2">
      <c r="A14" s="156" t="s">
        <v>154</v>
      </c>
      <c r="B14" s="156" t="s">
        <v>116</v>
      </c>
      <c r="C14" s="157">
        <v>790</v>
      </c>
      <c r="D14" s="157">
        <v>790</v>
      </c>
      <c r="E14" s="162">
        <v>890</v>
      </c>
      <c r="F14" s="159" t="s">
        <v>478</v>
      </c>
      <c r="G14" s="159" t="s">
        <v>479</v>
      </c>
      <c r="H14" s="159" t="s">
        <v>480</v>
      </c>
      <c r="I14" s="159" t="s">
        <v>481</v>
      </c>
      <c r="J14" s="160" t="s">
        <v>447</v>
      </c>
      <c r="K14" s="160" t="s">
        <v>447</v>
      </c>
      <c r="L14" s="160" t="s">
        <v>482</v>
      </c>
      <c r="M14" s="75">
        <f t="shared" si="0"/>
        <v>0.12658227848101267</v>
      </c>
    </row>
    <row r="15" spans="1:13" x14ac:dyDescent="0.2">
      <c r="A15" s="156" t="s">
        <v>156</v>
      </c>
      <c r="B15" s="156" t="s">
        <v>142</v>
      </c>
      <c r="C15" s="157">
        <v>1690</v>
      </c>
      <c r="D15" s="157">
        <v>1820</v>
      </c>
      <c r="E15" s="162">
        <v>2690</v>
      </c>
      <c r="F15" s="159" t="s">
        <v>483</v>
      </c>
      <c r="G15" s="159" t="s">
        <v>484</v>
      </c>
      <c r="H15" s="159" t="s">
        <v>485</v>
      </c>
      <c r="I15" s="159" t="s">
        <v>486</v>
      </c>
      <c r="J15" s="160" t="s">
        <v>487</v>
      </c>
      <c r="K15" s="160" t="s">
        <v>488</v>
      </c>
      <c r="L15" s="160" t="s">
        <v>489</v>
      </c>
      <c r="M15" s="75">
        <f t="shared" si="0"/>
        <v>0.4780219780219781</v>
      </c>
    </row>
    <row r="16" spans="1:13" x14ac:dyDescent="0.2">
      <c r="A16" s="156" t="s">
        <v>158</v>
      </c>
      <c r="B16" s="156" t="s">
        <v>139</v>
      </c>
      <c r="C16" s="157">
        <v>1390</v>
      </c>
      <c r="D16" s="157">
        <v>1490</v>
      </c>
      <c r="E16" s="162">
        <v>2190</v>
      </c>
      <c r="F16" s="159" t="s">
        <v>490</v>
      </c>
      <c r="G16" s="159" t="s">
        <v>491</v>
      </c>
      <c r="H16" s="159" t="s">
        <v>492</v>
      </c>
      <c r="I16" s="159" t="s">
        <v>493</v>
      </c>
      <c r="J16" s="160" t="s">
        <v>494</v>
      </c>
      <c r="K16" s="160" t="s">
        <v>495</v>
      </c>
      <c r="L16" s="160" t="s">
        <v>496</v>
      </c>
      <c r="M16" s="75">
        <f t="shared" si="0"/>
        <v>0.46979865771812079</v>
      </c>
    </row>
    <row r="17" spans="1:13" x14ac:dyDescent="0.2">
      <c r="A17" s="156" t="s">
        <v>160</v>
      </c>
      <c r="B17" s="156" t="s">
        <v>116</v>
      </c>
      <c r="C17" s="157">
        <v>1090</v>
      </c>
      <c r="D17" s="157">
        <v>1590</v>
      </c>
      <c r="E17" s="162">
        <v>1990</v>
      </c>
      <c r="F17" s="159" t="s">
        <v>497</v>
      </c>
      <c r="G17" s="159" t="s">
        <v>498</v>
      </c>
      <c r="H17" s="159" t="s">
        <v>499</v>
      </c>
      <c r="I17" s="159" t="s">
        <v>500</v>
      </c>
      <c r="J17" s="160" t="s">
        <v>501</v>
      </c>
      <c r="K17" s="160" t="s">
        <v>441</v>
      </c>
      <c r="L17" s="160" t="s">
        <v>467</v>
      </c>
      <c r="M17" s="75">
        <f t="shared" si="0"/>
        <v>0.2515723270440251</v>
      </c>
    </row>
    <row r="18" spans="1:13" x14ac:dyDescent="0.2">
      <c r="A18" s="156" t="s">
        <v>162</v>
      </c>
      <c r="B18" s="156" t="s">
        <v>142</v>
      </c>
      <c r="C18" s="157">
        <v>3190</v>
      </c>
      <c r="D18" s="157">
        <v>3290</v>
      </c>
      <c r="E18" s="162">
        <v>2490</v>
      </c>
      <c r="F18" s="159" t="s">
        <v>502</v>
      </c>
      <c r="G18" s="159" t="s">
        <v>503</v>
      </c>
      <c r="H18" s="159" t="s">
        <v>504</v>
      </c>
      <c r="I18" s="159" t="s">
        <v>505</v>
      </c>
      <c r="J18" s="160" t="s">
        <v>506</v>
      </c>
      <c r="K18" s="160" t="s">
        <v>507</v>
      </c>
      <c r="L18" s="160" t="s">
        <v>508</v>
      </c>
      <c r="M18" s="75">
        <f t="shared" si="0"/>
        <v>-0.24316109422492405</v>
      </c>
    </row>
    <row r="19" spans="1:13" x14ac:dyDescent="0.2">
      <c r="A19" s="156" t="s">
        <v>164</v>
      </c>
      <c r="B19" s="156" t="s">
        <v>142</v>
      </c>
      <c r="C19" s="157">
        <v>3090</v>
      </c>
      <c r="D19" s="157">
        <v>1545</v>
      </c>
      <c r="E19" s="162">
        <v>1395</v>
      </c>
      <c r="F19" s="159" t="s">
        <v>509</v>
      </c>
      <c r="G19" s="159" t="s">
        <v>510</v>
      </c>
      <c r="H19" s="159" t="s">
        <v>511</v>
      </c>
      <c r="I19" s="159" t="s">
        <v>512</v>
      </c>
      <c r="J19" s="160" t="s">
        <v>513</v>
      </c>
      <c r="K19" s="160" t="s">
        <v>514</v>
      </c>
      <c r="L19" s="160" t="s">
        <v>515</v>
      </c>
      <c r="M19" s="75">
        <f t="shared" si="0"/>
        <v>-9.7087378640776656E-2</v>
      </c>
    </row>
    <row r="20" spans="1:13" x14ac:dyDescent="0.2">
      <c r="A20" s="156" t="s">
        <v>516</v>
      </c>
      <c r="B20" s="156" t="s">
        <v>142</v>
      </c>
      <c r="C20" s="158" t="s">
        <v>184</v>
      </c>
      <c r="D20" s="157">
        <v>1899</v>
      </c>
      <c r="E20" s="158" t="s">
        <v>184</v>
      </c>
      <c r="F20" s="159" t="s">
        <v>517</v>
      </c>
      <c r="G20" s="159" t="s">
        <v>184</v>
      </c>
      <c r="H20" s="159" t="s">
        <v>518</v>
      </c>
      <c r="I20" s="159" t="s">
        <v>184</v>
      </c>
      <c r="J20" s="161" t="s">
        <v>184</v>
      </c>
      <c r="K20" s="160" t="s">
        <v>452</v>
      </c>
      <c r="L20" s="161" t="s">
        <v>184</v>
      </c>
      <c r="M20" s="75" t="e">
        <f t="shared" si="0"/>
        <v>#VALUE!</v>
      </c>
    </row>
    <row r="21" spans="1:13" x14ac:dyDescent="0.2">
      <c r="A21" s="156" t="s">
        <v>166</v>
      </c>
      <c r="B21" s="156" t="s">
        <v>116</v>
      </c>
      <c r="C21" s="157">
        <v>1550</v>
      </c>
      <c r="D21" s="157">
        <v>845</v>
      </c>
      <c r="E21" s="162">
        <v>795</v>
      </c>
      <c r="F21" s="159" t="s">
        <v>519</v>
      </c>
      <c r="G21" s="159" t="s">
        <v>520</v>
      </c>
      <c r="H21" s="159" t="s">
        <v>521</v>
      </c>
      <c r="I21" s="159" t="s">
        <v>522</v>
      </c>
      <c r="J21" s="160" t="s">
        <v>523</v>
      </c>
      <c r="K21" s="160" t="s">
        <v>524</v>
      </c>
      <c r="L21" s="160" t="s">
        <v>525</v>
      </c>
      <c r="M21" s="75">
        <f t="shared" si="0"/>
        <v>-5.9171597633136064E-2</v>
      </c>
    </row>
    <row r="22" spans="1:13" x14ac:dyDescent="0.2">
      <c r="A22" s="156" t="s">
        <v>168</v>
      </c>
      <c r="B22" s="156" t="s">
        <v>116</v>
      </c>
      <c r="C22" s="157">
        <v>1990</v>
      </c>
      <c r="D22" s="157">
        <v>995</v>
      </c>
      <c r="E22" s="162">
        <v>995</v>
      </c>
      <c r="F22" s="159" t="s">
        <v>526</v>
      </c>
      <c r="G22" s="159" t="s">
        <v>527</v>
      </c>
      <c r="H22" s="159" t="s">
        <v>528</v>
      </c>
      <c r="I22" s="159" t="s">
        <v>529</v>
      </c>
      <c r="J22" s="160" t="s">
        <v>530</v>
      </c>
      <c r="K22" s="160" t="s">
        <v>531</v>
      </c>
      <c r="L22" s="160" t="s">
        <v>532</v>
      </c>
      <c r="M22" s="75">
        <f t="shared" si="0"/>
        <v>0</v>
      </c>
    </row>
    <row r="23" spans="1:13" x14ac:dyDescent="0.2">
      <c r="A23" s="156" t="s">
        <v>170</v>
      </c>
      <c r="B23" s="156" t="s">
        <v>139</v>
      </c>
      <c r="C23" s="157">
        <v>1550</v>
      </c>
      <c r="D23" s="157">
        <v>850</v>
      </c>
      <c r="E23" s="162">
        <v>990</v>
      </c>
      <c r="F23" s="159" t="s">
        <v>533</v>
      </c>
      <c r="G23" s="159" t="s">
        <v>534</v>
      </c>
      <c r="H23" s="159" t="s">
        <v>535</v>
      </c>
      <c r="I23" s="159" t="s">
        <v>536</v>
      </c>
      <c r="J23" s="160" t="s">
        <v>537</v>
      </c>
      <c r="K23" s="160" t="s">
        <v>538</v>
      </c>
      <c r="L23" s="160" t="s">
        <v>539</v>
      </c>
      <c r="M23" s="75">
        <f t="shared" si="0"/>
        <v>0.16470588235294126</v>
      </c>
    </row>
    <row r="24" spans="1:13" x14ac:dyDescent="0.2">
      <c r="A24" s="156" t="s">
        <v>540</v>
      </c>
      <c r="B24" s="156" t="s">
        <v>173</v>
      </c>
      <c r="C24" s="157">
        <v>1590</v>
      </c>
      <c r="D24" s="157">
        <v>1650</v>
      </c>
      <c r="E24" s="162">
        <v>2190</v>
      </c>
      <c r="F24" s="159" t="s">
        <v>541</v>
      </c>
      <c r="G24" s="159" t="s">
        <v>542</v>
      </c>
      <c r="H24" s="159" t="s">
        <v>543</v>
      </c>
      <c r="I24" s="159" t="s">
        <v>544</v>
      </c>
      <c r="J24" s="160" t="s">
        <v>545</v>
      </c>
      <c r="K24" s="160" t="s">
        <v>546</v>
      </c>
      <c r="L24" s="160" t="s">
        <v>547</v>
      </c>
      <c r="M24" s="75">
        <f t="shared" si="0"/>
        <v>0.32727272727272738</v>
      </c>
    </row>
    <row r="25" spans="1:13" x14ac:dyDescent="0.2">
      <c r="A25" s="156" t="s">
        <v>548</v>
      </c>
      <c r="B25" s="156" t="s">
        <v>142</v>
      </c>
      <c r="C25" s="158" t="s">
        <v>184</v>
      </c>
      <c r="D25" s="157">
        <v>3990</v>
      </c>
      <c r="E25" s="158" t="s">
        <v>184</v>
      </c>
      <c r="F25" s="159" t="s">
        <v>549</v>
      </c>
      <c r="G25" s="159" t="s">
        <v>184</v>
      </c>
      <c r="H25" s="159" t="s">
        <v>550</v>
      </c>
      <c r="I25" s="159" t="s">
        <v>184</v>
      </c>
      <c r="J25" s="161" t="s">
        <v>184</v>
      </c>
      <c r="K25" s="160" t="s">
        <v>551</v>
      </c>
      <c r="L25" s="161" t="s">
        <v>184</v>
      </c>
      <c r="M25" s="75" t="e">
        <f t="shared" si="0"/>
        <v>#VALUE!</v>
      </c>
    </row>
    <row r="26" spans="1:13" x14ac:dyDescent="0.2">
      <c r="A26" s="156" t="s">
        <v>175</v>
      </c>
      <c r="B26" s="156" t="s">
        <v>116</v>
      </c>
      <c r="C26" s="157">
        <v>3590</v>
      </c>
      <c r="D26" s="157">
        <v>3700</v>
      </c>
      <c r="E26" s="162">
        <v>990</v>
      </c>
      <c r="F26" s="159" t="s">
        <v>552</v>
      </c>
      <c r="G26" s="159" t="s">
        <v>553</v>
      </c>
      <c r="H26" s="159" t="s">
        <v>554</v>
      </c>
      <c r="I26" s="159" t="s">
        <v>555</v>
      </c>
      <c r="J26" s="160" t="s">
        <v>556</v>
      </c>
      <c r="K26" s="160" t="s">
        <v>557</v>
      </c>
      <c r="L26" s="160" t="s">
        <v>558</v>
      </c>
      <c r="M26" s="75">
        <f t="shared" si="0"/>
        <v>-0.7324324324324325</v>
      </c>
    </row>
    <row r="27" spans="1:13" x14ac:dyDescent="0.2">
      <c r="A27" s="156" t="s">
        <v>177</v>
      </c>
      <c r="B27" s="156" t="s">
        <v>139</v>
      </c>
      <c r="C27" s="157">
        <v>690</v>
      </c>
      <c r="D27" s="157">
        <v>740</v>
      </c>
      <c r="E27" s="162">
        <v>790</v>
      </c>
      <c r="F27" s="159" t="s">
        <v>559</v>
      </c>
      <c r="G27" s="159" t="s">
        <v>560</v>
      </c>
      <c r="H27" s="159" t="s">
        <v>561</v>
      </c>
      <c r="I27" s="159" t="s">
        <v>562</v>
      </c>
      <c r="J27" s="160" t="s">
        <v>563</v>
      </c>
      <c r="K27" s="160" t="s">
        <v>564</v>
      </c>
      <c r="L27" s="160" t="s">
        <v>565</v>
      </c>
      <c r="M27" s="75">
        <f t="shared" si="0"/>
        <v>6.7567567567567544E-2</v>
      </c>
    </row>
    <row r="28" spans="1:13" x14ac:dyDescent="0.2">
      <c r="A28" s="156" t="s">
        <v>179</v>
      </c>
      <c r="B28" s="156" t="s">
        <v>139</v>
      </c>
      <c r="C28" s="157">
        <v>1390</v>
      </c>
      <c r="D28" s="157">
        <v>990</v>
      </c>
      <c r="E28" s="162">
        <v>1290</v>
      </c>
      <c r="F28" s="159" t="s">
        <v>566</v>
      </c>
      <c r="G28" s="159" t="s">
        <v>567</v>
      </c>
      <c r="H28" s="159" t="s">
        <v>568</v>
      </c>
      <c r="I28" s="159" t="s">
        <v>569</v>
      </c>
      <c r="J28" s="160" t="s">
        <v>570</v>
      </c>
      <c r="K28" s="160" t="s">
        <v>546</v>
      </c>
      <c r="L28" s="160" t="s">
        <v>571</v>
      </c>
      <c r="M28" s="75">
        <f t="shared" si="0"/>
        <v>0.30303030303030298</v>
      </c>
    </row>
    <row r="29" spans="1:13" x14ac:dyDescent="0.2">
      <c r="A29" s="156" t="s">
        <v>572</v>
      </c>
      <c r="B29" s="156" t="s">
        <v>142</v>
      </c>
      <c r="C29" s="158" t="s">
        <v>184</v>
      </c>
      <c r="D29" s="157">
        <v>4990</v>
      </c>
      <c r="E29" s="158" t="s">
        <v>184</v>
      </c>
      <c r="F29" s="159" t="s">
        <v>573</v>
      </c>
      <c r="G29" s="159" t="s">
        <v>184</v>
      </c>
      <c r="H29" s="159" t="s">
        <v>574</v>
      </c>
      <c r="I29" s="159" t="s">
        <v>184</v>
      </c>
      <c r="J29" s="161" t="s">
        <v>184</v>
      </c>
      <c r="K29" s="160" t="s">
        <v>575</v>
      </c>
      <c r="L29" s="161" t="s">
        <v>184</v>
      </c>
      <c r="M29" s="75" t="e">
        <f t="shared" si="0"/>
        <v>#VALUE!</v>
      </c>
    </row>
    <row r="30" spans="1:13" x14ac:dyDescent="0.2">
      <c r="A30" s="156" t="s">
        <v>576</v>
      </c>
      <c r="B30" s="156" t="s">
        <v>142</v>
      </c>
      <c r="C30" s="158" t="s">
        <v>184</v>
      </c>
      <c r="D30" s="157">
        <v>1399</v>
      </c>
      <c r="E30" s="158" t="s">
        <v>184</v>
      </c>
      <c r="F30" s="159" t="s">
        <v>577</v>
      </c>
      <c r="G30" s="159" t="s">
        <v>184</v>
      </c>
      <c r="H30" s="159" t="s">
        <v>578</v>
      </c>
      <c r="I30" s="159" t="s">
        <v>184</v>
      </c>
      <c r="J30" s="161" t="s">
        <v>184</v>
      </c>
      <c r="K30" s="160" t="s">
        <v>579</v>
      </c>
      <c r="L30" s="161" t="s">
        <v>184</v>
      </c>
      <c r="M30" s="75" t="e">
        <f t="shared" si="0"/>
        <v>#VALUE!</v>
      </c>
    </row>
    <row r="31" spans="1:13" x14ac:dyDescent="0.2">
      <c r="A31" s="156" t="s">
        <v>301</v>
      </c>
      <c r="B31" s="156" t="s">
        <v>142</v>
      </c>
      <c r="C31" s="158" t="s">
        <v>184</v>
      </c>
      <c r="D31" s="157">
        <v>1399</v>
      </c>
      <c r="E31" s="158" t="s">
        <v>184</v>
      </c>
      <c r="F31" s="159" t="s">
        <v>580</v>
      </c>
      <c r="G31" s="159" t="s">
        <v>184</v>
      </c>
      <c r="H31" s="159" t="s">
        <v>578</v>
      </c>
      <c r="I31" s="159" t="s">
        <v>184</v>
      </c>
      <c r="J31" s="161" t="s">
        <v>184</v>
      </c>
      <c r="K31" s="160" t="s">
        <v>579</v>
      </c>
      <c r="L31" s="161" t="s">
        <v>184</v>
      </c>
      <c r="M31" s="75" t="e">
        <f t="shared" si="0"/>
        <v>#VALUE!</v>
      </c>
    </row>
    <row r="32" spans="1:13" x14ac:dyDescent="0.2">
      <c r="A32" s="156" t="s">
        <v>581</v>
      </c>
      <c r="B32" s="156" t="s">
        <v>142</v>
      </c>
      <c r="C32" s="158" t="s">
        <v>184</v>
      </c>
      <c r="D32" s="127">
        <f>1920*10</f>
        <v>19200</v>
      </c>
      <c r="E32" s="127">
        <f>2990*4</f>
        <v>11960</v>
      </c>
      <c r="F32" s="159" t="s">
        <v>582</v>
      </c>
      <c r="G32" s="159" t="s">
        <v>184</v>
      </c>
      <c r="H32" s="159" t="s">
        <v>184</v>
      </c>
      <c r="I32" s="159" t="s">
        <v>184</v>
      </c>
      <c r="J32" s="161" t="s">
        <v>184</v>
      </c>
      <c r="K32" s="161" t="s">
        <v>184</v>
      </c>
      <c r="L32" s="161" t="s">
        <v>184</v>
      </c>
      <c r="M32" s="75">
        <f t="shared" si="0"/>
        <v>-0.37708333333333333</v>
      </c>
    </row>
    <row r="33" spans="1:13" x14ac:dyDescent="0.2">
      <c r="A33" s="156" t="s">
        <v>181</v>
      </c>
      <c r="B33" s="156" t="s">
        <v>116</v>
      </c>
      <c r="C33" s="157">
        <v>1590</v>
      </c>
      <c r="D33" s="157">
        <v>1690</v>
      </c>
      <c r="E33" s="162">
        <v>1990</v>
      </c>
      <c r="F33" s="159" t="s">
        <v>583</v>
      </c>
      <c r="G33" s="159" t="s">
        <v>584</v>
      </c>
      <c r="H33" s="159" t="s">
        <v>585</v>
      </c>
      <c r="I33" s="159" t="s">
        <v>586</v>
      </c>
      <c r="J33" s="160" t="s">
        <v>441</v>
      </c>
      <c r="K33" s="160" t="s">
        <v>442</v>
      </c>
      <c r="L33" s="160" t="s">
        <v>467</v>
      </c>
      <c r="M33" s="75">
        <f t="shared" si="0"/>
        <v>0.1775147928994083</v>
      </c>
    </row>
    <row r="34" spans="1:13" x14ac:dyDescent="0.2">
      <c r="A34" s="156" t="s">
        <v>587</v>
      </c>
      <c r="B34" s="156" t="s">
        <v>142</v>
      </c>
      <c r="C34" s="158" t="s">
        <v>184</v>
      </c>
      <c r="D34" s="157">
        <v>1299</v>
      </c>
      <c r="E34" s="158" t="s">
        <v>184</v>
      </c>
      <c r="F34" s="159" t="s">
        <v>588</v>
      </c>
      <c r="G34" s="159" t="s">
        <v>184</v>
      </c>
      <c r="H34" s="159" t="s">
        <v>589</v>
      </c>
      <c r="I34" s="159" t="s">
        <v>184</v>
      </c>
      <c r="J34" s="161" t="s">
        <v>184</v>
      </c>
      <c r="K34" s="160" t="s">
        <v>590</v>
      </c>
      <c r="L34" s="161" t="s">
        <v>184</v>
      </c>
      <c r="M34" s="75" t="e">
        <f t="shared" si="0"/>
        <v>#VALUE!</v>
      </c>
    </row>
    <row r="35" spans="1:13" x14ac:dyDescent="0.2">
      <c r="A35" s="156" t="s">
        <v>307</v>
      </c>
      <c r="B35" s="156" t="s">
        <v>142</v>
      </c>
      <c r="C35" s="158" t="s">
        <v>184</v>
      </c>
      <c r="D35" s="157">
        <v>4990</v>
      </c>
      <c r="E35" s="158" t="s">
        <v>184</v>
      </c>
      <c r="F35" s="159" t="s">
        <v>591</v>
      </c>
      <c r="G35" s="159" t="s">
        <v>184</v>
      </c>
      <c r="H35" s="159" t="s">
        <v>592</v>
      </c>
      <c r="I35" s="159" t="s">
        <v>184</v>
      </c>
      <c r="J35" s="161" t="s">
        <v>184</v>
      </c>
      <c r="K35" s="160" t="s">
        <v>593</v>
      </c>
      <c r="L35" s="161" t="s">
        <v>184</v>
      </c>
      <c r="M35" s="75" t="e">
        <f t="shared" si="0"/>
        <v>#VALUE!</v>
      </c>
    </row>
    <row r="36" spans="1:13" x14ac:dyDescent="0.2">
      <c r="A36" s="156" t="s">
        <v>183</v>
      </c>
      <c r="B36" s="156" t="s">
        <v>142</v>
      </c>
      <c r="C36" s="157">
        <v>1990</v>
      </c>
      <c r="D36" s="157">
        <v>1790</v>
      </c>
      <c r="E36" s="158" t="s">
        <v>184</v>
      </c>
      <c r="F36" s="159" t="s">
        <v>594</v>
      </c>
      <c r="G36" s="159" t="s">
        <v>595</v>
      </c>
      <c r="H36" s="159" t="s">
        <v>596</v>
      </c>
      <c r="I36" s="159" t="s">
        <v>184</v>
      </c>
      <c r="J36" s="160" t="s">
        <v>530</v>
      </c>
      <c r="K36" s="160" t="s">
        <v>597</v>
      </c>
      <c r="L36" s="161" t="s">
        <v>184</v>
      </c>
      <c r="M36" s="75" t="e">
        <f t="shared" si="0"/>
        <v>#VALUE!</v>
      </c>
    </row>
    <row r="37" spans="1:13" x14ac:dyDescent="0.2">
      <c r="A37" s="156" t="s">
        <v>186</v>
      </c>
      <c r="B37" s="156" t="s">
        <v>142</v>
      </c>
      <c r="C37" s="158" t="s">
        <v>184</v>
      </c>
      <c r="D37" s="158" t="s">
        <v>184</v>
      </c>
      <c r="E37" s="158" t="s">
        <v>184</v>
      </c>
      <c r="F37" s="159" t="s">
        <v>598</v>
      </c>
      <c r="G37" s="159" t="s">
        <v>184</v>
      </c>
      <c r="H37" s="159" t="s">
        <v>184</v>
      </c>
      <c r="I37" s="159" t="s">
        <v>184</v>
      </c>
      <c r="J37" s="161" t="s">
        <v>184</v>
      </c>
      <c r="K37" s="161" t="s">
        <v>184</v>
      </c>
      <c r="L37" s="161" t="s">
        <v>184</v>
      </c>
      <c r="M37" s="75" t="e">
        <f t="shared" si="0"/>
        <v>#VALUE!</v>
      </c>
    </row>
    <row r="38" spans="1:13" x14ac:dyDescent="0.2">
      <c r="A38" s="156" t="s">
        <v>599</v>
      </c>
      <c r="B38" s="156" t="s">
        <v>142</v>
      </c>
      <c r="C38" s="158" t="s">
        <v>184</v>
      </c>
      <c r="D38" s="158" t="s">
        <v>184</v>
      </c>
      <c r="E38" s="158" t="s">
        <v>184</v>
      </c>
      <c r="F38" s="159" t="s">
        <v>600</v>
      </c>
      <c r="G38" s="159" t="s">
        <v>184</v>
      </c>
      <c r="H38" s="159" t="s">
        <v>184</v>
      </c>
      <c r="I38" s="159" t="s">
        <v>184</v>
      </c>
      <c r="J38" s="161" t="s">
        <v>184</v>
      </c>
      <c r="K38" s="161" t="s">
        <v>184</v>
      </c>
      <c r="L38" s="161" t="s">
        <v>184</v>
      </c>
      <c r="M38" s="75" t="e">
        <f t="shared" si="0"/>
        <v>#VALUE!</v>
      </c>
    </row>
    <row r="39" spans="1:13" x14ac:dyDescent="0.2">
      <c r="A39" s="156" t="s">
        <v>241</v>
      </c>
      <c r="B39" s="156" t="s">
        <v>142</v>
      </c>
      <c r="C39" s="157">
        <v>2590</v>
      </c>
      <c r="D39" s="157">
        <v>2590</v>
      </c>
      <c r="E39" s="162">
        <v>4690</v>
      </c>
      <c r="F39" s="159" t="s">
        <v>601</v>
      </c>
      <c r="G39" s="159" t="s">
        <v>602</v>
      </c>
      <c r="H39" s="159" t="s">
        <v>603</v>
      </c>
      <c r="I39" s="159" t="s">
        <v>604</v>
      </c>
      <c r="J39" s="160" t="s">
        <v>605</v>
      </c>
      <c r="K39" s="160" t="s">
        <v>605</v>
      </c>
      <c r="L39" s="160" t="s">
        <v>606</v>
      </c>
      <c r="M39" s="75">
        <f t="shared" si="0"/>
        <v>0.81081081081081074</v>
      </c>
    </row>
    <row r="40" spans="1:13" x14ac:dyDescent="0.2">
      <c r="A40" s="156" t="s">
        <v>607</v>
      </c>
      <c r="B40" s="156" t="s">
        <v>142</v>
      </c>
      <c r="C40" s="158" t="s">
        <v>184</v>
      </c>
      <c r="D40" s="157">
        <v>1650</v>
      </c>
      <c r="E40" s="158" t="s">
        <v>184</v>
      </c>
      <c r="F40" s="159" t="s">
        <v>608</v>
      </c>
      <c r="G40" s="159" t="s">
        <v>184</v>
      </c>
      <c r="H40" s="159" t="s">
        <v>609</v>
      </c>
      <c r="I40" s="159" t="s">
        <v>184</v>
      </c>
      <c r="J40" s="161" t="s">
        <v>184</v>
      </c>
      <c r="K40" s="160" t="s">
        <v>610</v>
      </c>
      <c r="L40" s="161" t="s">
        <v>184</v>
      </c>
      <c r="M40" s="75" t="e">
        <f t="shared" si="0"/>
        <v>#VALUE!</v>
      </c>
    </row>
    <row r="41" spans="1:13" x14ac:dyDescent="0.2">
      <c r="A41" s="156" t="s">
        <v>313</v>
      </c>
      <c r="B41" s="156" t="s">
        <v>142</v>
      </c>
      <c r="C41" s="158" t="s">
        <v>184</v>
      </c>
      <c r="D41" s="157">
        <v>7990</v>
      </c>
      <c r="E41" s="158" t="s">
        <v>184</v>
      </c>
      <c r="F41" s="159" t="s">
        <v>611</v>
      </c>
      <c r="G41" s="159" t="s">
        <v>184</v>
      </c>
      <c r="H41" s="159" t="s">
        <v>612</v>
      </c>
      <c r="I41" s="159" t="s">
        <v>184</v>
      </c>
      <c r="J41" s="161" t="s">
        <v>184</v>
      </c>
      <c r="K41" s="160" t="s">
        <v>613</v>
      </c>
      <c r="L41" s="161" t="s">
        <v>184</v>
      </c>
      <c r="M41" s="75" t="e">
        <f t="shared" si="0"/>
        <v>#VALUE!</v>
      </c>
    </row>
    <row r="42" spans="1:13" x14ac:dyDescent="0.2">
      <c r="A42" s="156" t="s">
        <v>361</v>
      </c>
      <c r="B42" s="156" t="s">
        <v>116</v>
      </c>
      <c r="C42" s="165">
        <v>309.66666666666669</v>
      </c>
      <c r="D42" s="127">
        <v>373</v>
      </c>
      <c r="E42" s="158" t="s">
        <v>184</v>
      </c>
      <c r="F42" s="159" t="s">
        <v>614</v>
      </c>
      <c r="G42" s="159" t="s">
        <v>184</v>
      </c>
      <c r="H42" s="159" t="s">
        <v>184</v>
      </c>
      <c r="I42" s="159" t="s">
        <v>184</v>
      </c>
      <c r="J42" s="161" t="s">
        <v>184</v>
      </c>
      <c r="K42" s="161" t="s">
        <v>184</v>
      </c>
      <c r="L42" s="161" t="s">
        <v>184</v>
      </c>
      <c r="M42" s="75" t="e">
        <f t="shared" ref="M42:M45" si="1">E42/#REF!-1</f>
        <v>#VALUE!</v>
      </c>
    </row>
    <row r="43" spans="1:13" x14ac:dyDescent="0.2">
      <c r="A43" s="156" t="s">
        <v>615</v>
      </c>
      <c r="B43" s="156" t="s">
        <v>116</v>
      </c>
      <c r="C43" s="165">
        <v>9290</v>
      </c>
      <c r="D43" s="127">
        <v>11190</v>
      </c>
      <c r="E43" s="158" t="s">
        <v>184</v>
      </c>
      <c r="F43" s="159" t="s">
        <v>614</v>
      </c>
      <c r="G43" s="159" t="s">
        <v>184</v>
      </c>
      <c r="H43" s="159" t="s">
        <v>184</v>
      </c>
      <c r="I43" s="159" t="s">
        <v>184</v>
      </c>
      <c r="J43" s="161" t="s">
        <v>184</v>
      </c>
      <c r="K43" s="161" t="s">
        <v>184</v>
      </c>
      <c r="L43" s="161" t="s">
        <v>184</v>
      </c>
      <c r="M43" s="75" t="e">
        <f t="shared" si="1"/>
        <v>#VALUE!</v>
      </c>
    </row>
    <row r="44" spans="1:13" x14ac:dyDescent="0.2">
      <c r="A44" s="156" t="s">
        <v>363</v>
      </c>
      <c r="B44" s="156" t="s">
        <v>116</v>
      </c>
      <c r="C44" s="165">
        <v>333</v>
      </c>
      <c r="D44" s="127">
        <v>389.66666666666669</v>
      </c>
      <c r="E44" s="127">
        <v>466.33333333333331</v>
      </c>
      <c r="F44" s="159" t="s">
        <v>616</v>
      </c>
      <c r="G44" s="159" t="s">
        <v>184</v>
      </c>
      <c r="H44" s="159" t="s">
        <v>184</v>
      </c>
      <c r="I44" s="159" t="s">
        <v>184</v>
      </c>
      <c r="J44" s="161" t="s">
        <v>184</v>
      </c>
      <c r="K44" s="161" t="s">
        <v>184</v>
      </c>
      <c r="L44" s="161" t="s">
        <v>184</v>
      </c>
      <c r="M44" s="75" t="e">
        <f t="shared" si="1"/>
        <v>#REF!</v>
      </c>
    </row>
    <row r="45" spans="1:13" x14ac:dyDescent="0.2">
      <c r="A45" s="156" t="s">
        <v>359</v>
      </c>
      <c r="B45" s="156" t="s">
        <v>116</v>
      </c>
      <c r="C45" s="165">
        <v>9990</v>
      </c>
      <c r="D45" s="127">
        <v>11690</v>
      </c>
      <c r="E45" s="127">
        <v>13990</v>
      </c>
      <c r="F45" s="159" t="s">
        <v>616</v>
      </c>
      <c r="G45" s="159" t="s">
        <v>184</v>
      </c>
      <c r="H45" s="159" t="s">
        <v>184</v>
      </c>
      <c r="I45" s="159" t="s">
        <v>184</v>
      </c>
      <c r="J45" s="161" t="s">
        <v>184</v>
      </c>
      <c r="K45" s="161" t="s">
        <v>184</v>
      </c>
      <c r="L45" s="161" t="s">
        <v>184</v>
      </c>
      <c r="M45" s="75" t="e">
        <f t="shared" si="1"/>
        <v>#REF!</v>
      </c>
    </row>
    <row r="46" spans="1:13" x14ac:dyDescent="0.2">
      <c r="A46" s="156" t="s">
        <v>188</v>
      </c>
      <c r="B46" s="156" t="s">
        <v>142</v>
      </c>
      <c r="C46" s="157">
        <v>1490</v>
      </c>
      <c r="D46" s="157">
        <v>1590</v>
      </c>
      <c r="E46" s="162">
        <v>1390</v>
      </c>
      <c r="F46" s="159" t="s">
        <v>617</v>
      </c>
      <c r="G46" s="159" t="s">
        <v>618</v>
      </c>
      <c r="H46" s="159" t="s">
        <v>619</v>
      </c>
      <c r="I46" s="159" t="s">
        <v>620</v>
      </c>
      <c r="J46" s="160" t="s">
        <v>621</v>
      </c>
      <c r="K46" s="160" t="s">
        <v>622</v>
      </c>
      <c r="L46" s="160" t="s">
        <v>424</v>
      </c>
      <c r="M46" s="75">
        <f t="shared" ref="M46:M112" si="2">E46/D46-1</f>
        <v>-0.12578616352201255</v>
      </c>
    </row>
    <row r="47" spans="1:13" x14ac:dyDescent="0.2">
      <c r="A47" s="156" t="s">
        <v>243</v>
      </c>
      <c r="B47" s="156" t="s">
        <v>142</v>
      </c>
      <c r="C47" s="157">
        <v>2590</v>
      </c>
      <c r="D47" s="157">
        <v>2145</v>
      </c>
      <c r="E47" s="162">
        <v>2190</v>
      </c>
      <c r="F47" s="159" t="s">
        <v>623</v>
      </c>
      <c r="G47" s="159" t="s">
        <v>624</v>
      </c>
      <c r="H47" s="159" t="s">
        <v>625</v>
      </c>
      <c r="I47" s="159" t="s">
        <v>626</v>
      </c>
      <c r="J47" s="160" t="s">
        <v>627</v>
      </c>
      <c r="K47" s="160" t="s">
        <v>628</v>
      </c>
      <c r="L47" s="160" t="s">
        <v>629</v>
      </c>
      <c r="M47" s="75">
        <f t="shared" si="2"/>
        <v>2.0979020979021046E-2</v>
      </c>
    </row>
    <row r="48" spans="1:13" x14ac:dyDescent="0.2">
      <c r="A48" s="156" t="s">
        <v>630</v>
      </c>
      <c r="B48" s="156" t="s">
        <v>142</v>
      </c>
      <c r="C48" s="158" t="s">
        <v>184</v>
      </c>
      <c r="D48" s="158" t="s">
        <v>184</v>
      </c>
      <c r="E48" s="158" t="s">
        <v>184</v>
      </c>
      <c r="F48" s="159" t="s">
        <v>631</v>
      </c>
      <c r="G48" s="159" t="s">
        <v>184</v>
      </c>
      <c r="H48" s="159" t="s">
        <v>184</v>
      </c>
      <c r="I48" s="159" t="s">
        <v>184</v>
      </c>
      <c r="J48" s="161" t="s">
        <v>184</v>
      </c>
      <c r="K48" s="161" t="s">
        <v>184</v>
      </c>
      <c r="L48" s="161" t="s">
        <v>184</v>
      </c>
      <c r="M48" s="75" t="e">
        <f t="shared" si="2"/>
        <v>#VALUE!</v>
      </c>
    </row>
    <row r="49" spans="1:13" x14ac:dyDescent="0.2">
      <c r="A49" s="156" t="s">
        <v>190</v>
      </c>
      <c r="B49" s="156" t="s">
        <v>116</v>
      </c>
      <c r="C49" s="157">
        <v>1290</v>
      </c>
      <c r="D49" s="157">
        <v>1420</v>
      </c>
      <c r="E49" s="162">
        <v>1490</v>
      </c>
      <c r="F49" s="159" t="s">
        <v>632</v>
      </c>
      <c r="G49" s="159" t="s">
        <v>633</v>
      </c>
      <c r="H49" s="159" t="s">
        <v>634</v>
      </c>
      <c r="I49" s="159" t="s">
        <v>635</v>
      </c>
      <c r="J49" s="160" t="s">
        <v>448</v>
      </c>
      <c r="K49" s="160" t="s">
        <v>636</v>
      </c>
      <c r="L49" s="160" t="s">
        <v>466</v>
      </c>
      <c r="M49" s="75">
        <f t="shared" si="2"/>
        <v>4.9295774647887258E-2</v>
      </c>
    </row>
    <row r="50" spans="1:13" x14ac:dyDescent="0.2">
      <c r="A50" s="156" t="s">
        <v>192</v>
      </c>
      <c r="B50" s="156" t="s">
        <v>116</v>
      </c>
      <c r="C50" s="157">
        <v>2490</v>
      </c>
      <c r="D50" s="157">
        <v>1460</v>
      </c>
      <c r="E50" s="162">
        <v>1490</v>
      </c>
      <c r="F50" s="159" t="s">
        <v>637</v>
      </c>
      <c r="G50" s="159" t="s">
        <v>638</v>
      </c>
      <c r="H50" s="159" t="s">
        <v>639</v>
      </c>
      <c r="I50" s="159" t="s">
        <v>640</v>
      </c>
      <c r="J50" s="160" t="s">
        <v>641</v>
      </c>
      <c r="K50" s="160" t="s">
        <v>642</v>
      </c>
      <c r="L50" s="160" t="s">
        <v>466</v>
      </c>
      <c r="M50" s="75">
        <f t="shared" si="2"/>
        <v>2.0547945205479534E-2</v>
      </c>
    </row>
    <row r="51" spans="1:13" x14ac:dyDescent="0.2">
      <c r="A51" s="156" t="s">
        <v>194</v>
      </c>
      <c r="B51" s="156" t="s">
        <v>116</v>
      </c>
      <c r="C51" s="157">
        <v>1290</v>
      </c>
      <c r="D51" s="157">
        <v>1250</v>
      </c>
      <c r="E51" s="162">
        <v>1890</v>
      </c>
      <c r="F51" s="159" t="s">
        <v>643</v>
      </c>
      <c r="G51" s="159" t="s">
        <v>644</v>
      </c>
      <c r="H51" s="159" t="s">
        <v>645</v>
      </c>
      <c r="I51" s="159" t="s">
        <v>646</v>
      </c>
      <c r="J51" s="160" t="s">
        <v>448</v>
      </c>
      <c r="K51" s="160" t="s">
        <v>647</v>
      </c>
      <c r="L51" s="160" t="s">
        <v>648</v>
      </c>
      <c r="M51" s="75">
        <f t="shared" si="2"/>
        <v>0.51200000000000001</v>
      </c>
    </row>
    <row r="52" spans="1:13" x14ac:dyDescent="0.2">
      <c r="A52" s="156" t="s">
        <v>196</v>
      </c>
      <c r="B52" s="156" t="s">
        <v>116</v>
      </c>
      <c r="C52" s="157">
        <v>1290</v>
      </c>
      <c r="D52" s="157">
        <v>1250</v>
      </c>
      <c r="E52" s="158" t="s">
        <v>184</v>
      </c>
      <c r="F52" s="159" t="s">
        <v>649</v>
      </c>
      <c r="G52" s="159" t="s">
        <v>650</v>
      </c>
      <c r="H52" s="159" t="s">
        <v>651</v>
      </c>
      <c r="I52" s="159" t="s">
        <v>184</v>
      </c>
      <c r="J52" s="160" t="s">
        <v>448</v>
      </c>
      <c r="K52" s="160" t="s">
        <v>647</v>
      </c>
      <c r="L52" s="161" t="s">
        <v>184</v>
      </c>
      <c r="M52" s="75" t="e">
        <f t="shared" si="2"/>
        <v>#VALUE!</v>
      </c>
    </row>
    <row r="53" spans="1:13" x14ac:dyDescent="0.2">
      <c r="A53" s="156" t="s">
        <v>200</v>
      </c>
      <c r="B53" s="156" t="s">
        <v>116</v>
      </c>
      <c r="C53" s="157">
        <v>1590</v>
      </c>
      <c r="D53" s="157">
        <v>1740</v>
      </c>
      <c r="E53" s="162">
        <v>1890</v>
      </c>
      <c r="F53" s="159" t="s">
        <v>652</v>
      </c>
      <c r="G53" s="159" t="s">
        <v>653</v>
      </c>
      <c r="H53" s="159" t="s">
        <v>654</v>
      </c>
      <c r="I53" s="159" t="s">
        <v>646</v>
      </c>
      <c r="J53" s="160" t="s">
        <v>441</v>
      </c>
      <c r="K53" s="160" t="s">
        <v>655</v>
      </c>
      <c r="L53" s="160" t="s">
        <v>648</v>
      </c>
      <c r="M53" s="75">
        <f t="shared" si="2"/>
        <v>8.6206896551724199E-2</v>
      </c>
    </row>
    <row r="54" spans="1:13" x14ac:dyDescent="0.2">
      <c r="A54" s="156" t="s">
        <v>198</v>
      </c>
      <c r="B54" s="156" t="s">
        <v>116</v>
      </c>
      <c r="C54" s="157">
        <v>1290</v>
      </c>
      <c r="D54" s="157">
        <v>1360</v>
      </c>
      <c r="E54" s="158" t="s">
        <v>184</v>
      </c>
      <c r="F54" s="159" t="s">
        <v>656</v>
      </c>
      <c r="G54" s="159" t="s">
        <v>657</v>
      </c>
      <c r="H54" s="159" t="s">
        <v>658</v>
      </c>
      <c r="I54" s="159" t="s">
        <v>184</v>
      </c>
      <c r="J54" s="160" t="s">
        <v>448</v>
      </c>
      <c r="K54" s="160" t="s">
        <v>659</v>
      </c>
      <c r="L54" s="161" t="s">
        <v>184</v>
      </c>
      <c r="M54" s="75" t="e">
        <f t="shared" si="2"/>
        <v>#VALUE!</v>
      </c>
    </row>
    <row r="55" spans="1:13" x14ac:dyDescent="0.2">
      <c r="A55" s="156" t="s">
        <v>245</v>
      </c>
      <c r="B55" s="156" t="s">
        <v>142</v>
      </c>
      <c r="C55" s="157">
        <v>1950</v>
      </c>
      <c r="D55" s="157">
        <v>795</v>
      </c>
      <c r="E55" s="162">
        <v>995</v>
      </c>
      <c r="F55" s="159" t="s">
        <v>660</v>
      </c>
      <c r="G55" s="159" t="s">
        <v>661</v>
      </c>
      <c r="H55" s="159" t="s">
        <v>662</v>
      </c>
      <c r="I55" s="159" t="s">
        <v>663</v>
      </c>
      <c r="J55" s="160" t="s">
        <v>664</v>
      </c>
      <c r="K55" s="160" t="s">
        <v>665</v>
      </c>
      <c r="L55" s="160" t="s">
        <v>666</v>
      </c>
      <c r="M55" s="75">
        <f t="shared" si="2"/>
        <v>0.2515723270440251</v>
      </c>
    </row>
    <row r="56" spans="1:13" x14ac:dyDescent="0.2">
      <c r="A56" s="156" t="s">
        <v>249</v>
      </c>
      <c r="B56" s="156" t="s">
        <v>142</v>
      </c>
      <c r="C56" s="158" t="s">
        <v>184</v>
      </c>
      <c r="D56" s="158" t="s">
        <v>184</v>
      </c>
      <c r="E56" s="158" t="s">
        <v>184</v>
      </c>
      <c r="F56" s="159" t="s">
        <v>667</v>
      </c>
      <c r="G56" s="159" t="s">
        <v>184</v>
      </c>
      <c r="H56" s="159" t="s">
        <v>184</v>
      </c>
      <c r="I56" s="159" t="s">
        <v>184</v>
      </c>
      <c r="J56" s="161" t="s">
        <v>184</v>
      </c>
      <c r="K56" s="161" t="s">
        <v>184</v>
      </c>
      <c r="L56" s="161" t="s">
        <v>184</v>
      </c>
      <c r="M56" s="75" t="e">
        <f t="shared" si="2"/>
        <v>#VALUE!</v>
      </c>
    </row>
    <row r="57" spans="1:13" x14ac:dyDescent="0.2">
      <c r="A57" s="156" t="s">
        <v>247</v>
      </c>
      <c r="B57" s="156" t="s">
        <v>142</v>
      </c>
      <c r="C57" s="157">
        <v>3650</v>
      </c>
      <c r="D57" s="157">
        <v>1845</v>
      </c>
      <c r="E57" s="162">
        <v>1790</v>
      </c>
      <c r="F57" s="159" t="s">
        <v>668</v>
      </c>
      <c r="G57" s="159" t="s">
        <v>669</v>
      </c>
      <c r="H57" s="159" t="s">
        <v>670</v>
      </c>
      <c r="I57" s="159" t="s">
        <v>671</v>
      </c>
      <c r="J57" s="160" t="s">
        <v>672</v>
      </c>
      <c r="K57" s="160" t="s">
        <v>673</v>
      </c>
      <c r="L57" s="160" t="s">
        <v>674</v>
      </c>
      <c r="M57" s="75">
        <f t="shared" si="2"/>
        <v>-2.9810298102981081E-2</v>
      </c>
    </row>
    <row r="58" spans="1:13" x14ac:dyDescent="0.2">
      <c r="A58" s="156" t="s">
        <v>675</v>
      </c>
      <c r="B58" s="156" t="s">
        <v>142</v>
      </c>
      <c r="C58" s="158" t="s">
        <v>184</v>
      </c>
      <c r="D58" s="157">
        <v>999</v>
      </c>
      <c r="E58" s="158" t="s">
        <v>184</v>
      </c>
      <c r="F58" s="159" t="s">
        <v>676</v>
      </c>
      <c r="G58" s="159" t="s">
        <v>184</v>
      </c>
      <c r="H58" s="159" t="s">
        <v>677</v>
      </c>
      <c r="I58" s="159" t="s">
        <v>184</v>
      </c>
      <c r="J58" s="161" t="s">
        <v>184</v>
      </c>
      <c r="K58" s="160" t="s">
        <v>678</v>
      </c>
      <c r="L58" s="161" t="s">
        <v>184</v>
      </c>
      <c r="M58" s="75" t="e">
        <f t="shared" si="2"/>
        <v>#VALUE!</v>
      </c>
    </row>
    <row r="59" spans="1:13" x14ac:dyDescent="0.2">
      <c r="A59" s="156" t="s">
        <v>319</v>
      </c>
      <c r="B59" s="156" t="s">
        <v>142</v>
      </c>
      <c r="C59" s="158" t="s">
        <v>184</v>
      </c>
      <c r="D59" s="158" t="s">
        <v>184</v>
      </c>
      <c r="E59" s="158" t="s">
        <v>184</v>
      </c>
      <c r="F59" s="159" t="s">
        <v>679</v>
      </c>
      <c r="G59" s="159" t="s">
        <v>184</v>
      </c>
      <c r="H59" s="159" t="s">
        <v>184</v>
      </c>
      <c r="I59" s="159" t="s">
        <v>184</v>
      </c>
      <c r="J59" s="161" t="s">
        <v>184</v>
      </c>
      <c r="K59" s="161" t="s">
        <v>184</v>
      </c>
      <c r="L59" s="161" t="s">
        <v>184</v>
      </c>
      <c r="M59" s="75" t="e">
        <f t="shared" si="2"/>
        <v>#VALUE!</v>
      </c>
    </row>
    <row r="60" spans="1:13" x14ac:dyDescent="0.2">
      <c r="A60" s="156" t="s">
        <v>260</v>
      </c>
      <c r="B60" s="156" t="s">
        <v>142</v>
      </c>
      <c r="C60" s="158" t="s">
        <v>184</v>
      </c>
      <c r="D60" s="158" t="s">
        <v>184</v>
      </c>
      <c r="E60" s="158" t="s">
        <v>184</v>
      </c>
      <c r="F60" s="159" t="s">
        <v>680</v>
      </c>
      <c r="G60" s="159" t="s">
        <v>681</v>
      </c>
      <c r="H60" s="159" t="s">
        <v>184</v>
      </c>
      <c r="I60" s="159" t="s">
        <v>184</v>
      </c>
      <c r="J60" s="161" t="s">
        <v>184</v>
      </c>
      <c r="K60" s="161" t="s">
        <v>184</v>
      </c>
      <c r="L60" s="161" t="s">
        <v>184</v>
      </c>
      <c r="M60" s="75" t="e">
        <f t="shared" si="2"/>
        <v>#VALUE!</v>
      </c>
    </row>
    <row r="61" spans="1:13" x14ac:dyDescent="0.2">
      <c r="A61" s="156" t="s">
        <v>250</v>
      </c>
      <c r="B61" s="156" t="s">
        <v>142</v>
      </c>
      <c r="C61" s="157">
        <v>2000</v>
      </c>
      <c r="D61" s="157">
        <v>1395</v>
      </c>
      <c r="E61" s="162">
        <v>1445</v>
      </c>
      <c r="F61" s="159" t="s">
        <v>682</v>
      </c>
      <c r="G61" s="159" t="s">
        <v>683</v>
      </c>
      <c r="H61" s="159" t="s">
        <v>684</v>
      </c>
      <c r="I61" s="159" t="s">
        <v>685</v>
      </c>
      <c r="J61" s="160" t="s">
        <v>686</v>
      </c>
      <c r="K61" s="160" t="s">
        <v>687</v>
      </c>
      <c r="L61" s="160" t="s">
        <v>688</v>
      </c>
      <c r="M61" s="75">
        <f t="shared" si="2"/>
        <v>3.584229390680993E-2</v>
      </c>
    </row>
    <row r="62" spans="1:13" x14ac:dyDescent="0.2">
      <c r="A62" s="156" t="s">
        <v>252</v>
      </c>
      <c r="B62" s="156" t="s">
        <v>116</v>
      </c>
      <c r="C62" s="157">
        <v>2890</v>
      </c>
      <c r="D62" s="166">
        <v>1505</v>
      </c>
      <c r="E62" s="162">
        <v>2690</v>
      </c>
      <c r="F62" s="159" t="s">
        <v>689</v>
      </c>
      <c r="G62" s="159" t="s">
        <v>690</v>
      </c>
      <c r="H62" s="159" t="s">
        <v>691</v>
      </c>
      <c r="I62" s="159" t="s">
        <v>692</v>
      </c>
      <c r="J62" s="160" t="s">
        <v>693</v>
      </c>
      <c r="K62" s="160" t="s">
        <v>694</v>
      </c>
      <c r="L62" s="160" t="s">
        <v>695</v>
      </c>
      <c r="M62" s="75">
        <f t="shared" si="2"/>
        <v>0.78737541528239197</v>
      </c>
    </row>
    <row r="63" spans="1:13" x14ac:dyDescent="0.2">
      <c r="A63" s="156" t="s">
        <v>696</v>
      </c>
      <c r="B63" s="156" t="s">
        <v>142</v>
      </c>
      <c r="C63" s="158" t="s">
        <v>184</v>
      </c>
      <c r="D63" s="157">
        <v>4590</v>
      </c>
      <c r="E63" s="158" t="s">
        <v>184</v>
      </c>
      <c r="F63" s="159" t="s">
        <v>697</v>
      </c>
      <c r="G63" s="159" t="s">
        <v>184</v>
      </c>
      <c r="H63" s="159" t="s">
        <v>698</v>
      </c>
      <c r="I63" s="159" t="s">
        <v>184</v>
      </c>
      <c r="J63" s="161" t="s">
        <v>184</v>
      </c>
      <c r="K63" s="160" t="s">
        <v>699</v>
      </c>
      <c r="L63" s="161" t="s">
        <v>184</v>
      </c>
      <c r="M63" s="75" t="e">
        <f t="shared" si="2"/>
        <v>#VALUE!</v>
      </c>
    </row>
    <row r="64" spans="1:13" x14ac:dyDescent="0.2">
      <c r="A64" s="156" t="s">
        <v>700</v>
      </c>
      <c r="B64" s="156" t="s">
        <v>142</v>
      </c>
      <c r="C64" s="158" t="s">
        <v>184</v>
      </c>
      <c r="D64" s="158" t="s">
        <v>184</v>
      </c>
      <c r="E64" s="158" t="s">
        <v>184</v>
      </c>
      <c r="F64" s="159" t="s">
        <v>701</v>
      </c>
      <c r="G64" s="159" t="s">
        <v>184</v>
      </c>
      <c r="H64" s="159" t="s">
        <v>184</v>
      </c>
      <c r="I64" s="159" t="s">
        <v>184</v>
      </c>
      <c r="J64" s="161" t="s">
        <v>184</v>
      </c>
      <c r="K64" s="161" t="s">
        <v>184</v>
      </c>
      <c r="L64" s="161" t="s">
        <v>184</v>
      </c>
      <c r="M64" s="75" t="e">
        <f t="shared" si="2"/>
        <v>#VALUE!</v>
      </c>
    </row>
    <row r="65" spans="1:13" x14ac:dyDescent="0.2">
      <c r="A65" s="156" t="s">
        <v>702</v>
      </c>
      <c r="B65" s="156" t="s">
        <v>142</v>
      </c>
      <c r="C65" s="158" t="s">
        <v>184</v>
      </c>
      <c r="D65" s="157">
        <v>3790</v>
      </c>
      <c r="E65" s="158" t="s">
        <v>184</v>
      </c>
      <c r="F65" s="159" t="s">
        <v>703</v>
      </c>
      <c r="G65" s="159" t="s">
        <v>184</v>
      </c>
      <c r="H65" s="159" t="s">
        <v>704</v>
      </c>
      <c r="I65" s="159" t="s">
        <v>184</v>
      </c>
      <c r="J65" s="161" t="s">
        <v>184</v>
      </c>
      <c r="K65" s="160" t="s">
        <v>705</v>
      </c>
      <c r="L65" s="161" t="s">
        <v>184</v>
      </c>
      <c r="M65" s="75" t="e">
        <f t="shared" si="2"/>
        <v>#VALUE!</v>
      </c>
    </row>
    <row r="66" spans="1:13" x14ac:dyDescent="0.2">
      <c r="A66" s="156" t="s">
        <v>327</v>
      </c>
      <c r="B66" s="156" t="s">
        <v>142</v>
      </c>
      <c r="C66" s="158" t="s">
        <v>184</v>
      </c>
      <c r="D66" s="158" t="s">
        <v>184</v>
      </c>
      <c r="E66" s="158" t="s">
        <v>184</v>
      </c>
      <c r="F66" s="159" t="s">
        <v>706</v>
      </c>
      <c r="G66" s="159" t="s">
        <v>184</v>
      </c>
      <c r="H66" s="159" t="s">
        <v>184</v>
      </c>
      <c r="I66" s="159" t="s">
        <v>184</v>
      </c>
      <c r="J66" s="161" t="s">
        <v>184</v>
      </c>
      <c r="K66" s="161" t="s">
        <v>184</v>
      </c>
      <c r="L66" s="161" t="s">
        <v>184</v>
      </c>
      <c r="M66" s="75" t="e">
        <f t="shared" si="2"/>
        <v>#VALUE!</v>
      </c>
    </row>
    <row r="67" spans="1:13" x14ac:dyDescent="0.2">
      <c r="A67" s="156" t="s">
        <v>707</v>
      </c>
      <c r="B67" s="156" t="s">
        <v>142</v>
      </c>
      <c r="C67" s="158" t="s">
        <v>184</v>
      </c>
      <c r="D67" s="158" t="s">
        <v>184</v>
      </c>
      <c r="E67" s="158" t="s">
        <v>184</v>
      </c>
      <c r="F67" s="159" t="s">
        <v>708</v>
      </c>
      <c r="G67" s="159" t="s">
        <v>184</v>
      </c>
      <c r="H67" s="159" t="s">
        <v>184</v>
      </c>
      <c r="I67" s="159" t="s">
        <v>184</v>
      </c>
      <c r="J67" s="161" t="s">
        <v>184</v>
      </c>
      <c r="K67" s="161" t="s">
        <v>184</v>
      </c>
      <c r="L67" s="161" t="s">
        <v>184</v>
      </c>
      <c r="M67" s="75" t="e">
        <f t="shared" si="2"/>
        <v>#VALUE!</v>
      </c>
    </row>
    <row r="68" spans="1:13" x14ac:dyDescent="0.2">
      <c r="A68" s="156" t="s">
        <v>709</v>
      </c>
      <c r="B68" s="156" t="s">
        <v>142</v>
      </c>
      <c r="C68" s="158" t="s">
        <v>184</v>
      </c>
      <c r="D68" s="158" t="s">
        <v>184</v>
      </c>
      <c r="E68" s="158" t="s">
        <v>184</v>
      </c>
      <c r="F68" s="159" t="s">
        <v>710</v>
      </c>
      <c r="G68" s="159" t="s">
        <v>184</v>
      </c>
      <c r="H68" s="159" t="s">
        <v>184</v>
      </c>
      <c r="I68" s="159" t="s">
        <v>184</v>
      </c>
      <c r="J68" s="161" t="s">
        <v>184</v>
      </c>
      <c r="K68" s="161" t="s">
        <v>184</v>
      </c>
      <c r="L68" s="161" t="s">
        <v>184</v>
      </c>
      <c r="M68" s="75" t="e">
        <f t="shared" si="2"/>
        <v>#VALUE!</v>
      </c>
    </row>
    <row r="69" spans="1:13" x14ac:dyDescent="0.2">
      <c r="A69" s="156" t="s">
        <v>711</v>
      </c>
      <c r="B69" s="156" t="s">
        <v>142</v>
      </c>
      <c r="C69" s="158" t="s">
        <v>184</v>
      </c>
      <c r="D69" s="157">
        <v>3990</v>
      </c>
      <c r="E69" s="158" t="s">
        <v>184</v>
      </c>
      <c r="F69" s="159" t="s">
        <v>712</v>
      </c>
      <c r="G69" s="159" t="s">
        <v>184</v>
      </c>
      <c r="H69" s="159" t="s">
        <v>713</v>
      </c>
      <c r="I69" s="159" t="s">
        <v>184</v>
      </c>
      <c r="J69" s="161" t="s">
        <v>184</v>
      </c>
      <c r="K69" s="160" t="s">
        <v>714</v>
      </c>
      <c r="L69" s="161" t="s">
        <v>184</v>
      </c>
      <c r="M69" s="75" t="e">
        <f t="shared" si="2"/>
        <v>#VALUE!</v>
      </c>
    </row>
    <row r="70" spans="1:13" x14ac:dyDescent="0.2">
      <c r="A70" s="156" t="s">
        <v>715</v>
      </c>
      <c r="B70" s="156" t="s">
        <v>142</v>
      </c>
      <c r="C70" s="158" t="s">
        <v>184</v>
      </c>
      <c r="D70" s="157">
        <v>3490</v>
      </c>
      <c r="E70" s="158" t="s">
        <v>184</v>
      </c>
      <c r="F70" s="159" t="s">
        <v>716</v>
      </c>
      <c r="G70" s="159" t="s">
        <v>184</v>
      </c>
      <c r="H70" s="159" t="s">
        <v>717</v>
      </c>
      <c r="I70" s="159" t="s">
        <v>184</v>
      </c>
      <c r="J70" s="161" t="s">
        <v>184</v>
      </c>
      <c r="K70" s="160" t="s">
        <v>718</v>
      </c>
      <c r="L70" s="161" t="s">
        <v>184</v>
      </c>
      <c r="M70" s="75" t="e">
        <f t="shared" si="2"/>
        <v>#VALUE!</v>
      </c>
    </row>
    <row r="71" spans="1:13" x14ac:dyDescent="0.2">
      <c r="A71" s="156" t="s">
        <v>254</v>
      </c>
      <c r="B71" s="156" t="s">
        <v>142</v>
      </c>
      <c r="C71" s="157">
        <v>1990</v>
      </c>
      <c r="D71" s="157">
        <v>1295</v>
      </c>
      <c r="E71" s="162">
        <v>1445</v>
      </c>
      <c r="F71" s="159" t="s">
        <v>719</v>
      </c>
      <c r="G71" s="159" t="s">
        <v>720</v>
      </c>
      <c r="H71" s="159" t="s">
        <v>721</v>
      </c>
      <c r="I71" s="159" t="s">
        <v>722</v>
      </c>
      <c r="J71" s="160" t="s">
        <v>530</v>
      </c>
      <c r="K71" s="160" t="s">
        <v>723</v>
      </c>
      <c r="L71" s="160" t="s">
        <v>724</v>
      </c>
      <c r="M71" s="75">
        <f t="shared" si="2"/>
        <v>0.11583011583011582</v>
      </c>
    </row>
    <row r="72" spans="1:13" x14ac:dyDescent="0.2">
      <c r="A72" s="156" t="s">
        <v>258</v>
      </c>
      <c r="B72" s="156" t="s">
        <v>142</v>
      </c>
      <c r="C72" s="157">
        <v>1890</v>
      </c>
      <c r="D72" s="157">
        <v>1295</v>
      </c>
      <c r="E72" s="162">
        <v>1445</v>
      </c>
      <c r="F72" s="159" t="s">
        <v>725</v>
      </c>
      <c r="G72" s="159" t="s">
        <v>726</v>
      </c>
      <c r="H72" s="159" t="s">
        <v>727</v>
      </c>
      <c r="I72" s="159" t="s">
        <v>728</v>
      </c>
      <c r="J72" s="160" t="s">
        <v>729</v>
      </c>
      <c r="K72" s="160" t="s">
        <v>723</v>
      </c>
      <c r="L72" s="160" t="s">
        <v>724</v>
      </c>
      <c r="M72" s="75">
        <f t="shared" si="2"/>
        <v>0.11583011583011582</v>
      </c>
    </row>
    <row r="73" spans="1:13" x14ac:dyDescent="0.2">
      <c r="A73" s="156" t="s">
        <v>256</v>
      </c>
      <c r="B73" s="156" t="s">
        <v>142</v>
      </c>
      <c r="C73" s="157">
        <v>1990</v>
      </c>
      <c r="D73" s="157">
        <v>1295</v>
      </c>
      <c r="E73" s="162">
        <v>1445</v>
      </c>
      <c r="F73" s="159" t="s">
        <v>730</v>
      </c>
      <c r="G73" s="159" t="s">
        <v>731</v>
      </c>
      <c r="H73" s="159" t="s">
        <v>732</v>
      </c>
      <c r="I73" s="159" t="s">
        <v>733</v>
      </c>
      <c r="J73" s="160" t="s">
        <v>530</v>
      </c>
      <c r="K73" s="160" t="s">
        <v>723</v>
      </c>
      <c r="L73" s="160" t="s">
        <v>724</v>
      </c>
      <c r="M73" s="75">
        <f t="shared" si="2"/>
        <v>0.11583011583011582</v>
      </c>
    </row>
    <row r="74" spans="1:13" x14ac:dyDescent="0.2">
      <c r="A74" s="156" t="s">
        <v>202</v>
      </c>
      <c r="B74" s="156" t="s">
        <v>142</v>
      </c>
      <c r="C74" s="157">
        <v>990</v>
      </c>
      <c r="D74" s="157">
        <v>1050</v>
      </c>
      <c r="E74" s="162">
        <v>2690</v>
      </c>
      <c r="F74" s="159" t="s">
        <v>734</v>
      </c>
      <c r="G74" s="159" t="s">
        <v>735</v>
      </c>
      <c r="H74" s="159" t="s">
        <v>736</v>
      </c>
      <c r="I74" s="159" t="s">
        <v>737</v>
      </c>
      <c r="J74" s="160" t="s">
        <v>558</v>
      </c>
      <c r="K74" s="160" t="s">
        <v>738</v>
      </c>
      <c r="L74" s="160" t="s">
        <v>739</v>
      </c>
      <c r="M74" s="75">
        <f t="shared" si="2"/>
        <v>1.5619047619047617</v>
      </c>
    </row>
    <row r="75" spans="1:13" x14ac:dyDescent="0.2">
      <c r="A75" s="156" t="s">
        <v>262</v>
      </c>
      <c r="B75" s="156" t="s">
        <v>142</v>
      </c>
      <c r="C75" s="157">
        <v>2690</v>
      </c>
      <c r="D75" s="157">
        <v>1445</v>
      </c>
      <c r="E75" s="162">
        <v>1445</v>
      </c>
      <c r="F75" s="159" t="s">
        <v>740</v>
      </c>
      <c r="G75" s="159" t="s">
        <v>741</v>
      </c>
      <c r="H75" s="159" t="s">
        <v>742</v>
      </c>
      <c r="I75" s="159" t="s">
        <v>743</v>
      </c>
      <c r="J75" s="160" t="s">
        <v>744</v>
      </c>
      <c r="K75" s="160" t="s">
        <v>745</v>
      </c>
      <c r="L75" s="160" t="s">
        <v>724</v>
      </c>
      <c r="M75" s="75">
        <f t="shared" si="2"/>
        <v>0</v>
      </c>
    </row>
    <row r="76" spans="1:13" x14ac:dyDescent="0.2">
      <c r="A76" s="156" t="s">
        <v>746</v>
      </c>
      <c r="B76" s="156" t="s">
        <v>142</v>
      </c>
      <c r="C76" s="158" t="s">
        <v>184</v>
      </c>
      <c r="D76" s="157">
        <v>1499</v>
      </c>
      <c r="E76" s="158" t="s">
        <v>184</v>
      </c>
      <c r="F76" s="159" t="s">
        <v>747</v>
      </c>
      <c r="G76" s="159" t="s">
        <v>184</v>
      </c>
      <c r="H76" s="159" t="s">
        <v>748</v>
      </c>
      <c r="I76" s="159" t="s">
        <v>184</v>
      </c>
      <c r="J76" s="161" t="s">
        <v>184</v>
      </c>
      <c r="K76" s="160" t="s">
        <v>749</v>
      </c>
      <c r="L76" s="161" t="s">
        <v>184</v>
      </c>
      <c r="M76" s="75" t="e">
        <f t="shared" si="2"/>
        <v>#VALUE!</v>
      </c>
    </row>
    <row r="77" spans="1:13" x14ac:dyDescent="0.2">
      <c r="A77" s="156" t="s">
        <v>385</v>
      </c>
      <c r="B77" s="156" t="s">
        <v>142</v>
      </c>
      <c r="C77" s="157">
        <v>4990</v>
      </c>
      <c r="D77" s="166">
        <v>2890</v>
      </c>
      <c r="E77" s="162">
        <v>6490</v>
      </c>
      <c r="F77" s="159" t="s">
        <v>750</v>
      </c>
      <c r="G77" s="159" t="s">
        <v>751</v>
      </c>
      <c r="H77" s="159" t="s">
        <v>752</v>
      </c>
      <c r="I77" s="159" t="s">
        <v>753</v>
      </c>
      <c r="J77" s="160" t="s">
        <v>754</v>
      </c>
      <c r="K77" s="160" t="s">
        <v>693</v>
      </c>
      <c r="L77" s="160" t="s">
        <v>755</v>
      </c>
      <c r="M77" s="75">
        <f t="shared" si="2"/>
        <v>1.2456747404844291</v>
      </c>
    </row>
    <row r="78" spans="1:13" x14ac:dyDescent="0.2">
      <c r="A78" s="156" t="s">
        <v>266</v>
      </c>
      <c r="B78" s="156" t="s">
        <v>142</v>
      </c>
      <c r="C78" s="158" t="s">
        <v>184</v>
      </c>
      <c r="D78" s="166">
        <v>5990</v>
      </c>
      <c r="E78" s="158" t="s">
        <v>184</v>
      </c>
      <c r="F78" s="159" t="s">
        <v>756</v>
      </c>
      <c r="G78" s="159" t="s">
        <v>184</v>
      </c>
      <c r="H78" s="159" t="s">
        <v>757</v>
      </c>
      <c r="I78" s="159" t="s">
        <v>184</v>
      </c>
      <c r="J78" s="161" t="s">
        <v>184</v>
      </c>
      <c r="K78" s="160" t="s">
        <v>758</v>
      </c>
      <c r="L78" s="161" t="s">
        <v>184</v>
      </c>
      <c r="M78" s="75" t="e">
        <f t="shared" si="2"/>
        <v>#VALUE!</v>
      </c>
    </row>
    <row r="79" spans="1:13" x14ac:dyDescent="0.2">
      <c r="A79" s="156" t="s">
        <v>204</v>
      </c>
      <c r="B79" s="156" t="s">
        <v>142</v>
      </c>
      <c r="C79" s="157">
        <v>1590</v>
      </c>
      <c r="D79" s="157">
        <v>795</v>
      </c>
      <c r="E79" s="162">
        <v>795</v>
      </c>
      <c r="F79" s="159" t="s">
        <v>759</v>
      </c>
      <c r="G79" s="159" t="s">
        <v>760</v>
      </c>
      <c r="H79" s="159" t="s">
        <v>761</v>
      </c>
      <c r="I79" s="159" t="s">
        <v>762</v>
      </c>
      <c r="J79" s="160" t="s">
        <v>763</v>
      </c>
      <c r="K79" s="160" t="s">
        <v>665</v>
      </c>
      <c r="L79" s="160" t="s">
        <v>764</v>
      </c>
      <c r="M79" s="75">
        <f t="shared" si="2"/>
        <v>0</v>
      </c>
    </row>
    <row r="80" spans="1:13" x14ac:dyDescent="0.2">
      <c r="A80" s="156" t="s">
        <v>339</v>
      </c>
      <c r="B80" s="156" t="s">
        <v>142</v>
      </c>
      <c r="C80" s="158" t="s">
        <v>184</v>
      </c>
      <c r="D80" s="158" t="s">
        <v>184</v>
      </c>
      <c r="E80" s="158" t="s">
        <v>184</v>
      </c>
      <c r="F80" s="159" t="s">
        <v>765</v>
      </c>
      <c r="G80" s="159" t="s">
        <v>184</v>
      </c>
      <c r="H80" s="159" t="s">
        <v>184</v>
      </c>
      <c r="I80" s="159" t="s">
        <v>184</v>
      </c>
      <c r="J80" s="161" t="s">
        <v>184</v>
      </c>
      <c r="K80" s="161" t="s">
        <v>184</v>
      </c>
      <c r="L80" s="161" t="s">
        <v>184</v>
      </c>
      <c r="M80" s="75" t="e">
        <f t="shared" si="2"/>
        <v>#VALUE!</v>
      </c>
    </row>
    <row r="81" spans="1:13" x14ac:dyDescent="0.2">
      <c r="A81" s="156" t="s">
        <v>766</v>
      </c>
      <c r="B81" s="156" t="s">
        <v>142</v>
      </c>
      <c r="C81" s="158" t="s">
        <v>184</v>
      </c>
      <c r="D81" s="158" t="s">
        <v>184</v>
      </c>
      <c r="E81" s="158" t="s">
        <v>184</v>
      </c>
      <c r="F81" s="159" t="s">
        <v>767</v>
      </c>
      <c r="G81" s="159" t="s">
        <v>184</v>
      </c>
      <c r="H81" s="159" t="s">
        <v>184</v>
      </c>
      <c r="I81" s="159" t="s">
        <v>184</v>
      </c>
      <c r="J81" s="161" t="s">
        <v>184</v>
      </c>
      <c r="K81" s="161" t="s">
        <v>184</v>
      </c>
      <c r="L81" s="161" t="s">
        <v>184</v>
      </c>
      <c r="M81" s="75" t="e">
        <f t="shared" si="2"/>
        <v>#VALUE!</v>
      </c>
    </row>
    <row r="82" spans="1:13" x14ac:dyDescent="0.2">
      <c r="A82" s="156" t="s">
        <v>768</v>
      </c>
      <c r="B82" s="156" t="s">
        <v>142</v>
      </c>
      <c r="C82" s="158" t="s">
        <v>184</v>
      </c>
      <c r="D82" s="157">
        <v>3170</v>
      </c>
      <c r="E82" s="158" t="s">
        <v>184</v>
      </c>
      <c r="F82" s="159" t="s">
        <v>769</v>
      </c>
      <c r="G82" s="159" t="s">
        <v>184</v>
      </c>
      <c r="H82" s="159" t="s">
        <v>770</v>
      </c>
      <c r="I82" s="159" t="s">
        <v>184</v>
      </c>
      <c r="J82" s="161" t="s">
        <v>184</v>
      </c>
      <c r="K82" s="160" t="s">
        <v>771</v>
      </c>
      <c r="L82" s="161" t="s">
        <v>184</v>
      </c>
      <c r="M82" s="75" t="e">
        <f t="shared" si="2"/>
        <v>#VALUE!</v>
      </c>
    </row>
    <row r="83" spans="1:13" x14ac:dyDescent="0.2">
      <c r="A83" s="156" t="s">
        <v>772</v>
      </c>
      <c r="B83" s="156" t="s">
        <v>142</v>
      </c>
      <c r="C83" s="158" t="s">
        <v>184</v>
      </c>
      <c r="D83" s="157">
        <v>999</v>
      </c>
      <c r="E83" s="158" t="s">
        <v>184</v>
      </c>
      <c r="F83" s="159" t="s">
        <v>773</v>
      </c>
      <c r="G83" s="159" t="s">
        <v>184</v>
      </c>
      <c r="H83" s="159" t="s">
        <v>774</v>
      </c>
      <c r="I83" s="159" t="s">
        <v>184</v>
      </c>
      <c r="J83" s="161" t="s">
        <v>184</v>
      </c>
      <c r="K83" s="160" t="s">
        <v>775</v>
      </c>
      <c r="L83" s="161" t="s">
        <v>184</v>
      </c>
      <c r="M83" s="75" t="e">
        <f t="shared" si="2"/>
        <v>#VALUE!</v>
      </c>
    </row>
    <row r="84" spans="1:13" x14ac:dyDescent="0.2">
      <c r="A84" s="156" t="s">
        <v>776</v>
      </c>
      <c r="B84" s="156" t="s">
        <v>142</v>
      </c>
      <c r="C84" s="158" t="s">
        <v>184</v>
      </c>
      <c r="D84" s="157">
        <v>1299</v>
      </c>
      <c r="E84" s="158" t="s">
        <v>184</v>
      </c>
      <c r="F84" s="159" t="s">
        <v>777</v>
      </c>
      <c r="G84" s="159" t="s">
        <v>184</v>
      </c>
      <c r="H84" s="159" t="s">
        <v>778</v>
      </c>
      <c r="I84" s="159" t="s">
        <v>184</v>
      </c>
      <c r="J84" s="161" t="s">
        <v>184</v>
      </c>
      <c r="K84" s="160" t="s">
        <v>590</v>
      </c>
      <c r="L84" s="161" t="s">
        <v>184</v>
      </c>
      <c r="M84" s="75" t="e">
        <f t="shared" si="2"/>
        <v>#VALUE!</v>
      </c>
    </row>
    <row r="85" spans="1:13" x14ac:dyDescent="0.2">
      <c r="A85" s="156" t="s">
        <v>270</v>
      </c>
      <c r="B85" s="156" t="s">
        <v>142</v>
      </c>
      <c r="C85" s="157">
        <v>3290</v>
      </c>
      <c r="D85" s="157">
        <v>1745</v>
      </c>
      <c r="E85" s="162">
        <v>1695</v>
      </c>
      <c r="F85" s="159" t="s">
        <v>779</v>
      </c>
      <c r="G85" s="159" t="s">
        <v>780</v>
      </c>
      <c r="H85" s="159" t="s">
        <v>780</v>
      </c>
      <c r="I85" s="159" t="s">
        <v>781</v>
      </c>
      <c r="J85" s="160" t="s">
        <v>782</v>
      </c>
      <c r="K85" s="160" t="s">
        <v>783</v>
      </c>
      <c r="L85" s="160" t="s">
        <v>784</v>
      </c>
      <c r="M85" s="75">
        <f t="shared" si="2"/>
        <v>-2.8653295128939882E-2</v>
      </c>
    </row>
    <row r="86" spans="1:13" x14ac:dyDescent="0.2">
      <c r="A86" s="156" t="s">
        <v>206</v>
      </c>
      <c r="B86" s="156" t="s">
        <v>116</v>
      </c>
      <c r="C86" s="157">
        <v>720</v>
      </c>
      <c r="D86" s="157">
        <v>750</v>
      </c>
      <c r="E86" s="162">
        <v>790</v>
      </c>
      <c r="F86" s="159" t="s">
        <v>785</v>
      </c>
      <c r="G86" s="159" t="s">
        <v>786</v>
      </c>
      <c r="H86" s="159" t="s">
        <v>787</v>
      </c>
      <c r="I86" s="159" t="s">
        <v>788</v>
      </c>
      <c r="J86" s="160" t="s">
        <v>789</v>
      </c>
      <c r="K86" s="160" t="s">
        <v>790</v>
      </c>
      <c r="L86" s="160" t="s">
        <v>447</v>
      </c>
      <c r="M86" s="75">
        <f t="shared" si="2"/>
        <v>5.3333333333333233E-2</v>
      </c>
    </row>
    <row r="87" spans="1:13" x14ac:dyDescent="0.2">
      <c r="A87" s="156" t="s">
        <v>268</v>
      </c>
      <c r="B87" s="156" t="s">
        <v>142</v>
      </c>
      <c r="C87" s="157">
        <v>1790</v>
      </c>
      <c r="D87" s="157">
        <v>1095</v>
      </c>
      <c r="E87" s="162">
        <v>1345</v>
      </c>
      <c r="F87" s="159" t="s">
        <v>791</v>
      </c>
      <c r="G87" s="159" t="s">
        <v>792</v>
      </c>
      <c r="H87" s="159" t="s">
        <v>793</v>
      </c>
      <c r="I87" s="159" t="s">
        <v>794</v>
      </c>
      <c r="J87" s="160" t="s">
        <v>597</v>
      </c>
      <c r="K87" s="160" t="s">
        <v>795</v>
      </c>
      <c r="L87" s="160" t="s">
        <v>796</v>
      </c>
      <c r="M87" s="75">
        <f t="shared" si="2"/>
        <v>0.22831050228310512</v>
      </c>
    </row>
    <row r="88" spans="1:13" x14ac:dyDescent="0.2">
      <c r="A88" s="156" t="s">
        <v>208</v>
      </c>
      <c r="B88" s="156" t="s">
        <v>139</v>
      </c>
      <c r="C88" s="157">
        <v>630</v>
      </c>
      <c r="D88" s="157">
        <v>650</v>
      </c>
      <c r="E88" s="162">
        <v>1250</v>
      </c>
      <c r="F88" s="159" t="s">
        <v>797</v>
      </c>
      <c r="G88" s="159" t="s">
        <v>798</v>
      </c>
      <c r="H88" s="159" t="s">
        <v>799</v>
      </c>
      <c r="I88" s="159" t="s">
        <v>800</v>
      </c>
      <c r="J88" s="160" t="s">
        <v>801</v>
      </c>
      <c r="K88" s="160" t="s">
        <v>802</v>
      </c>
      <c r="L88" s="160" t="s">
        <v>803</v>
      </c>
      <c r="M88" s="75">
        <f t="shared" si="2"/>
        <v>0.92307692307692313</v>
      </c>
    </row>
    <row r="89" spans="1:13" x14ac:dyDescent="0.2">
      <c r="A89" s="156" t="s">
        <v>210</v>
      </c>
      <c r="B89" s="156" t="s">
        <v>116</v>
      </c>
      <c r="C89" s="157">
        <v>1690</v>
      </c>
      <c r="D89" s="157">
        <v>1790</v>
      </c>
      <c r="E89" s="158" t="s">
        <v>184</v>
      </c>
      <c r="F89" s="159" t="s">
        <v>804</v>
      </c>
      <c r="G89" s="159" t="s">
        <v>805</v>
      </c>
      <c r="H89" s="159" t="s">
        <v>806</v>
      </c>
      <c r="I89" s="159" t="s">
        <v>184</v>
      </c>
      <c r="J89" s="160" t="s">
        <v>442</v>
      </c>
      <c r="K89" s="160" t="s">
        <v>807</v>
      </c>
      <c r="L89" s="161" t="s">
        <v>184</v>
      </c>
      <c r="M89" s="75" t="e">
        <f t="shared" si="2"/>
        <v>#VALUE!</v>
      </c>
    </row>
    <row r="90" spans="1:13" x14ac:dyDescent="0.2">
      <c r="A90" s="156" t="s">
        <v>212</v>
      </c>
      <c r="B90" s="156" t="s">
        <v>116</v>
      </c>
      <c r="C90" s="157">
        <v>1690</v>
      </c>
      <c r="D90" s="157">
        <v>1790</v>
      </c>
      <c r="E90" s="162">
        <v>1790</v>
      </c>
      <c r="F90" s="159" t="s">
        <v>808</v>
      </c>
      <c r="G90" s="159" t="s">
        <v>809</v>
      </c>
      <c r="H90" s="159" t="s">
        <v>810</v>
      </c>
      <c r="I90" s="159" t="s">
        <v>811</v>
      </c>
      <c r="J90" s="160" t="s">
        <v>442</v>
      </c>
      <c r="K90" s="160" t="s">
        <v>807</v>
      </c>
      <c r="L90" s="160" t="s">
        <v>807</v>
      </c>
      <c r="M90" s="75">
        <f t="shared" si="2"/>
        <v>0</v>
      </c>
    </row>
    <row r="91" spans="1:13" x14ac:dyDescent="0.2">
      <c r="A91" s="156" t="s">
        <v>214</v>
      </c>
      <c r="B91" s="156" t="s">
        <v>116</v>
      </c>
      <c r="C91" s="157">
        <v>950</v>
      </c>
      <c r="D91" s="157">
        <v>990</v>
      </c>
      <c r="E91" s="162">
        <v>1190</v>
      </c>
      <c r="F91" s="159" t="s">
        <v>812</v>
      </c>
      <c r="G91" s="159" t="s">
        <v>813</v>
      </c>
      <c r="H91" s="159" t="s">
        <v>814</v>
      </c>
      <c r="I91" s="159" t="s">
        <v>815</v>
      </c>
      <c r="J91" s="160" t="s">
        <v>816</v>
      </c>
      <c r="K91" s="160" t="s">
        <v>558</v>
      </c>
      <c r="L91" s="160" t="s">
        <v>817</v>
      </c>
      <c r="M91" s="75">
        <f t="shared" si="2"/>
        <v>0.20202020202020199</v>
      </c>
    </row>
    <row r="92" spans="1:13" x14ac:dyDescent="0.2">
      <c r="A92" s="156" t="s">
        <v>272</v>
      </c>
      <c r="B92" s="156" t="s">
        <v>116</v>
      </c>
      <c r="C92" s="157">
        <v>2590</v>
      </c>
      <c r="D92" s="157">
        <v>2690</v>
      </c>
      <c r="E92" s="162">
        <v>3990</v>
      </c>
      <c r="F92" s="159" t="s">
        <v>818</v>
      </c>
      <c r="G92" s="159" t="s">
        <v>819</v>
      </c>
      <c r="H92" s="159" t="s">
        <v>820</v>
      </c>
      <c r="I92" s="159" t="s">
        <v>821</v>
      </c>
      <c r="J92" s="160" t="s">
        <v>822</v>
      </c>
      <c r="K92" s="160" t="s">
        <v>695</v>
      </c>
      <c r="L92" s="160" t="s">
        <v>823</v>
      </c>
      <c r="M92" s="75">
        <f t="shared" si="2"/>
        <v>0.48327137546468402</v>
      </c>
    </row>
    <row r="93" spans="1:13" x14ac:dyDescent="0.2">
      <c r="A93" s="156" t="s">
        <v>349</v>
      </c>
      <c r="B93" s="156" t="s">
        <v>142</v>
      </c>
      <c r="C93" s="158" t="s">
        <v>184</v>
      </c>
      <c r="D93" s="157">
        <v>4690</v>
      </c>
      <c r="E93" s="158" t="s">
        <v>184</v>
      </c>
      <c r="F93" s="159" t="s">
        <v>824</v>
      </c>
      <c r="G93" s="159" t="s">
        <v>184</v>
      </c>
      <c r="H93" s="159" t="s">
        <v>825</v>
      </c>
      <c r="I93" s="159" t="s">
        <v>184</v>
      </c>
      <c r="J93" s="161" t="s">
        <v>184</v>
      </c>
      <c r="K93" s="160" t="s">
        <v>826</v>
      </c>
      <c r="L93" s="161" t="s">
        <v>184</v>
      </c>
      <c r="M93" s="75" t="e">
        <f t="shared" si="2"/>
        <v>#VALUE!</v>
      </c>
    </row>
    <row r="94" spans="1:13" x14ac:dyDescent="0.2">
      <c r="A94" s="156" t="s">
        <v>274</v>
      </c>
      <c r="B94" s="156" t="s">
        <v>142</v>
      </c>
      <c r="C94" s="157">
        <v>1450</v>
      </c>
      <c r="D94" s="157">
        <v>795</v>
      </c>
      <c r="E94" s="162">
        <v>1990</v>
      </c>
      <c r="F94" s="159" t="s">
        <v>827</v>
      </c>
      <c r="G94" s="159" t="s">
        <v>828</v>
      </c>
      <c r="H94" s="159" t="s">
        <v>829</v>
      </c>
      <c r="I94" s="159" t="s">
        <v>830</v>
      </c>
      <c r="J94" s="160" t="s">
        <v>831</v>
      </c>
      <c r="K94" s="160" t="s">
        <v>665</v>
      </c>
      <c r="L94" s="160" t="s">
        <v>532</v>
      </c>
      <c r="M94" s="75">
        <f t="shared" si="2"/>
        <v>1.5031446540880502</v>
      </c>
    </row>
    <row r="95" spans="1:13" x14ac:dyDescent="0.2">
      <c r="A95" s="156" t="s">
        <v>276</v>
      </c>
      <c r="B95" s="156" t="s">
        <v>142</v>
      </c>
      <c r="C95" s="157">
        <v>2150</v>
      </c>
      <c r="D95" s="157">
        <v>3860</v>
      </c>
      <c r="E95" s="162">
        <f>1595*2</f>
        <v>3190</v>
      </c>
      <c r="F95" s="159" t="s">
        <v>832</v>
      </c>
      <c r="G95" s="159" t="s">
        <v>833</v>
      </c>
      <c r="H95" s="159" t="s">
        <v>834</v>
      </c>
      <c r="I95" s="159" t="s">
        <v>835</v>
      </c>
      <c r="J95" s="160" t="s">
        <v>836</v>
      </c>
      <c r="K95" s="160" t="s">
        <v>837</v>
      </c>
      <c r="L95" s="160" t="s">
        <v>838</v>
      </c>
      <c r="M95" s="75">
        <f t="shared" si="2"/>
        <v>-0.17357512953367871</v>
      </c>
    </row>
    <row r="96" spans="1:13" x14ac:dyDescent="0.2">
      <c r="A96" s="156" t="s">
        <v>839</v>
      </c>
      <c r="B96" s="156" t="s">
        <v>142</v>
      </c>
      <c r="C96" s="158" t="s">
        <v>184</v>
      </c>
      <c r="D96" s="158" t="s">
        <v>184</v>
      </c>
      <c r="E96" s="158" t="s">
        <v>184</v>
      </c>
      <c r="F96" s="159" t="s">
        <v>840</v>
      </c>
      <c r="G96" s="159" t="s">
        <v>184</v>
      </c>
      <c r="H96" s="159" t="s">
        <v>184</v>
      </c>
      <c r="I96" s="159" t="s">
        <v>184</v>
      </c>
      <c r="J96" s="161" t="s">
        <v>184</v>
      </c>
      <c r="K96" s="161" t="s">
        <v>184</v>
      </c>
      <c r="L96" s="161" t="s">
        <v>184</v>
      </c>
      <c r="M96" s="75" t="e">
        <f t="shared" si="2"/>
        <v>#VALUE!</v>
      </c>
    </row>
    <row r="97" spans="1:13" x14ac:dyDescent="0.2">
      <c r="A97" s="156" t="s">
        <v>216</v>
      </c>
      <c r="B97" s="156" t="s">
        <v>142</v>
      </c>
      <c r="C97" s="158" t="s">
        <v>184</v>
      </c>
      <c r="D97" s="157">
        <v>1995</v>
      </c>
      <c r="E97" s="158" t="s">
        <v>184</v>
      </c>
      <c r="F97" s="159" t="s">
        <v>841</v>
      </c>
      <c r="G97" s="159" t="s">
        <v>184</v>
      </c>
      <c r="H97" s="159" t="s">
        <v>842</v>
      </c>
      <c r="I97" s="159" t="s">
        <v>184</v>
      </c>
      <c r="J97" s="161" t="s">
        <v>184</v>
      </c>
      <c r="K97" s="160" t="s">
        <v>843</v>
      </c>
      <c r="L97" s="161" t="s">
        <v>184</v>
      </c>
      <c r="M97" s="75" t="e">
        <f t="shared" si="2"/>
        <v>#VALUE!</v>
      </c>
    </row>
    <row r="98" spans="1:13" x14ac:dyDescent="0.2">
      <c r="A98" s="156" t="s">
        <v>218</v>
      </c>
      <c r="B98" s="156" t="s">
        <v>139</v>
      </c>
      <c r="C98" s="157">
        <v>1350</v>
      </c>
      <c r="D98" s="157">
        <v>1450</v>
      </c>
      <c r="E98" s="162">
        <v>1990</v>
      </c>
      <c r="F98" s="159" t="s">
        <v>844</v>
      </c>
      <c r="G98" s="159" t="s">
        <v>845</v>
      </c>
      <c r="H98" s="159" t="s">
        <v>846</v>
      </c>
      <c r="I98" s="159" t="s">
        <v>847</v>
      </c>
      <c r="J98" s="160" t="s">
        <v>848</v>
      </c>
      <c r="K98" s="160" t="s">
        <v>849</v>
      </c>
      <c r="L98" s="160" t="s">
        <v>850</v>
      </c>
      <c r="M98" s="75">
        <f t="shared" si="2"/>
        <v>0.37241379310344835</v>
      </c>
    </row>
    <row r="99" spans="1:13" x14ac:dyDescent="0.2">
      <c r="A99" s="156" t="s">
        <v>222</v>
      </c>
      <c r="B99" s="156" t="s">
        <v>116</v>
      </c>
      <c r="C99" s="157">
        <v>1590</v>
      </c>
      <c r="D99" s="157">
        <v>1710</v>
      </c>
      <c r="E99" s="162">
        <v>3990</v>
      </c>
      <c r="F99" s="159" t="s">
        <v>851</v>
      </c>
      <c r="G99" s="159" t="s">
        <v>852</v>
      </c>
      <c r="H99" s="159" t="s">
        <v>853</v>
      </c>
      <c r="I99" s="159" t="s">
        <v>854</v>
      </c>
      <c r="J99" s="160" t="s">
        <v>441</v>
      </c>
      <c r="K99" s="160" t="s">
        <v>855</v>
      </c>
      <c r="L99" s="160" t="s">
        <v>823</v>
      </c>
      <c r="M99" s="75">
        <f t="shared" si="2"/>
        <v>1.3333333333333335</v>
      </c>
    </row>
    <row r="100" spans="1:13" x14ac:dyDescent="0.2">
      <c r="A100" s="156" t="s">
        <v>220</v>
      </c>
      <c r="B100" s="156" t="s">
        <v>116</v>
      </c>
      <c r="C100" s="157">
        <v>1590</v>
      </c>
      <c r="D100" s="157">
        <v>1690</v>
      </c>
      <c r="E100" s="162">
        <v>3990</v>
      </c>
      <c r="F100" s="159" t="s">
        <v>856</v>
      </c>
      <c r="G100" s="159" t="s">
        <v>857</v>
      </c>
      <c r="H100" s="159" t="s">
        <v>858</v>
      </c>
      <c r="I100" s="159" t="s">
        <v>859</v>
      </c>
      <c r="J100" s="160" t="s">
        <v>441</v>
      </c>
      <c r="K100" s="160" t="s">
        <v>442</v>
      </c>
      <c r="L100" s="160" t="s">
        <v>823</v>
      </c>
      <c r="M100" s="75">
        <f t="shared" si="2"/>
        <v>1.36094674556213</v>
      </c>
    </row>
    <row r="101" spans="1:13" x14ac:dyDescent="0.2">
      <c r="A101" s="156" t="s">
        <v>224</v>
      </c>
      <c r="B101" s="156" t="s">
        <v>142</v>
      </c>
      <c r="C101" s="157">
        <v>1690</v>
      </c>
      <c r="D101" s="157">
        <v>1690</v>
      </c>
      <c r="E101" s="162">
        <v>2690</v>
      </c>
      <c r="F101" s="159" t="s">
        <v>860</v>
      </c>
      <c r="G101" s="159" t="s">
        <v>861</v>
      </c>
      <c r="H101" s="159" t="s">
        <v>862</v>
      </c>
      <c r="I101" s="159" t="s">
        <v>863</v>
      </c>
      <c r="J101" s="160" t="s">
        <v>487</v>
      </c>
      <c r="K101" s="160" t="s">
        <v>487</v>
      </c>
      <c r="L101" s="160" t="s">
        <v>489</v>
      </c>
      <c r="M101" s="75">
        <f t="shared" si="2"/>
        <v>0.59171597633136086</v>
      </c>
    </row>
    <row r="102" spans="1:13" x14ac:dyDescent="0.2">
      <c r="A102" s="156" t="s">
        <v>864</v>
      </c>
      <c r="B102" s="156" t="s">
        <v>142</v>
      </c>
      <c r="C102" s="158" t="s">
        <v>184</v>
      </c>
      <c r="D102" s="157">
        <v>1990</v>
      </c>
      <c r="E102" s="158" t="s">
        <v>184</v>
      </c>
      <c r="F102" s="159" t="s">
        <v>865</v>
      </c>
      <c r="G102" s="159" t="s">
        <v>184</v>
      </c>
      <c r="H102" s="159" t="s">
        <v>866</v>
      </c>
      <c r="I102" s="159" t="s">
        <v>184</v>
      </c>
      <c r="J102" s="161" t="s">
        <v>184</v>
      </c>
      <c r="K102" s="160" t="s">
        <v>867</v>
      </c>
      <c r="L102" s="161" t="s">
        <v>184</v>
      </c>
      <c r="M102" s="75" t="e">
        <f t="shared" si="2"/>
        <v>#VALUE!</v>
      </c>
    </row>
    <row r="103" spans="1:13" x14ac:dyDescent="0.2">
      <c r="A103" s="156" t="s">
        <v>228</v>
      </c>
      <c r="B103" s="156" t="s">
        <v>142</v>
      </c>
      <c r="C103" s="157">
        <v>1890</v>
      </c>
      <c r="D103" s="157">
        <v>3250</v>
      </c>
      <c r="E103" s="162">
        <v>2990</v>
      </c>
      <c r="F103" s="159" t="s">
        <v>868</v>
      </c>
      <c r="G103" s="159" t="s">
        <v>869</v>
      </c>
      <c r="H103" s="159" t="s">
        <v>870</v>
      </c>
      <c r="I103" s="159" t="s">
        <v>871</v>
      </c>
      <c r="J103" s="160" t="s">
        <v>872</v>
      </c>
      <c r="K103" s="160" t="s">
        <v>873</v>
      </c>
      <c r="L103" s="160" t="s">
        <v>874</v>
      </c>
      <c r="M103" s="75">
        <f t="shared" si="2"/>
        <v>-7.999999999999996E-2</v>
      </c>
    </row>
    <row r="104" spans="1:13" x14ac:dyDescent="0.2">
      <c r="A104" s="156" t="s">
        <v>875</v>
      </c>
      <c r="B104" s="156" t="s">
        <v>142</v>
      </c>
      <c r="C104" s="157">
        <v>2690</v>
      </c>
      <c r="D104" s="157">
        <v>3790</v>
      </c>
      <c r="E104" s="158" t="s">
        <v>184</v>
      </c>
      <c r="F104" s="159" t="s">
        <v>876</v>
      </c>
      <c r="G104" s="159" t="s">
        <v>877</v>
      </c>
      <c r="H104" s="159" t="s">
        <v>878</v>
      </c>
      <c r="I104" s="159" t="s">
        <v>184</v>
      </c>
      <c r="J104" s="160" t="s">
        <v>739</v>
      </c>
      <c r="K104" s="160" t="s">
        <v>879</v>
      </c>
      <c r="L104" s="161" t="s">
        <v>184</v>
      </c>
      <c r="M104" s="75" t="e">
        <f t="shared" si="2"/>
        <v>#VALUE!</v>
      </c>
    </row>
    <row r="105" spans="1:13" x14ac:dyDescent="0.2">
      <c r="A105" s="156" t="s">
        <v>226</v>
      </c>
      <c r="B105" s="156" t="s">
        <v>142</v>
      </c>
      <c r="C105" s="157">
        <v>1990</v>
      </c>
      <c r="D105" s="157">
        <v>995</v>
      </c>
      <c r="E105" s="162">
        <v>1095</v>
      </c>
      <c r="F105" s="159" t="s">
        <v>880</v>
      </c>
      <c r="G105" s="159" t="s">
        <v>881</v>
      </c>
      <c r="H105" s="159" t="s">
        <v>882</v>
      </c>
      <c r="I105" s="159" t="s">
        <v>883</v>
      </c>
      <c r="J105" s="160" t="s">
        <v>530</v>
      </c>
      <c r="K105" s="160" t="s">
        <v>531</v>
      </c>
      <c r="L105" s="160" t="s">
        <v>496</v>
      </c>
      <c r="M105" s="75">
        <f t="shared" si="2"/>
        <v>0.10050251256281406</v>
      </c>
    </row>
    <row r="106" spans="1:13" x14ac:dyDescent="0.2">
      <c r="A106" s="156" t="s">
        <v>230</v>
      </c>
      <c r="B106" s="156" t="s">
        <v>142</v>
      </c>
      <c r="C106" s="157">
        <v>2290</v>
      </c>
      <c r="D106" s="157">
        <v>1245</v>
      </c>
      <c r="E106" s="162">
        <v>845</v>
      </c>
      <c r="F106" s="159" t="s">
        <v>884</v>
      </c>
      <c r="G106" s="159" t="s">
        <v>885</v>
      </c>
      <c r="H106" s="159" t="s">
        <v>886</v>
      </c>
      <c r="I106" s="159" t="s">
        <v>887</v>
      </c>
      <c r="J106" s="160" t="s">
        <v>888</v>
      </c>
      <c r="K106" s="160" t="s">
        <v>889</v>
      </c>
      <c r="L106" s="160" t="s">
        <v>890</v>
      </c>
      <c r="M106" s="75">
        <f t="shared" si="2"/>
        <v>-0.32128514056224899</v>
      </c>
    </row>
    <row r="107" spans="1:13" x14ac:dyDescent="0.2">
      <c r="A107" s="156" t="s">
        <v>278</v>
      </c>
      <c r="B107" s="156" t="s">
        <v>142</v>
      </c>
      <c r="C107" s="157">
        <v>2890</v>
      </c>
      <c r="D107" s="157">
        <v>1995</v>
      </c>
      <c r="E107" s="158" t="s">
        <v>184</v>
      </c>
      <c r="F107" s="159" t="s">
        <v>891</v>
      </c>
      <c r="G107" s="159" t="s">
        <v>892</v>
      </c>
      <c r="H107" s="159" t="s">
        <v>893</v>
      </c>
      <c r="I107" s="159" t="s">
        <v>184</v>
      </c>
      <c r="J107" s="160" t="s">
        <v>693</v>
      </c>
      <c r="K107" s="160" t="s">
        <v>843</v>
      </c>
      <c r="L107" s="161" t="s">
        <v>184</v>
      </c>
      <c r="M107" s="75" t="e">
        <f t="shared" si="2"/>
        <v>#VALUE!</v>
      </c>
    </row>
    <row r="108" spans="1:13" x14ac:dyDescent="0.2">
      <c r="A108" s="156" t="s">
        <v>280</v>
      </c>
      <c r="B108" s="156" t="s">
        <v>142</v>
      </c>
      <c r="C108" s="158" t="s">
        <v>184</v>
      </c>
      <c r="D108" s="157">
        <v>4490</v>
      </c>
      <c r="E108" s="158" t="s">
        <v>184</v>
      </c>
      <c r="F108" s="159" t="s">
        <v>894</v>
      </c>
      <c r="G108" s="159" t="s">
        <v>184</v>
      </c>
      <c r="H108" s="159" t="s">
        <v>895</v>
      </c>
      <c r="I108" s="159" t="s">
        <v>184</v>
      </c>
      <c r="J108" s="161" t="s">
        <v>184</v>
      </c>
      <c r="K108" s="160" t="s">
        <v>896</v>
      </c>
      <c r="L108" s="161" t="s">
        <v>184</v>
      </c>
      <c r="M108" s="75" t="e">
        <f t="shared" si="2"/>
        <v>#VALUE!</v>
      </c>
    </row>
    <row r="109" spans="1:13" x14ac:dyDescent="0.2">
      <c r="A109" s="156" t="s">
        <v>282</v>
      </c>
      <c r="B109" s="156" t="s">
        <v>142</v>
      </c>
      <c r="C109" s="167" t="s">
        <v>184</v>
      </c>
      <c r="D109" s="157">
        <v>5592</v>
      </c>
      <c r="E109" s="158" t="s">
        <v>184</v>
      </c>
      <c r="F109" s="159" t="s">
        <v>897</v>
      </c>
      <c r="G109" s="159" t="s">
        <v>184</v>
      </c>
      <c r="H109" s="159" t="s">
        <v>898</v>
      </c>
      <c r="I109" s="159" t="s">
        <v>184</v>
      </c>
      <c r="J109" s="161" t="s">
        <v>184</v>
      </c>
      <c r="K109" s="160" t="s">
        <v>899</v>
      </c>
      <c r="L109" s="161" t="s">
        <v>184</v>
      </c>
      <c r="M109" s="75" t="e">
        <f t="shared" si="2"/>
        <v>#VALUE!</v>
      </c>
    </row>
    <row r="110" spans="1:13" x14ac:dyDescent="0.2">
      <c r="A110" s="156" t="s">
        <v>232</v>
      </c>
      <c r="B110" s="156" t="s">
        <v>142</v>
      </c>
      <c r="C110" s="168">
        <v>1190</v>
      </c>
      <c r="D110" s="157">
        <v>595</v>
      </c>
      <c r="E110" s="162">
        <v>695</v>
      </c>
      <c r="F110" s="159" t="s">
        <v>900</v>
      </c>
      <c r="G110" s="159" t="s">
        <v>901</v>
      </c>
      <c r="H110" s="159" t="s">
        <v>902</v>
      </c>
      <c r="I110" s="159" t="s">
        <v>903</v>
      </c>
      <c r="J110" s="160" t="s">
        <v>904</v>
      </c>
      <c r="K110" s="160" t="s">
        <v>905</v>
      </c>
      <c r="L110" s="160" t="s">
        <v>906</v>
      </c>
      <c r="M110" s="75">
        <f t="shared" si="2"/>
        <v>0.16806722689075637</v>
      </c>
    </row>
    <row r="111" spans="1:13" x14ac:dyDescent="0.2">
      <c r="A111" s="156" t="s">
        <v>234</v>
      </c>
      <c r="B111" s="156" t="s">
        <v>235</v>
      </c>
      <c r="C111" s="168">
        <v>1990</v>
      </c>
      <c r="D111" s="157">
        <v>2090</v>
      </c>
      <c r="E111" s="162">
        <v>2490</v>
      </c>
      <c r="F111" s="159" t="s">
        <v>907</v>
      </c>
      <c r="G111" s="159" t="s">
        <v>908</v>
      </c>
      <c r="H111" s="159" t="s">
        <v>909</v>
      </c>
      <c r="I111" s="159" t="s">
        <v>910</v>
      </c>
      <c r="J111" s="160" t="s">
        <v>467</v>
      </c>
      <c r="K111" s="160" t="s">
        <v>911</v>
      </c>
      <c r="L111" s="160" t="s">
        <v>912</v>
      </c>
      <c r="M111" s="75">
        <f t="shared" si="2"/>
        <v>0.19138755980861255</v>
      </c>
    </row>
    <row r="112" spans="1:13" x14ac:dyDescent="0.2">
      <c r="A112" s="156" t="s">
        <v>237</v>
      </c>
      <c r="B112" s="156" t="s">
        <v>116</v>
      </c>
      <c r="C112" s="168">
        <v>790</v>
      </c>
      <c r="D112" s="157">
        <v>790</v>
      </c>
      <c r="E112" s="162">
        <v>790</v>
      </c>
      <c r="F112" s="159" t="s">
        <v>913</v>
      </c>
      <c r="G112" s="159" t="s">
        <v>914</v>
      </c>
      <c r="H112" s="159" t="s">
        <v>915</v>
      </c>
      <c r="I112" s="159" t="s">
        <v>916</v>
      </c>
      <c r="J112" s="160" t="s">
        <v>447</v>
      </c>
      <c r="K112" s="160" t="s">
        <v>447</v>
      </c>
      <c r="L112" s="160" t="s">
        <v>447</v>
      </c>
      <c r="M112" s="75">
        <f t="shared" si="2"/>
        <v>0</v>
      </c>
    </row>
    <row r="113" spans="3:13" ht="15.75" customHeight="1" x14ac:dyDescent="0.15">
      <c r="C113" s="44"/>
      <c r="D113" s="44"/>
      <c r="E113" s="44"/>
      <c r="J113" s="155"/>
      <c r="K113" s="155"/>
      <c r="L113" s="155"/>
      <c r="M113" s="75"/>
    </row>
    <row r="114" spans="3:13" ht="15.75" customHeight="1" x14ac:dyDescent="0.15">
      <c r="C114" s="44"/>
      <c r="D114" s="44"/>
      <c r="E114" s="44"/>
      <c r="J114" s="155"/>
      <c r="K114" s="155"/>
      <c r="L114" s="155"/>
      <c r="M114" s="75"/>
    </row>
    <row r="115" spans="3:13" ht="15.75" customHeight="1" x14ac:dyDescent="0.15">
      <c r="C115" s="44"/>
      <c r="D115" s="44"/>
      <c r="E115" s="44"/>
      <c r="J115" s="155"/>
      <c r="K115" s="155"/>
      <c r="L115" s="155"/>
      <c r="M115" s="75"/>
    </row>
    <row r="116" spans="3:13" ht="15.75" customHeight="1" x14ac:dyDescent="0.15">
      <c r="C116" s="44"/>
      <c r="D116" s="44"/>
      <c r="E116" s="44"/>
      <c r="J116" s="155"/>
      <c r="K116" s="155"/>
      <c r="L116" s="155"/>
      <c r="M116" s="75"/>
    </row>
    <row r="117" spans="3:13" ht="15.75" customHeight="1" x14ac:dyDescent="0.15">
      <c r="C117" s="44"/>
      <c r="D117" s="44"/>
      <c r="E117" s="44"/>
      <c r="J117" s="155"/>
      <c r="K117" s="155"/>
      <c r="L117" s="155"/>
      <c r="M117" s="75"/>
    </row>
    <row r="118" spans="3:13" ht="15.75" customHeight="1" x14ac:dyDescent="0.15">
      <c r="C118" s="44"/>
      <c r="D118" s="44"/>
      <c r="E118" s="44"/>
      <c r="J118" s="155"/>
      <c r="K118" s="155"/>
      <c r="L118" s="155"/>
      <c r="M118" s="75"/>
    </row>
    <row r="119" spans="3:13" ht="15.75" customHeight="1" x14ac:dyDescent="0.15">
      <c r="C119" s="44"/>
      <c r="D119" s="44"/>
      <c r="E119" s="44"/>
      <c r="J119" s="155"/>
      <c r="K119" s="155"/>
      <c r="L119" s="155"/>
      <c r="M119" s="75"/>
    </row>
    <row r="120" spans="3:13" ht="15.75" customHeight="1" x14ac:dyDescent="0.15">
      <c r="C120" s="44"/>
      <c r="D120" s="44"/>
      <c r="E120" s="44"/>
      <c r="J120" s="155"/>
      <c r="K120" s="155"/>
      <c r="L120" s="155"/>
      <c r="M120" s="75"/>
    </row>
    <row r="121" spans="3:13" ht="15.75" customHeight="1" x14ac:dyDescent="0.15">
      <c r="C121" s="44"/>
      <c r="D121" s="44"/>
      <c r="E121" s="44"/>
      <c r="J121" s="155"/>
      <c r="K121" s="155"/>
      <c r="L121" s="155"/>
      <c r="M121" s="75"/>
    </row>
    <row r="122" spans="3:13" ht="15.75" customHeight="1" x14ac:dyDescent="0.15">
      <c r="C122" s="44"/>
      <c r="D122" s="44"/>
      <c r="E122" s="44"/>
      <c r="J122" s="155"/>
      <c r="K122" s="155"/>
      <c r="L122" s="155"/>
      <c r="M122" s="75"/>
    </row>
    <row r="123" spans="3:13" ht="15.75" customHeight="1" x14ac:dyDescent="0.15">
      <c r="C123" s="44"/>
      <c r="D123" s="44"/>
      <c r="E123" s="44"/>
      <c r="J123" s="155"/>
      <c r="K123" s="155"/>
      <c r="L123" s="155"/>
      <c r="M123" s="75"/>
    </row>
    <row r="124" spans="3:13" ht="15.75" customHeight="1" x14ac:dyDescent="0.15">
      <c r="C124" s="44"/>
      <c r="D124" s="44"/>
      <c r="E124" s="44"/>
      <c r="J124" s="155"/>
      <c r="K124" s="155"/>
      <c r="L124" s="155"/>
      <c r="M124" s="75"/>
    </row>
    <row r="125" spans="3:13" ht="15.75" customHeight="1" x14ac:dyDescent="0.15">
      <c r="C125" s="44"/>
      <c r="D125" s="44"/>
      <c r="E125" s="44"/>
      <c r="J125" s="155"/>
      <c r="K125" s="155"/>
      <c r="L125" s="155"/>
      <c r="M125" s="75"/>
    </row>
    <row r="126" spans="3:13" ht="15.75" customHeight="1" x14ac:dyDescent="0.15">
      <c r="C126" s="44"/>
      <c r="D126" s="44"/>
      <c r="E126" s="44"/>
      <c r="J126" s="155"/>
      <c r="K126" s="155"/>
      <c r="L126" s="155"/>
      <c r="M126" s="75"/>
    </row>
    <row r="127" spans="3:13" ht="15.75" customHeight="1" x14ac:dyDescent="0.15">
      <c r="C127" s="44"/>
      <c r="D127" s="44"/>
      <c r="E127" s="44"/>
      <c r="J127" s="155"/>
      <c r="K127" s="155"/>
      <c r="L127" s="155"/>
      <c r="M127" s="75"/>
    </row>
    <row r="128" spans="3:13" ht="15.75" customHeight="1" x14ac:dyDescent="0.15">
      <c r="C128" s="44"/>
      <c r="D128" s="44"/>
      <c r="E128" s="44"/>
      <c r="J128" s="155"/>
      <c r="K128" s="155"/>
      <c r="L128" s="155"/>
      <c r="M128" s="75"/>
    </row>
    <row r="129" spans="3:13" ht="15.75" customHeight="1" x14ac:dyDescent="0.15">
      <c r="C129" s="44"/>
      <c r="D129" s="44"/>
      <c r="E129" s="44"/>
      <c r="J129" s="155"/>
      <c r="K129" s="155"/>
      <c r="L129" s="155"/>
      <c r="M129" s="75"/>
    </row>
    <row r="130" spans="3:13" ht="15.75" customHeight="1" x14ac:dyDescent="0.15">
      <c r="C130" s="44"/>
      <c r="D130" s="44"/>
      <c r="E130" s="44"/>
      <c r="J130" s="155"/>
      <c r="K130" s="155"/>
      <c r="L130" s="155"/>
      <c r="M130" s="75"/>
    </row>
    <row r="131" spans="3:13" ht="15.75" customHeight="1" x14ac:dyDescent="0.15">
      <c r="C131" s="44"/>
      <c r="D131" s="44"/>
      <c r="E131" s="44"/>
      <c r="J131" s="155"/>
      <c r="K131" s="155"/>
      <c r="L131" s="155"/>
      <c r="M131" s="75"/>
    </row>
    <row r="132" spans="3:13" ht="15.75" customHeight="1" x14ac:dyDescent="0.15">
      <c r="C132" s="44"/>
      <c r="D132" s="44"/>
      <c r="E132" s="44"/>
      <c r="J132" s="155"/>
      <c r="K132" s="155"/>
      <c r="L132" s="155"/>
      <c r="M132" s="75"/>
    </row>
    <row r="133" spans="3:13" ht="15.75" customHeight="1" x14ac:dyDescent="0.15">
      <c r="C133" s="44"/>
      <c r="D133" s="44"/>
      <c r="E133" s="44"/>
      <c r="J133" s="155"/>
      <c r="K133" s="155"/>
      <c r="L133" s="155"/>
      <c r="M133" s="75"/>
    </row>
    <row r="134" spans="3:13" ht="15.75" customHeight="1" x14ac:dyDescent="0.15">
      <c r="C134" s="44"/>
      <c r="D134" s="44"/>
      <c r="E134" s="44"/>
      <c r="J134" s="155"/>
      <c r="K134" s="155"/>
      <c r="L134" s="155"/>
      <c r="M134" s="75"/>
    </row>
    <row r="135" spans="3:13" ht="15.75" customHeight="1" x14ac:dyDescent="0.15">
      <c r="C135" s="44"/>
      <c r="D135" s="44"/>
      <c r="E135" s="44"/>
      <c r="J135" s="155"/>
      <c r="K135" s="155"/>
      <c r="L135" s="155"/>
      <c r="M135" s="75"/>
    </row>
    <row r="136" spans="3:13" ht="15.75" customHeight="1" x14ac:dyDescent="0.15">
      <c r="C136" s="44"/>
      <c r="D136" s="44"/>
      <c r="E136" s="44"/>
      <c r="J136" s="155"/>
      <c r="K136" s="155"/>
      <c r="L136" s="155"/>
      <c r="M136" s="75"/>
    </row>
    <row r="137" spans="3:13" ht="15.75" customHeight="1" x14ac:dyDescent="0.15">
      <c r="C137" s="44"/>
      <c r="D137" s="44"/>
      <c r="E137" s="44"/>
      <c r="J137" s="155"/>
      <c r="K137" s="155"/>
      <c r="L137" s="155"/>
      <c r="M137" s="75"/>
    </row>
    <row r="138" spans="3:13" ht="15.75" customHeight="1" x14ac:dyDescent="0.15">
      <c r="C138" s="44"/>
      <c r="D138" s="44"/>
      <c r="E138" s="44"/>
      <c r="J138" s="155"/>
      <c r="K138" s="155"/>
      <c r="L138" s="155"/>
      <c r="M138" s="75"/>
    </row>
    <row r="139" spans="3:13" ht="15.75" customHeight="1" x14ac:dyDescent="0.15">
      <c r="C139" s="44"/>
      <c r="D139" s="44"/>
      <c r="E139" s="44"/>
      <c r="J139" s="155"/>
      <c r="K139" s="155"/>
      <c r="L139" s="155"/>
      <c r="M139" s="75"/>
    </row>
    <row r="140" spans="3:13" ht="15.75" customHeight="1" x14ac:dyDescent="0.15">
      <c r="C140" s="44"/>
      <c r="D140" s="44"/>
      <c r="E140" s="44"/>
      <c r="J140" s="155"/>
      <c r="K140" s="155"/>
      <c r="L140" s="155"/>
      <c r="M140" s="75"/>
    </row>
    <row r="141" spans="3:13" ht="15.75" customHeight="1" x14ac:dyDescent="0.15">
      <c r="C141" s="44"/>
      <c r="D141" s="44"/>
      <c r="E141" s="44"/>
      <c r="J141" s="155"/>
      <c r="K141" s="155"/>
      <c r="L141" s="155"/>
      <c r="M141" s="75"/>
    </row>
    <row r="142" spans="3:13" ht="15.75" customHeight="1" x14ac:dyDescent="0.15">
      <c r="C142" s="44"/>
      <c r="D142" s="44"/>
      <c r="E142" s="44"/>
      <c r="J142" s="155"/>
      <c r="K142" s="155"/>
      <c r="L142" s="155"/>
      <c r="M142" s="75"/>
    </row>
    <row r="143" spans="3:13" ht="15.75" customHeight="1" x14ac:dyDescent="0.15">
      <c r="C143" s="44"/>
      <c r="D143" s="44"/>
      <c r="E143" s="44"/>
      <c r="J143" s="155"/>
      <c r="K143" s="155"/>
      <c r="L143" s="155"/>
      <c r="M143" s="75"/>
    </row>
    <row r="144" spans="3:13" ht="15.75" customHeight="1" x14ac:dyDescent="0.15">
      <c r="C144" s="44"/>
      <c r="D144" s="44"/>
      <c r="E144" s="44"/>
      <c r="J144" s="155"/>
      <c r="K144" s="155"/>
      <c r="L144" s="155"/>
      <c r="M144" s="75"/>
    </row>
    <row r="145" spans="3:13" ht="15.75" customHeight="1" x14ac:dyDescent="0.15">
      <c r="C145" s="44"/>
      <c r="D145" s="44"/>
      <c r="E145" s="44"/>
      <c r="J145" s="155"/>
      <c r="K145" s="155"/>
      <c r="L145" s="155"/>
      <c r="M145" s="75"/>
    </row>
    <row r="146" spans="3:13" ht="15.75" customHeight="1" x14ac:dyDescent="0.15">
      <c r="C146" s="44"/>
      <c r="D146" s="44"/>
      <c r="E146" s="44"/>
      <c r="J146" s="155"/>
      <c r="K146" s="155"/>
      <c r="L146" s="155"/>
      <c r="M146" s="75"/>
    </row>
    <row r="147" spans="3:13" ht="15.75" customHeight="1" x14ac:dyDescent="0.15">
      <c r="C147" s="44"/>
      <c r="D147" s="44"/>
      <c r="E147" s="44"/>
      <c r="J147" s="155"/>
      <c r="K147" s="155"/>
      <c r="L147" s="155"/>
      <c r="M147" s="75"/>
    </row>
    <row r="148" spans="3:13" ht="15.75" customHeight="1" x14ac:dyDescent="0.15">
      <c r="C148" s="44"/>
      <c r="D148" s="44"/>
      <c r="E148" s="44"/>
      <c r="J148" s="155"/>
      <c r="K148" s="155"/>
      <c r="L148" s="155"/>
      <c r="M148" s="75"/>
    </row>
    <row r="149" spans="3:13" ht="15.75" customHeight="1" x14ac:dyDescent="0.15">
      <c r="C149" s="44"/>
      <c r="D149" s="44"/>
      <c r="E149" s="44"/>
      <c r="J149" s="155"/>
      <c r="K149" s="155"/>
      <c r="L149" s="155"/>
      <c r="M149" s="75"/>
    </row>
    <row r="150" spans="3:13" ht="15.75" customHeight="1" x14ac:dyDescent="0.15">
      <c r="C150" s="44"/>
      <c r="D150" s="44"/>
      <c r="E150" s="44"/>
      <c r="J150" s="155"/>
      <c r="K150" s="155"/>
      <c r="L150" s="155"/>
      <c r="M150" s="75"/>
    </row>
    <row r="151" spans="3:13" ht="15.75" customHeight="1" x14ac:dyDescent="0.15">
      <c r="C151" s="44"/>
      <c r="D151" s="44"/>
      <c r="E151" s="44"/>
      <c r="J151" s="155"/>
      <c r="K151" s="155"/>
      <c r="L151" s="155"/>
      <c r="M151" s="75"/>
    </row>
    <row r="152" spans="3:13" ht="15.75" customHeight="1" x14ac:dyDescent="0.15">
      <c r="C152" s="44"/>
      <c r="D152" s="44"/>
      <c r="E152" s="44"/>
      <c r="J152" s="155"/>
      <c r="K152" s="155"/>
      <c r="L152" s="155"/>
      <c r="M152" s="75"/>
    </row>
    <row r="153" spans="3:13" ht="15.75" customHeight="1" x14ac:dyDescent="0.15">
      <c r="C153" s="44"/>
      <c r="D153" s="44"/>
      <c r="E153" s="44"/>
      <c r="J153" s="155"/>
      <c r="K153" s="155"/>
      <c r="L153" s="155"/>
      <c r="M153" s="75"/>
    </row>
    <row r="154" spans="3:13" ht="15.75" customHeight="1" x14ac:dyDescent="0.15">
      <c r="C154" s="44"/>
      <c r="D154" s="44"/>
      <c r="E154" s="44"/>
      <c r="J154" s="155"/>
      <c r="K154" s="155"/>
      <c r="L154" s="155"/>
      <c r="M154" s="75"/>
    </row>
    <row r="155" spans="3:13" ht="15.75" customHeight="1" x14ac:dyDescent="0.15">
      <c r="C155" s="44"/>
      <c r="D155" s="44"/>
      <c r="E155" s="44"/>
      <c r="J155" s="155"/>
      <c r="K155" s="155"/>
      <c r="L155" s="155"/>
      <c r="M155" s="75"/>
    </row>
    <row r="156" spans="3:13" ht="15.75" customHeight="1" x14ac:dyDescent="0.15">
      <c r="C156" s="44"/>
      <c r="D156" s="44"/>
      <c r="E156" s="44"/>
      <c r="J156" s="155"/>
      <c r="K156" s="155"/>
      <c r="L156" s="155"/>
      <c r="M156" s="75"/>
    </row>
    <row r="157" spans="3:13" ht="15.75" customHeight="1" x14ac:dyDescent="0.15">
      <c r="C157" s="44"/>
      <c r="D157" s="44"/>
      <c r="E157" s="44"/>
      <c r="J157" s="155"/>
      <c r="K157" s="155"/>
      <c r="L157" s="155"/>
      <c r="M157" s="75"/>
    </row>
    <row r="158" spans="3:13" ht="15.75" customHeight="1" x14ac:dyDescent="0.15">
      <c r="C158" s="44"/>
      <c r="D158" s="44"/>
      <c r="E158" s="44"/>
      <c r="J158" s="155"/>
      <c r="K158" s="155"/>
      <c r="L158" s="155"/>
      <c r="M158" s="75"/>
    </row>
    <row r="159" spans="3:13" ht="15.75" customHeight="1" x14ac:dyDescent="0.15">
      <c r="C159" s="44"/>
      <c r="D159" s="44"/>
      <c r="E159" s="44"/>
      <c r="J159" s="155"/>
      <c r="K159" s="155"/>
      <c r="L159" s="155"/>
      <c r="M159" s="75"/>
    </row>
    <row r="160" spans="3:13" ht="15.75" customHeight="1" x14ac:dyDescent="0.15">
      <c r="C160" s="44"/>
      <c r="D160" s="44"/>
      <c r="E160" s="44"/>
      <c r="J160" s="155"/>
      <c r="K160" s="155"/>
      <c r="L160" s="155"/>
      <c r="M160" s="75"/>
    </row>
    <row r="161" spans="3:13" ht="15.75" customHeight="1" x14ac:dyDescent="0.15">
      <c r="C161" s="44"/>
      <c r="D161" s="44"/>
      <c r="E161" s="44"/>
      <c r="J161" s="155"/>
      <c r="K161" s="155"/>
      <c r="L161" s="155"/>
      <c r="M161" s="75"/>
    </row>
    <row r="162" spans="3:13" ht="15.75" customHeight="1" x14ac:dyDescent="0.15">
      <c r="C162" s="44"/>
      <c r="D162" s="44"/>
      <c r="E162" s="44"/>
      <c r="J162" s="155"/>
      <c r="K162" s="155"/>
      <c r="L162" s="155"/>
      <c r="M162" s="75"/>
    </row>
    <row r="163" spans="3:13" ht="15.75" customHeight="1" x14ac:dyDescent="0.15">
      <c r="C163" s="44"/>
      <c r="D163" s="44"/>
      <c r="E163" s="44"/>
      <c r="J163" s="155"/>
      <c r="K163" s="155"/>
      <c r="L163" s="155"/>
      <c r="M163" s="75"/>
    </row>
    <row r="164" spans="3:13" ht="15.75" customHeight="1" x14ac:dyDescent="0.15">
      <c r="C164" s="44"/>
      <c r="D164" s="44"/>
      <c r="E164" s="44"/>
      <c r="J164" s="155"/>
      <c r="K164" s="155"/>
      <c r="L164" s="155"/>
      <c r="M164" s="75"/>
    </row>
    <row r="165" spans="3:13" ht="15.75" customHeight="1" x14ac:dyDescent="0.15">
      <c r="C165" s="44"/>
      <c r="D165" s="44"/>
      <c r="E165" s="44"/>
      <c r="J165" s="155"/>
      <c r="K165" s="155"/>
      <c r="L165" s="155"/>
      <c r="M165" s="75"/>
    </row>
    <row r="166" spans="3:13" ht="15.75" customHeight="1" x14ac:dyDescent="0.15">
      <c r="C166" s="44"/>
      <c r="D166" s="44"/>
      <c r="E166" s="44"/>
      <c r="J166" s="155"/>
      <c r="K166" s="155"/>
      <c r="L166" s="155"/>
      <c r="M166" s="75"/>
    </row>
    <row r="167" spans="3:13" ht="15.75" customHeight="1" x14ac:dyDescent="0.15">
      <c r="C167" s="44"/>
      <c r="D167" s="44"/>
      <c r="E167" s="44"/>
      <c r="J167" s="155"/>
      <c r="K167" s="155"/>
      <c r="L167" s="155"/>
      <c r="M167" s="75"/>
    </row>
    <row r="168" spans="3:13" ht="15.75" customHeight="1" x14ac:dyDescent="0.15">
      <c r="C168" s="44"/>
      <c r="D168" s="44"/>
      <c r="E168" s="44"/>
      <c r="J168" s="155"/>
      <c r="K168" s="155"/>
      <c r="L168" s="155"/>
      <c r="M168" s="75"/>
    </row>
    <row r="169" spans="3:13" ht="15.75" customHeight="1" x14ac:dyDescent="0.15">
      <c r="C169" s="44"/>
      <c r="D169" s="44"/>
      <c r="E169" s="44"/>
      <c r="J169" s="155"/>
      <c r="K169" s="155"/>
      <c r="L169" s="155"/>
      <c r="M169" s="75"/>
    </row>
    <row r="170" spans="3:13" ht="15.75" customHeight="1" x14ac:dyDescent="0.15">
      <c r="C170" s="44"/>
      <c r="D170" s="44"/>
      <c r="E170" s="44"/>
      <c r="J170" s="155"/>
      <c r="K170" s="155"/>
      <c r="L170" s="155"/>
      <c r="M170" s="75"/>
    </row>
    <row r="171" spans="3:13" ht="15.75" customHeight="1" x14ac:dyDescent="0.15">
      <c r="C171" s="44"/>
      <c r="D171" s="44"/>
      <c r="E171" s="44"/>
      <c r="J171" s="155"/>
      <c r="K171" s="155"/>
      <c r="L171" s="155"/>
      <c r="M171" s="75"/>
    </row>
    <row r="172" spans="3:13" ht="15.75" customHeight="1" x14ac:dyDescent="0.15">
      <c r="C172" s="44"/>
      <c r="D172" s="44"/>
      <c r="E172" s="44"/>
      <c r="J172" s="155"/>
      <c r="K172" s="155"/>
      <c r="L172" s="155"/>
      <c r="M172" s="75"/>
    </row>
    <row r="173" spans="3:13" ht="15.75" customHeight="1" x14ac:dyDescent="0.15">
      <c r="C173" s="44"/>
      <c r="D173" s="44"/>
      <c r="E173" s="44"/>
      <c r="J173" s="155"/>
      <c r="K173" s="155"/>
      <c r="L173" s="155"/>
      <c r="M173" s="75"/>
    </row>
    <row r="174" spans="3:13" ht="15.75" customHeight="1" x14ac:dyDescent="0.15">
      <c r="C174" s="44"/>
      <c r="D174" s="44"/>
      <c r="E174" s="44"/>
      <c r="J174" s="155"/>
      <c r="K174" s="155"/>
      <c r="L174" s="155"/>
      <c r="M174" s="75"/>
    </row>
    <row r="175" spans="3:13" ht="15.75" customHeight="1" x14ac:dyDescent="0.15">
      <c r="C175" s="44"/>
      <c r="D175" s="44"/>
      <c r="E175" s="44"/>
      <c r="J175" s="155"/>
      <c r="K175" s="155"/>
      <c r="L175" s="155"/>
      <c r="M175" s="75"/>
    </row>
    <row r="176" spans="3:13" ht="15.75" customHeight="1" x14ac:dyDescent="0.15">
      <c r="C176" s="44"/>
      <c r="D176" s="44"/>
      <c r="E176" s="44"/>
      <c r="J176" s="155"/>
      <c r="K176" s="155"/>
      <c r="L176" s="155"/>
      <c r="M176" s="75"/>
    </row>
    <row r="177" spans="3:13" ht="15.75" customHeight="1" x14ac:dyDescent="0.15">
      <c r="C177" s="44"/>
      <c r="D177" s="44"/>
      <c r="E177" s="44"/>
      <c r="J177" s="155"/>
      <c r="K177" s="155"/>
      <c r="L177" s="155"/>
      <c r="M177" s="75"/>
    </row>
    <row r="178" spans="3:13" ht="15.75" customHeight="1" x14ac:dyDescent="0.15">
      <c r="C178" s="44"/>
      <c r="D178" s="44"/>
      <c r="E178" s="44"/>
      <c r="J178" s="155"/>
      <c r="K178" s="155"/>
      <c r="L178" s="155"/>
      <c r="M178" s="75"/>
    </row>
    <row r="179" spans="3:13" ht="15.75" customHeight="1" x14ac:dyDescent="0.15">
      <c r="C179" s="44"/>
      <c r="D179" s="44"/>
      <c r="E179" s="44"/>
      <c r="J179" s="155"/>
      <c r="K179" s="155"/>
      <c r="L179" s="155"/>
      <c r="M179" s="75"/>
    </row>
    <row r="180" spans="3:13" ht="15.75" customHeight="1" x14ac:dyDescent="0.15">
      <c r="C180" s="44"/>
      <c r="D180" s="44"/>
      <c r="E180" s="44"/>
      <c r="J180" s="155"/>
      <c r="K180" s="155"/>
      <c r="L180" s="155"/>
      <c r="M180" s="75"/>
    </row>
    <row r="181" spans="3:13" ht="15.75" customHeight="1" x14ac:dyDescent="0.15">
      <c r="C181" s="44"/>
      <c r="D181" s="44"/>
      <c r="E181" s="44"/>
      <c r="J181" s="155"/>
      <c r="K181" s="155"/>
      <c r="L181" s="155"/>
      <c r="M181" s="75"/>
    </row>
    <row r="182" spans="3:13" ht="15.75" customHeight="1" x14ac:dyDescent="0.15">
      <c r="C182" s="44"/>
      <c r="D182" s="44"/>
      <c r="E182" s="44"/>
      <c r="J182" s="155"/>
      <c r="K182" s="155"/>
      <c r="L182" s="155"/>
      <c r="M182" s="75"/>
    </row>
    <row r="183" spans="3:13" ht="15.75" customHeight="1" x14ac:dyDescent="0.15">
      <c r="C183" s="44"/>
      <c r="D183" s="44"/>
      <c r="E183" s="44"/>
      <c r="J183" s="155"/>
      <c r="K183" s="155"/>
      <c r="L183" s="155"/>
      <c r="M183" s="75"/>
    </row>
    <row r="184" spans="3:13" ht="15.75" customHeight="1" x14ac:dyDescent="0.15">
      <c r="C184" s="44"/>
      <c r="D184" s="44"/>
      <c r="E184" s="44"/>
      <c r="J184" s="155"/>
      <c r="K184" s="155"/>
      <c r="L184" s="155"/>
      <c r="M184" s="75"/>
    </row>
    <row r="185" spans="3:13" ht="15.75" customHeight="1" x14ac:dyDescent="0.15">
      <c r="C185" s="44"/>
      <c r="D185" s="44"/>
      <c r="E185" s="44"/>
      <c r="J185" s="155"/>
      <c r="K185" s="155"/>
      <c r="L185" s="155"/>
      <c r="M185" s="75"/>
    </row>
    <row r="186" spans="3:13" ht="15.75" customHeight="1" x14ac:dyDescent="0.15">
      <c r="C186" s="44"/>
      <c r="D186" s="44"/>
      <c r="E186" s="44"/>
      <c r="J186" s="155"/>
      <c r="K186" s="155"/>
      <c r="L186" s="155"/>
      <c r="M186" s="75"/>
    </row>
    <row r="187" spans="3:13" ht="15.75" customHeight="1" x14ac:dyDescent="0.15">
      <c r="C187" s="44"/>
      <c r="D187" s="44"/>
      <c r="E187" s="44"/>
      <c r="J187" s="155"/>
      <c r="K187" s="155"/>
      <c r="L187" s="155"/>
      <c r="M187" s="75"/>
    </row>
    <row r="188" spans="3:13" ht="15.75" customHeight="1" x14ac:dyDescent="0.15">
      <c r="C188" s="44"/>
      <c r="D188" s="44"/>
      <c r="E188" s="44"/>
      <c r="J188" s="155"/>
      <c r="K188" s="155"/>
      <c r="L188" s="155"/>
      <c r="M188" s="75"/>
    </row>
    <row r="189" spans="3:13" ht="15.75" customHeight="1" x14ac:dyDescent="0.15">
      <c r="C189" s="44"/>
      <c r="D189" s="44"/>
      <c r="E189" s="44"/>
      <c r="J189" s="155"/>
      <c r="K189" s="155"/>
      <c r="L189" s="155"/>
      <c r="M189" s="75"/>
    </row>
    <row r="190" spans="3:13" ht="15.75" customHeight="1" x14ac:dyDescent="0.15">
      <c r="C190" s="44"/>
      <c r="D190" s="44"/>
      <c r="E190" s="44"/>
      <c r="J190" s="155"/>
      <c r="K190" s="155"/>
      <c r="L190" s="155"/>
      <c r="M190" s="75"/>
    </row>
    <row r="191" spans="3:13" ht="15.75" customHeight="1" x14ac:dyDescent="0.15">
      <c r="C191" s="44"/>
      <c r="D191" s="44"/>
      <c r="E191" s="44"/>
      <c r="J191" s="155"/>
      <c r="K191" s="155"/>
      <c r="L191" s="155"/>
      <c r="M191" s="75"/>
    </row>
    <row r="192" spans="3:13" ht="15.75" customHeight="1" x14ac:dyDescent="0.15">
      <c r="C192" s="44"/>
      <c r="D192" s="44"/>
      <c r="E192" s="44"/>
      <c r="J192" s="155"/>
      <c r="K192" s="155"/>
      <c r="L192" s="155"/>
      <c r="M192" s="75"/>
    </row>
    <row r="193" spans="3:13" ht="15.75" customHeight="1" x14ac:dyDescent="0.15">
      <c r="C193" s="44"/>
      <c r="D193" s="44"/>
      <c r="E193" s="44"/>
      <c r="J193" s="155"/>
      <c r="K193" s="155"/>
      <c r="L193" s="155"/>
      <c r="M193" s="75"/>
    </row>
    <row r="194" spans="3:13" ht="15.75" customHeight="1" x14ac:dyDescent="0.15">
      <c r="C194" s="44"/>
      <c r="D194" s="44"/>
      <c r="E194" s="44"/>
      <c r="J194" s="155"/>
      <c r="K194" s="155"/>
      <c r="L194" s="155"/>
      <c r="M194" s="75"/>
    </row>
    <row r="195" spans="3:13" ht="15.75" customHeight="1" x14ac:dyDescent="0.15">
      <c r="C195" s="44"/>
      <c r="D195" s="44"/>
      <c r="E195" s="44"/>
      <c r="J195" s="155"/>
      <c r="K195" s="155"/>
      <c r="L195" s="155"/>
      <c r="M195" s="75"/>
    </row>
    <row r="196" spans="3:13" ht="15.75" customHeight="1" x14ac:dyDescent="0.15">
      <c r="C196" s="44"/>
      <c r="D196" s="44"/>
      <c r="E196" s="44"/>
      <c r="J196" s="155"/>
      <c r="K196" s="155"/>
      <c r="L196" s="155"/>
      <c r="M196" s="75"/>
    </row>
    <row r="197" spans="3:13" ht="15.75" customHeight="1" x14ac:dyDescent="0.15">
      <c r="C197" s="44"/>
      <c r="D197" s="44"/>
      <c r="E197" s="44"/>
      <c r="J197" s="155"/>
      <c r="K197" s="155"/>
      <c r="L197" s="155"/>
      <c r="M197" s="75"/>
    </row>
    <row r="198" spans="3:13" ht="15.75" customHeight="1" x14ac:dyDescent="0.15">
      <c r="C198" s="44"/>
      <c r="D198" s="44"/>
      <c r="E198" s="44"/>
      <c r="J198" s="155"/>
      <c r="K198" s="155"/>
      <c r="L198" s="155"/>
      <c r="M198" s="75"/>
    </row>
    <row r="199" spans="3:13" ht="15.75" customHeight="1" x14ac:dyDescent="0.15">
      <c r="C199" s="44"/>
      <c r="D199" s="44"/>
      <c r="E199" s="44"/>
      <c r="J199" s="155"/>
      <c r="K199" s="155"/>
      <c r="L199" s="155"/>
      <c r="M199" s="75"/>
    </row>
    <row r="200" spans="3:13" ht="15.75" customHeight="1" x14ac:dyDescent="0.15">
      <c r="C200" s="44"/>
      <c r="D200" s="44"/>
      <c r="E200" s="44"/>
      <c r="J200" s="155"/>
      <c r="K200" s="155"/>
      <c r="L200" s="155"/>
      <c r="M200" s="75"/>
    </row>
    <row r="201" spans="3:13" ht="15.75" customHeight="1" x14ac:dyDescent="0.15">
      <c r="C201" s="44"/>
      <c r="D201" s="44"/>
      <c r="E201" s="44"/>
      <c r="J201" s="155"/>
      <c r="K201" s="155"/>
      <c r="L201" s="155"/>
      <c r="M201" s="75"/>
    </row>
    <row r="202" spans="3:13" ht="15.75" customHeight="1" x14ac:dyDescent="0.15">
      <c r="C202" s="44"/>
      <c r="D202" s="44"/>
      <c r="E202" s="44"/>
      <c r="J202" s="155"/>
      <c r="K202" s="155"/>
      <c r="L202" s="155"/>
      <c r="M202" s="75"/>
    </row>
    <row r="203" spans="3:13" ht="15.75" customHeight="1" x14ac:dyDescent="0.15">
      <c r="C203" s="44"/>
      <c r="D203" s="44"/>
      <c r="E203" s="44"/>
      <c r="J203" s="155"/>
      <c r="K203" s="155"/>
      <c r="L203" s="155"/>
      <c r="M203" s="75"/>
    </row>
    <row r="204" spans="3:13" ht="15.75" customHeight="1" x14ac:dyDescent="0.15">
      <c r="C204" s="44"/>
      <c r="D204" s="44"/>
      <c r="E204" s="44"/>
      <c r="J204" s="155"/>
      <c r="K204" s="155"/>
      <c r="L204" s="155"/>
      <c r="M204" s="75"/>
    </row>
    <row r="205" spans="3:13" ht="15.75" customHeight="1" x14ac:dyDescent="0.15">
      <c r="C205" s="44"/>
      <c r="D205" s="44"/>
      <c r="E205" s="44"/>
      <c r="J205" s="155"/>
      <c r="K205" s="155"/>
      <c r="L205" s="155"/>
      <c r="M205" s="75"/>
    </row>
    <row r="206" spans="3:13" ht="15.75" customHeight="1" x14ac:dyDescent="0.15">
      <c r="C206" s="44"/>
      <c r="D206" s="44"/>
      <c r="E206" s="44"/>
      <c r="J206" s="155"/>
      <c r="K206" s="155"/>
      <c r="L206" s="155"/>
      <c r="M206" s="75"/>
    </row>
    <row r="207" spans="3:13" ht="15.75" customHeight="1" x14ac:dyDescent="0.15">
      <c r="C207" s="44"/>
      <c r="D207" s="44"/>
      <c r="E207" s="44"/>
      <c r="J207" s="155"/>
      <c r="K207" s="155"/>
      <c r="L207" s="155"/>
      <c r="M207" s="75"/>
    </row>
    <row r="208" spans="3:13" ht="15.75" customHeight="1" x14ac:dyDescent="0.15">
      <c r="C208" s="44"/>
      <c r="D208" s="44"/>
      <c r="E208" s="44"/>
      <c r="J208" s="155"/>
      <c r="K208" s="155"/>
      <c r="L208" s="155"/>
      <c r="M208" s="75"/>
    </row>
    <row r="209" spans="3:13" ht="15.75" customHeight="1" x14ac:dyDescent="0.15">
      <c r="C209" s="44"/>
      <c r="D209" s="44"/>
      <c r="E209" s="44"/>
      <c r="J209" s="155"/>
      <c r="K209" s="155"/>
      <c r="L209" s="155"/>
      <c r="M209" s="75"/>
    </row>
    <row r="210" spans="3:13" ht="15.75" customHeight="1" x14ac:dyDescent="0.15">
      <c r="C210" s="44"/>
      <c r="D210" s="44"/>
      <c r="E210" s="44"/>
      <c r="J210" s="155"/>
      <c r="K210" s="155"/>
      <c r="L210" s="155"/>
      <c r="M210" s="75"/>
    </row>
    <row r="211" spans="3:13" ht="15.75" customHeight="1" x14ac:dyDescent="0.15">
      <c r="C211" s="44"/>
      <c r="D211" s="44"/>
      <c r="E211" s="44"/>
      <c r="J211" s="155"/>
      <c r="K211" s="155"/>
      <c r="L211" s="155"/>
      <c r="M211" s="75"/>
    </row>
    <row r="212" spans="3:13" ht="15.75" customHeight="1" x14ac:dyDescent="0.15">
      <c r="C212" s="44"/>
      <c r="D212" s="44"/>
      <c r="E212" s="44"/>
      <c r="J212" s="155"/>
      <c r="K212" s="155"/>
      <c r="L212" s="155"/>
      <c r="M212" s="75"/>
    </row>
    <row r="213" spans="3:13" ht="15.75" customHeight="1" x14ac:dyDescent="0.15">
      <c r="C213" s="44"/>
      <c r="D213" s="44"/>
      <c r="E213" s="44"/>
      <c r="J213" s="155"/>
      <c r="K213" s="155"/>
      <c r="L213" s="155"/>
      <c r="M213" s="75"/>
    </row>
    <row r="214" spans="3:13" ht="15.75" customHeight="1" x14ac:dyDescent="0.15">
      <c r="C214" s="44"/>
      <c r="D214" s="44"/>
      <c r="E214" s="44"/>
      <c r="J214" s="155"/>
      <c r="K214" s="155"/>
      <c r="L214" s="155"/>
      <c r="M214" s="75"/>
    </row>
    <row r="215" spans="3:13" ht="15.75" customHeight="1" x14ac:dyDescent="0.15">
      <c r="C215" s="44"/>
      <c r="D215" s="44"/>
      <c r="E215" s="44"/>
      <c r="J215" s="155"/>
      <c r="K215" s="155"/>
      <c r="L215" s="155"/>
      <c r="M215" s="75"/>
    </row>
    <row r="216" spans="3:13" ht="15.75" customHeight="1" x14ac:dyDescent="0.15">
      <c r="C216" s="44"/>
      <c r="D216" s="44"/>
      <c r="E216" s="44"/>
      <c r="J216" s="155"/>
      <c r="K216" s="155"/>
      <c r="L216" s="155"/>
      <c r="M216" s="75"/>
    </row>
    <row r="217" spans="3:13" ht="15.75" customHeight="1" x14ac:dyDescent="0.15">
      <c r="C217" s="44"/>
      <c r="D217" s="44"/>
      <c r="E217" s="44"/>
      <c r="J217" s="155"/>
      <c r="K217" s="155"/>
      <c r="L217" s="155"/>
      <c r="M217" s="75"/>
    </row>
    <row r="218" spans="3:13" ht="15.75" customHeight="1" x14ac:dyDescent="0.15">
      <c r="C218" s="44"/>
      <c r="D218" s="44"/>
      <c r="E218" s="44"/>
      <c r="J218" s="155"/>
      <c r="K218" s="155"/>
      <c r="L218" s="155"/>
      <c r="M218" s="75"/>
    </row>
    <row r="219" spans="3:13" ht="15.75" customHeight="1" x14ac:dyDescent="0.15">
      <c r="C219" s="44"/>
      <c r="D219" s="44"/>
      <c r="E219" s="44"/>
      <c r="J219" s="155"/>
      <c r="K219" s="155"/>
      <c r="L219" s="155"/>
      <c r="M219" s="75"/>
    </row>
    <row r="220" spans="3:13" ht="15.75" customHeight="1" x14ac:dyDescent="0.15">
      <c r="C220" s="44"/>
      <c r="D220" s="44"/>
      <c r="E220" s="44"/>
      <c r="J220" s="155"/>
      <c r="K220" s="155"/>
      <c r="L220" s="155"/>
      <c r="M220" s="75"/>
    </row>
    <row r="221" spans="3:13" ht="15.75" customHeight="1" x14ac:dyDescent="0.15">
      <c r="C221" s="44"/>
      <c r="D221" s="44"/>
      <c r="E221" s="44"/>
      <c r="J221" s="155"/>
      <c r="K221" s="155"/>
      <c r="L221" s="155"/>
      <c r="M221" s="75"/>
    </row>
    <row r="222" spans="3:13" ht="15.75" customHeight="1" x14ac:dyDescent="0.15">
      <c r="C222" s="44"/>
      <c r="D222" s="44"/>
      <c r="E222" s="44"/>
      <c r="J222" s="155"/>
      <c r="K222" s="155"/>
      <c r="L222" s="155"/>
      <c r="M222" s="75"/>
    </row>
    <row r="223" spans="3:13" ht="15.75" customHeight="1" x14ac:dyDescent="0.15">
      <c r="C223" s="44"/>
      <c r="D223" s="44"/>
      <c r="E223" s="44"/>
      <c r="J223" s="155"/>
      <c r="K223" s="155"/>
      <c r="L223" s="155"/>
      <c r="M223" s="75"/>
    </row>
    <row r="224" spans="3:13" ht="15.75" customHeight="1" x14ac:dyDescent="0.15">
      <c r="C224" s="44"/>
      <c r="D224" s="44"/>
      <c r="E224" s="44"/>
      <c r="J224" s="155"/>
      <c r="K224" s="155"/>
      <c r="L224" s="155"/>
      <c r="M224" s="75"/>
    </row>
    <row r="225" spans="3:13" ht="15.75" customHeight="1" x14ac:dyDescent="0.15">
      <c r="C225" s="44"/>
      <c r="D225" s="44"/>
      <c r="E225" s="44"/>
      <c r="J225" s="155"/>
      <c r="K225" s="155"/>
      <c r="L225" s="155"/>
      <c r="M225" s="75"/>
    </row>
    <row r="226" spans="3:13" ht="15.75" customHeight="1" x14ac:dyDescent="0.15">
      <c r="C226" s="44"/>
      <c r="D226" s="44"/>
      <c r="E226" s="44"/>
      <c r="J226" s="155"/>
      <c r="K226" s="155"/>
      <c r="L226" s="155"/>
      <c r="M226" s="75"/>
    </row>
    <row r="227" spans="3:13" ht="15.75" customHeight="1" x14ac:dyDescent="0.15">
      <c r="C227" s="44"/>
      <c r="D227" s="44"/>
      <c r="E227" s="44"/>
      <c r="J227" s="155"/>
      <c r="K227" s="155"/>
      <c r="L227" s="155"/>
      <c r="M227" s="75"/>
    </row>
    <row r="228" spans="3:13" ht="15.75" customHeight="1" x14ac:dyDescent="0.15">
      <c r="C228" s="44"/>
      <c r="D228" s="44"/>
      <c r="E228" s="44"/>
      <c r="J228" s="155"/>
      <c r="K228" s="155"/>
      <c r="L228" s="155"/>
      <c r="M228" s="75"/>
    </row>
    <row r="229" spans="3:13" ht="15.75" customHeight="1" x14ac:dyDescent="0.15">
      <c r="C229" s="44"/>
      <c r="D229" s="44"/>
      <c r="E229" s="44"/>
      <c r="J229" s="155"/>
      <c r="K229" s="155"/>
      <c r="L229" s="155"/>
      <c r="M229" s="75"/>
    </row>
    <row r="230" spans="3:13" ht="15.75" customHeight="1" x14ac:dyDescent="0.15">
      <c r="C230" s="44"/>
      <c r="D230" s="44"/>
      <c r="E230" s="44"/>
      <c r="J230" s="155"/>
      <c r="K230" s="155"/>
      <c r="L230" s="155"/>
      <c r="M230" s="75"/>
    </row>
    <row r="231" spans="3:13" ht="15.75" customHeight="1" x14ac:dyDescent="0.15">
      <c r="C231" s="44"/>
      <c r="D231" s="44"/>
      <c r="E231" s="44"/>
      <c r="J231" s="155"/>
      <c r="K231" s="155"/>
      <c r="L231" s="155"/>
      <c r="M231" s="75"/>
    </row>
    <row r="232" spans="3:13" ht="15.75" customHeight="1" x14ac:dyDescent="0.15">
      <c r="C232" s="44"/>
      <c r="D232" s="44"/>
      <c r="E232" s="44"/>
      <c r="J232" s="155"/>
      <c r="K232" s="155"/>
      <c r="L232" s="155"/>
      <c r="M232" s="75"/>
    </row>
    <row r="233" spans="3:13" ht="15.75" customHeight="1" x14ac:dyDescent="0.15">
      <c r="C233" s="44"/>
      <c r="D233" s="44"/>
      <c r="E233" s="44"/>
      <c r="J233" s="155"/>
      <c r="K233" s="155"/>
      <c r="L233" s="155"/>
      <c r="M233" s="75"/>
    </row>
    <row r="234" spans="3:13" ht="15.75" customHeight="1" x14ac:dyDescent="0.15">
      <c r="C234" s="44"/>
      <c r="D234" s="44"/>
      <c r="E234" s="44"/>
      <c r="J234" s="155"/>
      <c r="K234" s="155"/>
      <c r="L234" s="155"/>
      <c r="M234" s="75"/>
    </row>
    <row r="235" spans="3:13" ht="15.75" customHeight="1" x14ac:dyDescent="0.15">
      <c r="C235" s="44"/>
      <c r="D235" s="44"/>
      <c r="E235" s="44"/>
      <c r="J235" s="155"/>
      <c r="K235" s="155"/>
      <c r="L235" s="155"/>
      <c r="M235" s="75"/>
    </row>
    <row r="236" spans="3:13" ht="15.75" customHeight="1" x14ac:dyDescent="0.15">
      <c r="C236" s="44"/>
      <c r="D236" s="44"/>
      <c r="E236" s="44"/>
      <c r="J236" s="155"/>
      <c r="K236" s="155"/>
      <c r="L236" s="155"/>
      <c r="M236" s="75"/>
    </row>
    <row r="237" spans="3:13" ht="15.75" customHeight="1" x14ac:dyDescent="0.15">
      <c r="C237" s="44"/>
      <c r="D237" s="44"/>
      <c r="E237" s="44"/>
      <c r="J237" s="155"/>
      <c r="K237" s="155"/>
      <c r="L237" s="155"/>
      <c r="M237" s="75"/>
    </row>
    <row r="238" spans="3:13" ht="15.75" customHeight="1" x14ac:dyDescent="0.15">
      <c r="C238" s="44"/>
      <c r="D238" s="44"/>
      <c r="E238" s="44"/>
      <c r="J238" s="155"/>
      <c r="K238" s="155"/>
      <c r="L238" s="155"/>
      <c r="M238" s="75"/>
    </row>
    <row r="239" spans="3:13" ht="15.75" customHeight="1" x14ac:dyDescent="0.15">
      <c r="C239" s="44"/>
      <c r="D239" s="44"/>
      <c r="E239" s="44"/>
      <c r="J239" s="155"/>
      <c r="K239" s="155"/>
      <c r="L239" s="155"/>
      <c r="M239" s="75"/>
    </row>
    <row r="240" spans="3:13" ht="15.75" customHeight="1" x14ac:dyDescent="0.15">
      <c r="C240" s="44"/>
      <c r="D240" s="44"/>
      <c r="E240" s="44"/>
      <c r="J240" s="155"/>
      <c r="K240" s="155"/>
      <c r="L240" s="155"/>
      <c r="M240" s="75"/>
    </row>
    <row r="241" spans="3:13" ht="15.75" customHeight="1" x14ac:dyDescent="0.15">
      <c r="C241" s="44"/>
      <c r="D241" s="44"/>
      <c r="E241" s="44"/>
      <c r="J241" s="155"/>
      <c r="K241" s="155"/>
      <c r="L241" s="155"/>
      <c r="M241" s="75"/>
    </row>
    <row r="242" spans="3:13" ht="15.75" customHeight="1" x14ac:dyDescent="0.15">
      <c r="C242" s="44"/>
      <c r="D242" s="44"/>
      <c r="E242" s="44"/>
      <c r="J242" s="155"/>
      <c r="K242" s="155"/>
      <c r="L242" s="155"/>
      <c r="M242" s="75"/>
    </row>
    <row r="243" spans="3:13" ht="15.75" customHeight="1" x14ac:dyDescent="0.15">
      <c r="C243" s="44"/>
      <c r="D243" s="44"/>
      <c r="E243" s="44"/>
      <c r="J243" s="155"/>
      <c r="K243" s="155"/>
      <c r="L243" s="155"/>
      <c r="M243" s="75"/>
    </row>
    <row r="244" spans="3:13" ht="15.75" customHeight="1" x14ac:dyDescent="0.15">
      <c r="C244" s="44"/>
      <c r="D244" s="44"/>
      <c r="E244" s="44"/>
      <c r="J244" s="155"/>
      <c r="K244" s="155"/>
      <c r="L244" s="155"/>
      <c r="M244" s="75"/>
    </row>
    <row r="245" spans="3:13" ht="15.75" customHeight="1" x14ac:dyDescent="0.15">
      <c r="C245" s="44"/>
      <c r="D245" s="44"/>
      <c r="E245" s="44"/>
      <c r="J245" s="155"/>
      <c r="K245" s="155"/>
      <c r="L245" s="155"/>
      <c r="M245" s="75"/>
    </row>
    <row r="246" spans="3:13" ht="15.75" customHeight="1" x14ac:dyDescent="0.15">
      <c r="C246" s="44"/>
      <c r="D246" s="44"/>
      <c r="E246" s="44"/>
      <c r="J246" s="155"/>
      <c r="K246" s="155"/>
      <c r="L246" s="155"/>
      <c r="M246" s="75"/>
    </row>
    <row r="247" spans="3:13" ht="15.75" customHeight="1" x14ac:dyDescent="0.15">
      <c r="C247" s="44"/>
      <c r="D247" s="44"/>
      <c r="E247" s="44"/>
      <c r="J247" s="155"/>
      <c r="K247" s="155"/>
      <c r="L247" s="155"/>
      <c r="M247" s="75"/>
    </row>
    <row r="248" spans="3:13" ht="15.75" customHeight="1" x14ac:dyDescent="0.15">
      <c r="C248" s="44"/>
      <c r="D248" s="44"/>
      <c r="E248" s="44"/>
      <c r="J248" s="155"/>
      <c r="K248" s="155"/>
      <c r="L248" s="155"/>
      <c r="M248" s="75"/>
    </row>
    <row r="249" spans="3:13" ht="15.75" customHeight="1" x14ac:dyDescent="0.15">
      <c r="C249" s="44"/>
      <c r="D249" s="44"/>
      <c r="E249" s="44"/>
      <c r="J249" s="155"/>
      <c r="K249" s="155"/>
      <c r="L249" s="155"/>
      <c r="M249" s="75"/>
    </row>
    <row r="250" spans="3:13" ht="15.75" customHeight="1" x14ac:dyDescent="0.15">
      <c r="C250" s="44"/>
      <c r="D250" s="44"/>
      <c r="E250" s="44"/>
      <c r="J250" s="155"/>
      <c r="K250" s="155"/>
      <c r="L250" s="155"/>
      <c r="M250" s="75"/>
    </row>
    <row r="251" spans="3:13" ht="15.75" customHeight="1" x14ac:dyDescent="0.15">
      <c r="C251" s="44"/>
      <c r="D251" s="44"/>
      <c r="E251" s="44"/>
      <c r="J251" s="155"/>
      <c r="K251" s="155"/>
      <c r="L251" s="155"/>
      <c r="M251" s="75"/>
    </row>
    <row r="252" spans="3:13" ht="15.75" customHeight="1" x14ac:dyDescent="0.15">
      <c r="C252" s="44"/>
      <c r="D252" s="44"/>
      <c r="E252" s="44"/>
      <c r="J252" s="155"/>
      <c r="K252" s="155"/>
      <c r="L252" s="155"/>
      <c r="M252" s="75"/>
    </row>
    <row r="253" spans="3:13" ht="15.75" customHeight="1" x14ac:dyDescent="0.15">
      <c r="C253" s="44"/>
      <c r="D253" s="44"/>
      <c r="E253" s="44"/>
      <c r="J253" s="155"/>
      <c r="K253" s="155"/>
      <c r="L253" s="155"/>
      <c r="M253" s="75"/>
    </row>
    <row r="254" spans="3:13" ht="15.75" customHeight="1" x14ac:dyDescent="0.15">
      <c r="C254" s="44"/>
      <c r="D254" s="44"/>
      <c r="E254" s="44"/>
      <c r="J254" s="155"/>
      <c r="K254" s="155"/>
      <c r="L254" s="155"/>
      <c r="M254" s="75"/>
    </row>
    <row r="255" spans="3:13" ht="15.75" customHeight="1" x14ac:dyDescent="0.15">
      <c r="C255" s="44"/>
      <c r="D255" s="44"/>
      <c r="E255" s="44"/>
      <c r="J255" s="155"/>
      <c r="K255" s="155"/>
      <c r="L255" s="155"/>
      <c r="M255" s="75"/>
    </row>
    <row r="256" spans="3:13" ht="15.75" customHeight="1" x14ac:dyDescent="0.15">
      <c r="C256" s="44"/>
      <c r="D256" s="44"/>
      <c r="E256" s="44"/>
      <c r="J256" s="155"/>
      <c r="K256" s="155"/>
      <c r="L256" s="155"/>
      <c r="M256" s="75"/>
    </row>
    <row r="257" spans="3:13" ht="15.75" customHeight="1" x14ac:dyDescent="0.15">
      <c r="C257" s="44"/>
      <c r="D257" s="44"/>
      <c r="E257" s="44"/>
      <c r="J257" s="155"/>
      <c r="K257" s="155"/>
      <c r="L257" s="155"/>
      <c r="M257" s="75"/>
    </row>
    <row r="258" spans="3:13" ht="15.75" customHeight="1" x14ac:dyDescent="0.15">
      <c r="C258" s="44"/>
      <c r="D258" s="44"/>
      <c r="E258" s="44"/>
      <c r="J258" s="155"/>
      <c r="K258" s="155"/>
      <c r="L258" s="155"/>
      <c r="M258" s="75"/>
    </row>
    <row r="259" spans="3:13" ht="15.75" customHeight="1" x14ac:dyDescent="0.15">
      <c r="C259" s="44"/>
      <c r="D259" s="44"/>
      <c r="E259" s="44"/>
      <c r="J259" s="155"/>
      <c r="K259" s="155"/>
      <c r="L259" s="155"/>
      <c r="M259" s="75"/>
    </row>
    <row r="260" spans="3:13" ht="15.75" customHeight="1" x14ac:dyDescent="0.15">
      <c r="C260" s="44"/>
      <c r="D260" s="44"/>
      <c r="E260" s="44"/>
      <c r="J260" s="155"/>
      <c r="K260" s="155"/>
      <c r="L260" s="155"/>
      <c r="M260" s="75"/>
    </row>
    <row r="261" spans="3:13" ht="15.75" customHeight="1" x14ac:dyDescent="0.15">
      <c r="C261" s="44"/>
      <c r="D261" s="44"/>
      <c r="E261" s="44"/>
      <c r="J261" s="155"/>
      <c r="K261" s="155"/>
      <c r="L261" s="155"/>
      <c r="M261" s="75"/>
    </row>
    <row r="262" spans="3:13" ht="15.75" customHeight="1" x14ac:dyDescent="0.15">
      <c r="C262" s="44"/>
      <c r="D262" s="44"/>
      <c r="E262" s="44"/>
      <c r="J262" s="155"/>
      <c r="K262" s="155"/>
      <c r="L262" s="155"/>
      <c r="M262" s="75"/>
    </row>
    <row r="263" spans="3:13" ht="15.75" customHeight="1" x14ac:dyDescent="0.15">
      <c r="C263" s="44"/>
      <c r="D263" s="44"/>
      <c r="E263" s="44"/>
      <c r="J263" s="155"/>
      <c r="K263" s="155"/>
      <c r="L263" s="155"/>
      <c r="M263" s="75"/>
    </row>
    <row r="264" spans="3:13" ht="15.75" customHeight="1" x14ac:dyDescent="0.15">
      <c r="C264" s="44"/>
      <c r="D264" s="44"/>
      <c r="E264" s="44"/>
      <c r="J264" s="155"/>
      <c r="K264" s="155"/>
      <c r="L264" s="155"/>
      <c r="M264" s="75"/>
    </row>
    <row r="265" spans="3:13" ht="15.75" customHeight="1" x14ac:dyDescent="0.15">
      <c r="C265" s="44"/>
      <c r="D265" s="44"/>
      <c r="E265" s="44"/>
      <c r="J265" s="155"/>
      <c r="K265" s="155"/>
      <c r="L265" s="155"/>
      <c r="M265" s="75"/>
    </row>
    <row r="266" spans="3:13" ht="15.75" customHeight="1" x14ac:dyDescent="0.15">
      <c r="C266" s="44"/>
      <c r="D266" s="44"/>
      <c r="E266" s="44"/>
      <c r="J266" s="155"/>
      <c r="K266" s="155"/>
      <c r="L266" s="155"/>
      <c r="M266" s="75"/>
    </row>
    <row r="267" spans="3:13" ht="15.75" customHeight="1" x14ac:dyDescent="0.15">
      <c r="C267" s="44"/>
      <c r="D267" s="44"/>
      <c r="E267" s="44"/>
      <c r="J267" s="155"/>
      <c r="K267" s="155"/>
      <c r="L267" s="155"/>
      <c r="M267" s="75"/>
    </row>
    <row r="268" spans="3:13" ht="15.75" customHeight="1" x14ac:dyDescent="0.15">
      <c r="C268" s="44"/>
      <c r="D268" s="44"/>
      <c r="E268" s="44"/>
      <c r="J268" s="155"/>
      <c r="K268" s="155"/>
      <c r="L268" s="155"/>
      <c r="M268" s="75"/>
    </row>
    <row r="269" spans="3:13" ht="15.75" customHeight="1" x14ac:dyDescent="0.15">
      <c r="C269" s="44"/>
      <c r="D269" s="44"/>
      <c r="E269" s="44"/>
      <c r="J269" s="155"/>
      <c r="K269" s="155"/>
      <c r="L269" s="155"/>
      <c r="M269" s="75"/>
    </row>
    <row r="270" spans="3:13" ht="15.75" customHeight="1" x14ac:dyDescent="0.15">
      <c r="C270" s="44"/>
      <c r="D270" s="44"/>
      <c r="E270" s="44"/>
      <c r="J270" s="155"/>
      <c r="K270" s="155"/>
      <c r="L270" s="155"/>
      <c r="M270" s="75"/>
    </row>
    <row r="271" spans="3:13" ht="15.75" customHeight="1" x14ac:dyDescent="0.15">
      <c r="C271" s="44"/>
      <c r="D271" s="44"/>
      <c r="E271" s="44"/>
      <c r="J271" s="155"/>
      <c r="K271" s="155"/>
      <c r="L271" s="155"/>
      <c r="M271" s="75"/>
    </row>
    <row r="272" spans="3:13" ht="15.75" customHeight="1" x14ac:dyDescent="0.15">
      <c r="C272" s="44"/>
      <c r="D272" s="44"/>
      <c r="E272" s="44"/>
      <c r="J272" s="155"/>
      <c r="K272" s="155"/>
      <c r="L272" s="155"/>
      <c r="M272" s="75"/>
    </row>
    <row r="273" spans="3:13" ht="15.75" customHeight="1" x14ac:dyDescent="0.15">
      <c r="C273" s="44"/>
      <c r="D273" s="44"/>
      <c r="E273" s="44"/>
      <c r="J273" s="155"/>
      <c r="K273" s="155"/>
      <c r="L273" s="155"/>
      <c r="M273" s="75"/>
    </row>
    <row r="274" spans="3:13" ht="15.75" customHeight="1" x14ac:dyDescent="0.15">
      <c r="C274" s="44"/>
      <c r="D274" s="44"/>
      <c r="E274" s="44"/>
      <c r="J274" s="155"/>
      <c r="K274" s="155"/>
      <c r="L274" s="155"/>
      <c r="M274" s="75"/>
    </row>
    <row r="275" spans="3:13" ht="15.75" customHeight="1" x14ac:dyDescent="0.15">
      <c r="C275" s="44"/>
      <c r="D275" s="44"/>
      <c r="E275" s="44"/>
      <c r="J275" s="155"/>
      <c r="K275" s="155"/>
      <c r="L275" s="155"/>
      <c r="M275" s="75"/>
    </row>
    <row r="276" spans="3:13" ht="15.75" customHeight="1" x14ac:dyDescent="0.15">
      <c r="C276" s="44"/>
      <c r="D276" s="44"/>
      <c r="E276" s="44"/>
      <c r="J276" s="155"/>
      <c r="K276" s="155"/>
      <c r="L276" s="155"/>
      <c r="M276" s="75"/>
    </row>
    <row r="277" spans="3:13" ht="15.75" customHeight="1" x14ac:dyDescent="0.15">
      <c r="C277" s="44"/>
      <c r="D277" s="44"/>
      <c r="E277" s="44"/>
      <c r="J277" s="155"/>
      <c r="K277" s="155"/>
      <c r="L277" s="155"/>
      <c r="M277" s="75"/>
    </row>
    <row r="278" spans="3:13" ht="15.75" customHeight="1" x14ac:dyDescent="0.15">
      <c r="C278" s="44"/>
      <c r="D278" s="44"/>
      <c r="E278" s="44"/>
      <c r="J278" s="155"/>
      <c r="K278" s="155"/>
      <c r="L278" s="155"/>
      <c r="M278" s="75"/>
    </row>
    <row r="279" spans="3:13" ht="15.75" customHeight="1" x14ac:dyDescent="0.15">
      <c r="C279" s="44"/>
      <c r="D279" s="44"/>
      <c r="E279" s="44"/>
      <c r="J279" s="155"/>
      <c r="K279" s="155"/>
      <c r="L279" s="155"/>
      <c r="M279" s="75"/>
    </row>
    <row r="280" spans="3:13" ht="15.75" customHeight="1" x14ac:dyDescent="0.15">
      <c r="C280" s="44"/>
      <c r="D280" s="44"/>
      <c r="E280" s="44"/>
      <c r="J280" s="155"/>
      <c r="K280" s="155"/>
      <c r="L280" s="155"/>
      <c r="M280" s="75"/>
    </row>
    <row r="281" spans="3:13" ht="15.75" customHeight="1" x14ac:dyDescent="0.15">
      <c r="C281" s="44"/>
      <c r="D281" s="44"/>
      <c r="E281" s="44"/>
      <c r="J281" s="155"/>
      <c r="K281" s="155"/>
      <c r="L281" s="155"/>
      <c r="M281" s="75"/>
    </row>
    <row r="282" spans="3:13" ht="15.75" customHeight="1" x14ac:dyDescent="0.15">
      <c r="C282" s="44"/>
      <c r="D282" s="44"/>
      <c r="E282" s="44"/>
      <c r="J282" s="155"/>
      <c r="K282" s="155"/>
      <c r="L282" s="155"/>
      <c r="M282" s="75"/>
    </row>
    <row r="283" spans="3:13" ht="15.75" customHeight="1" x14ac:dyDescent="0.15">
      <c r="C283" s="44"/>
      <c r="D283" s="44"/>
      <c r="E283" s="44"/>
      <c r="J283" s="155"/>
      <c r="K283" s="155"/>
      <c r="L283" s="155"/>
      <c r="M283" s="75"/>
    </row>
    <row r="284" spans="3:13" ht="15.75" customHeight="1" x14ac:dyDescent="0.15">
      <c r="C284" s="44"/>
      <c r="D284" s="44"/>
      <c r="E284" s="44"/>
      <c r="J284" s="155"/>
      <c r="K284" s="155"/>
      <c r="L284" s="155"/>
      <c r="M284" s="75"/>
    </row>
    <row r="285" spans="3:13" ht="15.75" customHeight="1" x14ac:dyDescent="0.15">
      <c r="C285" s="44"/>
      <c r="D285" s="44"/>
      <c r="E285" s="44"/>
      <c r="J285" s="155"/>
      <c r="K285" s="155"/>
      <c r="L285" s="155"/>
      <c r="M285" s="75"/>
    </row>
    <row r="286" spans="3:13" ht="15.75" customHeight="1" x14ac:dyDescent="0.15">
      <c r="C286" s="44"/>
      <c r="D286" s="44"/>
      <c r="E286" s="44"/>
      <c r="J286" s="155"/>
      <c r="K286" s="155"/>
      <c r="L286" s="155"/>
      <c r="M286" s="75"/>
    </row>
    <row r="287" spans="3:13" ht="15.75" customHeight="1" x14ac:dyDescent="0.15">
      <c r="C287" s="44"/>
      <c r="D287" s="44"/>
      <c r="E287" s="44"/>
      <c r="J287" s="155"/>
      <c r="K287" s="155"/>
      <c r="L287" s="155"/>
      <c r="M287" s="75"/>
    </row>
    <row r="288" spans="3:13" ht="15.75" customHeight="1" x14ac:dyDescent="0.15">
      <c r="C288" s="44"/>
      <c r="D288" s="44"/>
      <c r="E288" s="44"/>
      <c r="J288" s="155"/>
      <c r="K288" s="155"/>
      <c r="L288" s="155"/>
      <c r="M288" s="75"/>
    </row>
    <row r="289" spans="3:13" ht="15.75" customHeight="1" x14ac:dyDescent="0.15">
      <c r="C289" s="44"/>
      <c r="D289" s="44"/>
      <c r="E289" s="44"/>
      <c r="J289" s="155"/>
      <c r="K289" s="155"/>
      <c r="L289" s="155"/>
      <c r="M289" s="75"/>
    </row>
    <row r="290" spans="3:13" ht="15.75" customHeight="1" x14ac:dyDescent="0.15">
      <c r="C290" s="44"/>
      <c r="D290" s="44"/>
      <c r="E290" s="44"/>
      <c r="J290" s="155"/>
      <c r="K290" s="155"/>
      <c r="L290" s="155"/>
      <c r="M290" s="75"/>
    </row>
    <row r="291" spans="3:13" ht="15.75" customHeight="1" x14ac:dyDescent="0.15">
      <c r="C291" s="44"/>
      <c r="D291" s="44"/>
      <c r="E291" s="44"/>
      <c r="J291" s="155"/>
      <c r="K291" s="155"/>
      <c r="L291" s="155"/>
      <c r="M291" s="75"/>
    </row>
    <row r="292" spans="3:13" ht="15.75" customHeight="1" x14ac:dyDescent="0.15">
      <c r="C292" s="44"/>
      <c r="D292" s="44"/>
      <c r="E292" s="44"/>
      <c r="J292" s="155"/>
      <c r="K292" s="155"/>
      <c r="L292" s="155"/>
      <c r="M292" s="75"/>
    </row>
    <row r="293" spans="3:13" ht="15.75" customHeight="1" x14ac:dyDescent="0.15">
      <c r="C293" s="44"/>
      <c r="D293" s="44"/>
      <c r="E293" s="44"/>
      <c r="J293" s="155"/>
      <c r="K293" s="155"/>
      <c r="L293" s="155"/>
      <c r="M293" s="75"/>
    </row>
    <row r="294" spans="3:13" ht="15.75" customHeight="1" x14ac:dyDescent="0.15">
      <c r="C294" s="44"/>
      <c r="D294" s="44"/>
      <c r="E294" s="44"/>
      <c r="J294" s="155"/>
      <c r="K294" s="155"/>
      <c r="L294" s="155"/>
      <c r="M294" s="75"/>
    </row>
    <row r="295" spans="3:13" ht="15.75" customHeight="1" x14ac:dyDescent="0.15">
      <c r="C295" s="44"/>
      <c r="D295" s="44"/>
      <c r="E295" s="44"/>
      <c r="J295" s="155"/>
      <c r="K295" s="155"/>
      <c r="L295" s="155"/>
      <c r="M295" s="75"/>
    </row>
    <row r="296" spans="3:13" ht="15.75" customHeight="1" x14ac:dyDescent="0.15">
      <c r="C296" s="44"/>
      <c r="D296" s="44"/>
      <c r="E296" s="44"/>
      <c r="J296" s="155"/>
      <c r="K296" s="155"/>
      <c r="L296" s="155"/>
      <c r="M296" s="75"/>
    </row>
    <row r="297" spans="3:13" ht="15.75" customHeight="1" x14ac:dyDescent="0.15">
      <c r="C297" s="44"/>
      <c r="D297" s="44"/>
      <c r="E297" s="44"/>
      <c r="J297" s="155"/>
      <c r="K297" s="155"/>
      <c r="L297" s="155"/>
      <c r="M297" s="75"/>
    </row>
    <row r="298" spans="3:13" ht="15.75" customHeight="1" x14ac:dyDescent="0.15">
      <c r="C298" s="44"/>
      <c r="D298" s="44"/>
      <c r="E298" s="44"/>
      <c r="J298" s="155"/>
      <c r="K298" s="155"/>
      <c r="L298" s="155"/>
      <c r="M298" s="75"/>
    </row>
    <row r="299" spans="3:13" ht="15.75" customHeight="1" x14ac:dyDescent="0.15">
      <c r="C299" s="44"/>
      <c r="D299" s="44"/>
      <c r="E299" s="44"/>
      <c r="J299" s="155"/>
      <c r="K299" s="155"/>
      <c r="L299" s="155"/>
      <c r="M299" s="75"/>
    </row>
    <row r="300" spans="3:13" ht="15.75" customHeight="1" x14ac:dyDescent="0.15">
      <c r="C300" s="44"/>
      <c r="D300" s="44"/>
      <c r="E300" s="44"/>
      <c r="J300" s="155"/>
      <c r="K300" s="155"/>
      <c r="L300" s="155"/>
      <c r="M300" s="75"/>
    </row>
    <row r="301" spans="3:13" ht="15.75" customHeight="1" x14ac:dyDescent="0.15">
      <c r="C301" s="44"/>
      <c r="D301" s="44"/>
      <c r="E301" s="44"/>
      <c r="J301" s="155"/>
      <c r="K301" s="155"/>
      <c r="L301" s="155"/>
      <c r="M301" s="75"/>
    </row>
    <row r="302" spans="3:13" ht="15.75" customHeight="1" x14ac:dyDescent="0.15">
      <c r="C302" s="44"/>
      <c r="D302" s="44"/>
      <c r="E302" s="44"/>
      <c r="J302" s="155"/>
      <c r="K302" s="155"/>
      <c r="L302" s="155"/>
      <c r="M302" s="75"/>
    </row>
    <row r="303" spans="3:13" ht="15.75" customHeight="1" x14ac:dyDescent="0.15">
      <c r="C303" s="44"/>
      <c r="D303" s="44"/>
      <c r="E303" s="44"/>
      <c r="J303" s="155"/>
      <c r="K303" s="155"/>
      <c r="L303" s="155"/>
      <c r="M303" s="75"/>
    </row>
    <row r="304" spans="3:13" ht="15.75" customHeight="1" x14ac:dyDescent="0.15">
      <c r="C304" s="44"/>
      <c r="D304" s="44"/>
      <c r="E304" s="44"/>
      <c r="J304" s="155"/>
      <c r="K304" s="155"/>
      <c r="L304" s="155"/>
      <c r="M304" s="75"/>
    </row>
    <row r="305" spans="3:13" ht="15.75" customHeight="1" x14ac:dyDescent="0.15">
      <c r="C305" s="44"/>
      <c r="D305" s="44"/>
      <c r="E305" s="44"/>
      <c r="J305" s="155"/>
      <c r="K305" s="155"/>
      <c r="L305" s="155"/>
      <c r="M305" s="75"/>
    </row>
    <row r="306" spans="3:13" ht="15.75" customHeight="1" x14ac:dyDescent="0.15">
      <c r="C306" s="44"/>
      <c r="D306" s="44"/>
      <c r="E306" s="44"/>
      <c r="J306" s="155"/>
      <c r="K306" s="155"/>
      <c r="L306" s="155"/>
      <c r="M306" s="75"/>
    </row>
    <row r="307" spans="3:13" ht="15.75" customHeight="1" x14ac:dyDescent="0.15">
      <c r="C307" s="44"/>
      <c r="D307" s="44"/>
      <c r="E307" s="44"/>
      <c r="J307" s="155"/>
      <c r="K307" s="155"/>
      <c r="L307" s="155"/>
      <c r="M307" s="75"/>
    </row>
    <row r="308" spans="3:13" ht="15.75" customHeight="1" x14ac:dyDescent="0.15">
      <c r="C308" s="44"/>
      <c r="D308" s="44"/>
      <c r="E308" s="44"/>
      <c r="J308" s="155"/>
      <c r="K308" s="155"/>
      <c r="L308" s="155"/>
      <c r="M308" s="75"/>
    </row>
    <row r="309" spans="3:13" ht="15.75" customHeight="1" x14ac:dyDescent="0.15">
      <c r="C309" s="44"/>
      <c r="D309" s="44"/>
      <c r="E309" s="44"/>
      <c r="J309" s="155"/>
      <c r="K309" s="155"/>
      <c r="L309" s="155"/>
      <c r="M309" s="75"/>
    </row>
    <row r="310" spans="3:13" ht="15.75" customHeight="1" x14ac:dyDescent="0.15">
      <c r="C310" s="44"/>
      <c r="D310" s="44"/>
      <c r="E310" s="44"/>
      <c r="J310" s="155"/>
      <c r="K310" s="155"/>
      <c r="L310" s="155"/>
      <c r="M310" s="75"/>
    </row>
    <row r="311" spans="3:13" ht="15.75" customHeight="1" x14ac:dyDescent="0.15">
      <c r="C311" s="44"/>
      <c r="D311" s="44"/>
      <c r="E311" s="44"/>
      <c r="J311" s="155"/>
      <c r="K311" s="155"/>
      <c r="L311" s="155"/>
      <c r="M311" s="75"/>
    </row>
    <row r="312" spans="3:13" ht="15.75" customHeight="1" x14ac:dyDescent="0.15">
      <c r="C312" s="44"/>
      <c r="D312" s="44"/>
      <c r="E312" s="44"/>
      <c r="J312" s="155"/>
      <c r="K312" s="155"/>
      <c r="L312" s="155"/>
      <c r="M312" s="75"/>
    </row>
    <row r="313" spans="3:13" ht="15.75" customHeight="1" x14ac:dyDescent="0.15">
      <c r="C313" s="44"/>
      <c r="D313" s="44"/>
      <c r="E313" s="44"/>
      <c r="J313" s="155"/>
      <c r="K313" s="155"/>
      <c r="L313" s="155"/>
      <c r="M313" s="75"/>
    </row>
    <row r="314" spans="3:13" ht="15.75" customHeight="1" x14ac:dyDescent="0.15">
      <c r="C314" s="44"/>
      <c r="D314" s="44"/>
      <c r="E314" s="44"/>
      <c r="J314" s="155"/>
      <c r="K314" s="155"/>
      <c r="L314" s="155"/>
      <c r="M314" s="75"/>
    </row>
    <row r="315" spans="3:13" ht="15.75" customHeight="1" x14ac:dyDescent="0.15">
      <c r="C315" s="44"/>
      <c r="D315" s="44"/>
      <c r="E315" s="44"/>
      <c r="J315" s="155"/>
      <c r="K315" s="155"/>
      <c r="L315" s="155"/>
      <c r="M315" s="75"/>
    </row>
    <row r="316" spans="3:13" ht="15.75" customHeight="1" x14ac:dyDescent="0.15">
      <c r="C316" s="44"/>
      <c r="D316" s="44"/>
      <c r="E316" s="44"/>
      <c r="J316" s="155"/>
      <c r="K316" s="155"/>
      <c r="L316" s="155"/>
      <c r="M316" s="75"/>
    </row>
    <row r="317" spans="3:13" ht="15.75" customHeight="1" x14ac:dyDescent="0.15">
      <c r="C317" s="44"/>
      <c r="D317" s="44"/>
      <c r="E317" s="44"/>
      <c r="J317" s="155"/>
      <c r="K317" s="155"/>
      <c r="L317" s="155"/>
      <c r="M317" s="75"/>
    </row>
    <row r="318" spans="3:13" ht="15.75" customHeight="1" x14ac:dyDescent="0.15">
      <c r="C318" s="44"/>
      <c r="D318" s="44"/>
      <c r="E318" s="44"/>
      <c r="J318" s="155"/>
      <c r="K318" s="155"/>
      <c r="L318" s="155"/>
      <c r="M318" s="75"/>
    </row>
    <row r="319" spans="3:13" ht="15.75" customHeight="1" x14ac:dyDescent="0.15">
      <c r="C319" s="44"/>
      <c r="D319" s="44"/>
      <c r="E319" s="44"/>
      <c r="J319" s="155"/>
      <c r="K319" s="155"/>
      <c r="L319" s="155"/>
      <c r="M319" s="75"/>
    </row>
    <row r="320" spans="3:13" ht="15.75" customHeight="1" x14ac:dyDescent="0.15">
      <c r="C320" s="44"/>
      <c r="D320" s="44"/>
      <c r="E320" s="44"/>
      <c r="J320" s="155"/>
      <c r="K320" s="155"/>
      <c r="L320" s="155"/>
      <c r="M320" s="75"/>
    </row>
    <row r="321" spans="3:13" ht="15.75" customHeight="1" x14ac:dyDescent="0.15">
      <c r="C321" s="44"/>
      <c r="D321" s="44"/>
      <c r="E321" s="44"/>
      <c r="J321" s="155"/>
      <c r="K321" s="155"/>
      <c r="L321" s="155"/>
      <c r="M321" s="75"/>
    </row>
    <row r="322" spans="3:13" ht="15.75" customHeight="1" x14ac:dyDescent="0.15">
      <c r="C322" s="44"/>
      <c r="D322" s="44"/>
      <c r="E322" s="44"/>
      <c r="J322" s="155"/>
      <c r="K322" s="155"/>
      <c r="L322" s="155"/>
      <c r="M322" s="75"/>
    </row>
    <row r="323" spans="3:13" ht="15.75" customHeight="1" x14ac:dyDescent="0.15">
      <c r="C323" s="44"/>
      <c r="D323" s="44"/>
      <c r="E323" s="44"/>
      <c r="J323" s="155"/>
      <c r="K323" s="155"/>
      <c r="L323" s="155"/>
      <c r="M323" s="75"/>
    </row>
    <row r="324" spans="3:13" ht="15.75" customHeight="1" x14ac:dyDescent="0.15">
      <c r="C324" s="44"/>
      <c r="D324" s="44"/>
      <c r="E324" s="44"/>
      <c r="J324" s="155"/>
      <c r="K324" s="155"/>
      <c r="L324" s="155"/>
      <c r="M324" s="75"/>
    </row>
    <row r="325" spans="3:13" ht="15.75" customHeight="1" x14ac:dyDescent="0.15">
      <c r="C325" s="44"/>
      <c r="D325" s="44"/>
      <c r="E325" s="44"/>
      <c r="J325" s="155"/>
      <c r="K325" s="155"/>
      <c r="L325" s="155"/>
      <c r="M325" s="75"/>
    </row>
    <row r="326" spans="3:13" ht="15.75" customHeight="1" x14ac:dyDescent="0.15">
      <c r="C326" s="44"/>
      <c r="D326" s="44"/>
      <c r="E326" s="44"/>
      <c r="J326" s="155"/>
      <c r="K326" s="155"/>
      <c r="L326" s="155"/>
      <c r="M326" s="75"/>
    </row>
    <row r="327" spans="3:13" ht="15.75" customHeight="1" x14ac:dyDescent="0.15">
      <c r="C327" s="44"/>
      <c r="D327" s="44"/>
      <c r="E327" s="44"/>
      <c r="J327" s="155"/>
      <c r="K327" s="155"/>
      <c r="L327" s="155"/>
      <c r="M327" s="75"/>
    </row>
    <row r="328" spans="3:13" ht="15.75" customHeight="1" x14ac:dyDescent="0.15">
      <c r="C328" s="44"/>
      <c r="D328" s="44"/>
      <c r="E328" s="44"/>
      <c r="J328" s="155"/>
      <c r="K328" s="155"/>
      <c r="L328" s="155"/>
      <c r="M328" s="75"/>
    </row>
    <row r="329" spans="3:13" ht="15.75" customHeight="1" x14ac:dyDescent="0.15">
      <c r="C329" s="44"/>
      <c r="D329" s="44"/>
      <c r="E329" s="44"/>
      <c r="J329" s="155"/>
      <c r="K329" s="155"/>
      <c r="L329" s="155"/>
      <c r="M329" s="75"/>
    </row>
    <row r="330" spans="3:13" ht="15.75" customHeight="1" x14ac:dyDescent="0.15">
      <c r="C330" s="44"/>
      <c r="D330" s="44"/>
      <c r="E330" s="44"/>
      <c r="J330" s="155"/>
      <c r="K330" s="155"/>
      <c r="L330" s="155"/>
      <c r="M330" s="75"/>
    </row>
    <row r="331" spans="3:13" ht="15.75" customHeight="1" x14ac:dyDescent="0.15">
      <c r="C331" s="44"/>
      <c r="D331" s="44"/>
      <c r="E331" s="44"/>
      <c r="J331" s="155"/>
      <c r="K331" s="155"/>
      <c r="L331" s="155"/>
      <c r="M331" s="75"/>
    </row>
    <row r="332" spans="3:13" ht="15.75" customHeight="1" x14ac:dyDescent="0.15">
      <c r="C332" s="44"/>
      <c r="D332" s="44"/>
      <c r="E332" s="44"/>
      <c r="J332" s="155"/>
      <c r="K332" s="155"/>
      <c r="L332" s="155"/>
      <c r="M332" s="75"/>
    </row>
    <row r="333" spans="3:13" ht="15.75" customHeight="1" x14ac:dyDescent="0.15">
      <c r="C333" s="44"/>
      <c r="D333" s="44"/>
      <c r="E333" s="44"/>
      <c r="J333" s="155"/>
      <c r="K333" s="155"/>
      <c r="L333" s="155"/>
      <c r="M333" s="75"/>
    </row>
    <row r="334" spans="3:13" ht="15.75" customHeight="1" x14ac:dyDescent="0.15">
      <c r="C334" s="44"/>
      <c r="D334" s="44"/>
      <c r="E334" s="44"/>
      <c r="J334" s="155"/>
      <c r="K334" s="155"/>
      <c r="L334" s="155"/>
      <c r="M334" s="75"/>
    </row>
    <row r="335" spans="3:13" ht="15.75" customHeight="1" x14ac:dyDescent="0.15">
      <c r="C335" s="44"/>
      <c r="D335" s="44"/>
      <c r="E335" s="44"/>
      <c r="J335" s="155"/>
      <c r="K335" s="155"/>
      <c r="L335" s="155"/>
      <c r="M335" s="75"/>
    </row>
    <row r="336" spans="3:13" ht="15.75" customHeight="1" x14ac:dyDescent="0.15">
      <c r="C336" s="44"/>
      <c r="D336" s="44"/>
      <c r="E336" s="44"/>
      <c r="J336" s="155"/>
      <c r="K336" s="155"/>
      <c r="L336" s="155"/>
      <c r="M336" s="75"/>
    </row>
    <row r="337" spans="3:13" ht="15.75" customHeight="1" x14ac:dyDescent="0.15">
      <c r="C337" s="44"/>
      <c r="D337" s="44"/>
      <c r="E337" s="44"/>
      <c r="J337" s="155"/>
      <c r="K337" s="155"/>
      <c r="L337" s="155"/>
      <c r="M337" s="75"/>
    </row>
    <row r="338" spans="3:13" ht="15.75" customHeight="1" x14ac:dyDescent="0.15">
      <c r="C338" s="44"/>
      <c r="D338" s="44"/>
      <c r="E338" s="44"/>
      <c r="J338" s="155"/>
      <c r="K338" s="155"/>
      <c r="L338" s="155"/>
      <c r="M338" s="75"/>
    </row>
    <row r="339" spans="3:13" ht="15.75" customHeight="1" x14ac:dyDescent="0.15">
      <c r="C339" s="44"/>
      <c r="D339" s="44"/>
      <c r="E339" s="44"/>
      <c r="J339" s="155"/>
      <c r="K339" s="155"/>
      <c r="L339" s="155"/>
      <c r="M339" s="75"/>
    </row>
    <row r="340" spans="3:13" ht="15.75" customHeight="1" x14ac:dyDescent="0.15">
      <c r="C340" s="44"/>
      <c r="D340" s="44"/>
      <c r="E340" s="44"/>
      <c r="J340" s="155"/>
      <c r="K340" s="155"/>
      <c r="L340" s="155"/>
      <c r="M340" s="75"/>
    </row>
    <row r="341" spans="3:13" ht="15.75" customHeight="1" x14ac:dyDescent="0.15">
      <c r="C341" s="44"/>
      <c r="D341" s="44"/>
      <c r="E341" s="44"/>
      <c r="J341" s="155"/>
      <c r="K341" s="155"/>
      <c r="L341" s="155"/>
      <c r="M341" s="75"/>
    </row>
    <row r="342" spans="3:13" ht="15.75" customHeight="1" x14ac:dyDescent="0.15">
      <c r="C342" s="44"/>
      <c r="D342" s="44"/>
      <c r="E342" s="44"/>
      <c r="J342" s="155"/>
      <c r="K342" s="155"/>
      <c r="L342" s="155"/>
      <c r="M342" s="75"/>
    </row>
    <row r="343" spans="3:13" ht="15.75" customHeight="1" x14ac:dyDescent="0.15">
      <c r="C343" s="44"/>
      <c r="D343" s="44"/>
      <c r="E343" s="44"/>
      <c r="J343" s="155"/>
      <c r="K343" s="155"/>
      <c r="L343" s="155"/>
      <c r="M343" s="75"/>
    </row>
    <row r="344" spans="3:13" ht="15.75" customHeight="1" x14ac:dyDescent="0.15">
      <c r="C344" s="44"/>
      <c r="D344" s="44"/>
      <c r="E344" s="44"/>
      <c r="J344" s="155"/>
      <c r="K344" s="155"/>
      <c r="L344" s="155"/>
      <c r="M344" s="75"/>
    </row>
    <row r="345" spans="3:13" ht="15.75" customHeight="1" x14ac:dyDescent="0.15">
      <c r="C345" s="44"/>
      <c r="D345" s="44"/>
      <c r="E345" s="44"/>
      <c r="J345" s="155"/>
      <c r="K345" s="155"/>
      <c r="L345" s="155"/>
      <c r="M345" s="75"/>
    </row>
    <row r="346" spans="3:13" ht="15.75" customHeight="1" x14ac:dyDescent="0.15">
      <c r="C346" s="44"/>
      <c r="D346" s="44"/>
      <c r="E346" s="44"/>
      <c r="J346" s="155"/>
      <c r="K346" s="155"/>
      <c r="L346" s="155"/>
      <c r="M346" s="75"/>
    </row>
    <row r="347" spans="3:13" ht="15.75" customHeight="1" x14ac:dyDescent="0.15">
      <c r="C347" s="44"/>
      <c r="D347" s="44"/>
      <c r="E347" s="44"/>
      <c r="J347" s="155"/>
      <c r="K347" s="155"/>
      <c r="L347" s="155"/>
      <c r="M347" s="75"/>
    </row>
    <row r="348" spans="3:13" ht="15.75" customHeight="1" x14ac:dyDescent="0.15">
      <c r="C348" s="44"/>
      <c r="D348" s="44"/>
      <c r="E348" s="44"/>
      <c r="J348" s="155"/>
      <c r="K348" s="155"/>
      <c r="L348" s="155"/>
      <c r="M348" s="75"/>
    </row>
    <row r="349" spans="3:13" ht="15.75" customHeight="1" x14ac:dyDescent="0.15">
      <c r="C349" s="44"/>
      <c r="D349" s="44"/>
      <c r="E349" s="44"/>
      <c r="J349" s="155"/>
      <c r="K349" s="155"/>
      <c r="L349" s="155"/>
      <c r="M349" s="75"/>
    </row>
    <row r="350" spans="3:13" ht="15.75" customHeight="1" x14ac:dyDescent="0.15">
      <c r="C350" s="44"/>
      <c r="D350" s="44"/>
      <c r="E350" s="44"/>
      <c r="J350" s="155"/>
      <c r="K350" s="155"/>
      <c r="L350" s="155"/>
      <c r="M350" s="75"/>
    </row>
    <row r="351" spans="3:13" ht="15.75" customHeight="1" x14ac:dyDescent="0.15">
      <c r="C351" s="44"/>
      <c r="D351" s="44"/>
      <c r="E351" s="44"/>
      <c r="J351" s="155"/>
      <c r="K351" s="155"/>
      <c r="L351" s="155"/>
      <c r="M351" s="75"/>
    </row>
    <row r="352" spans="3:13" ht="15.75" customHeight="1" x14ac:dyDescent="0.15">
      <c r="C352" s="44"/>
      <c r="D352" s="44"/>
      <c r="E352" s="44"/>
      <c r="J352" s="155"/>
      <c r="K352" s="155"/>
      <c r="L352" s="155"/>
      <c r="M352" s="75"/>
    </row>
    <row r="353" spans="3:13" ht="15.75" customHeight="1" x14ac:dyDescent="0.15">
      <c r="C353" s="44"/>
      <c r="D353" s="44"/>
      <c r="E353" s="44"/>
      <c r="J353" s="155"/>
      <c r="K353" s="155"/>
      <c r="L353" s="155"/>
      <c r="M353" s="75"/>
    </row>
    <row r="354" spans="3:13" ht="15.75" customHeight="1" x14ac:dyDescent="0.15">
      <c r="C354" s="44"/>
      <c r="D354" s="44"/>
      <c r="E354" s="44"/>
      <c r="J354" s="155"/>
      <c r="K354" s="155"/>
      <c r="L354" s="155"/>
      <c r="M354" s="75"/>
    </row>
    <row r="355" spans="3:13" ht="15.75" customHeight="1" x14ac:dyDescent="0.15">
      <c r="C355" s="44"/>
      <c r="D355" s="44"/>
      <c r="E355" s="44"/>
      <c r="J355" s="155"/>
      <c r="K355" s="155"/>
      <c r="L355" s="155"/>
      <c r="M355" s="75"/>
    </row>
    <row r="356" spans="3:13" ht="15.75" customHeight="1" x14ac:dyDescent="0.15">
      <c r="C356" s="44"/>
      <c r="D356" s="44"/>
      <c r="E356" s="44"/>
      <c r="J356" s="155"/>
      <c r="K356" s="155"/>
      <c r="L356" s="155"/>
      <c r="M356" s="75"/>
    </row>
    <row r="357" spans="3:13" ht="15.75" customHeight="1" x14ac:dyDescent="0.15">
      <c r="C357" s="44"/>
      <c r="D357" s="44"/>
      <c r="E357" s="44"/>
      <c r="J357" s="155"/>
      <c r="K357" s="155"/>
      <c r="L357" s="155"/>
      <c r="M357" s="75"/>
    </row>
    <row r="358" spans="3:13" ht="15.75" customHeight="1" x14ac:dyDescent="0.15">
      <c r="C358" s="44"/>
      <c r="D358" s="44"/>
      <c r="E358" s="44"/>
      <c r="J358" s="155"/>
      <c r="K358" s="155"/>
      <c r="L358" s="155"/>
      <c r="M358" s="75"/>
    </row>
    <row r="359" spans="3:13" ht="15.75" customHeight="1" x14ac:dyDescent="0.15">
      <c r="C359" s="44"/>
      <c r="D359" s="44"/>
      <c r="E359" s="44"/>
      <c r="J359" s="155"/>
      <c r="K359" s="155"/>
      <c r="L359" s="155"/>
      <c r="M359" s="75"/>
    </row>
    <row r="360" spans="3:13" ht="15.75" customHeight="1" x14ac:dyDescent="0.15">
      <c r="C360" s="44"/>
      <c r="D360" s="44"/>
      <c r="E360" s="44"/>
      <c r="J360" s="155"/>
      <c r="K360" s="155"/>
      <c r="L360" s="155"/>
      <c r="M360" s="75"/>
    </row>
    <row r="361" spans="3:13" ht="15.75" customHeight="1" x14ac:dyDescent="0.15">
      <c r="C361" s="44"/>
      <c r="D361" s="44"/>
      <c r="E361" s="44"/>
      <c r="J361" s="155"/>
      <c r="K361" s="155"/>
      <c r="L361" s="155"/>
      <c r="M361" s="75"/>
    </row>
    <row r="362" spans="3:13" ht="15.75" customHeight="1" x14ac:dyDescent="0.15">
      <c r="C362" s="44"/>
      <c r="D362" s="44"/>
      <c r="E362" s="44"/>
      <c r="J362" s="155"/>
      <c r="K362" s="155"/>
      <c r="L362" s="155"/>
      <c r="M362" s="75"/>
    </row>
    <row r="363" spans="3:13" ht="15.75" customHeight="1" x14ac:dyDescent="0.15">
      <c r="C363" s="44"/>
      <c r="D363" s="44"/>
      <c r="E363" s="44"/>
      <c r="J363" s="155"/>
      <c r="K363" s="155"/>
      <c r="L363" s="155"/>
      <c r="M363" s="75"/>
    </row>
    <row r="364" spans="3:13" ht="15.75" customHeight="1" x14ac:dyDescent="0.15">
      <c r="C364" s="44"/>
      <c r="D364" s="44"/>
      <c r="E364" s="44"/>
      <c r="J364" s="155"/>
      <c r="K364" s="155"/>
      <c r="L364" s="155"/>
      <c r="M364" s="75"/>
    </row>
    <row r="365" spans="3:13" ht="15.75" customHeight="1" x14ac:dyDescent="0.15">
      <c r="C365" s="44"/>
      <c r="D365" s="44"/>
      <c r="E365" s="44"/>
      <c r="J365" s="155"/>
      <c r="K365" s="155"/>
      <c r="L365" s="155"/>
      <c r="M365" s="75"/>
    </row>
    <row r="366" spans="3:13" ht="15.75" customHeight="1" x14ac:dyDescent="0.15">
      <c r="C366" s="44"/>
      <c r="D366" s="44"/>
      <c r="E366" s="44"/>
      <c r="J366" s="155"/>
      <c r="K366" s="155"/>
      <c r="L366" s="155"/>
      <c r="M366" s="75"/>
    </row>
    <row r="367" spans="3:13" ht="15.75" customHeight="1" x14ac:dyDescent="0.15">
      <c r="C367" s="44"/>
      <c r="D367" s="44"/>
      <c r="E367" s="44"/>
      <c r="J367" s="155"/>
      <c r="K367" s="155"/>
      <c r="L367" s="155"/>
      <c r="M367" s="75"/>
    </row>
    <row r="368" spans="3:13" ht="15.75" customHeight="1" x14ac:dyDescent="0.15">
      <c r="C368" s="44"/>
      <c r="D368" s="44"/>
      <c r="E368" s="44"/>
      <c r="J368" s="155"/>
      <c r="K368" s="155"/>
      <c r="L368" s="155"/>
      <c r="M368" s="75"/>
    </row>
    <row r="369" spans="3:13" ht="15.75" customHeight="1" x14ac:dyDescent="0.15">
      <c r="C369" s="44"/>
      <c r="D369" s="44"/>
      <c r="E369" s="44"/>
      <c r="J369" s="155"/>
      <c r="K369" s="155"/>
      <c r="L369" s="155"/>
      <c r="M369" s="75"/>
    </row>
    <row r="370" spans="3:13" ht="15.75" customHeight="1" x14ac:dyDescent="0.15">
      <c r="C370" s="44"/>
      <c r="D370" s="44"/>
      <c r="E370" s="44"/>
      <c r="J370" s="155"/>
      <c r="K370" s="155"/>
      <c r="L370" s="155"/>
      <c r="M370" s="75"/>
    </row>
    <row r="371" spans="3:13" ht="15.75" customHeight="1" x14ac:dyDescent="0.15">
      <c r="C371" s="44"/>
      <c r="D371" s="44"/>
      <c r="E371" s="44"/>
      <c r="J371" s="155"/>
      <c r="K371" s="155"/>
      <c r="L371" s="155"/>
      <c r="M371" s="75"/>
    </row>
    <row r="372" spans="3:13" ht="15.75" customHeight="1" x14ac:dyDescent="0.15">
      <c r="C372" s="44"/>
      <c r="D372" s="44"/>
      <c r="E372" s="44"/>
      <c r="J372" s="155"/>
      <c r="K372" s="155"/>
      <c r="L372" s="155"/>
      <c r="M372" s="75"/>
    </row>
    <row r="373" spans="3:13" ht="15.75" customHeight="1" x14ac:dyDescent="0.15">
      <c r="C373" s="44"/>
      <c r="D373" s="44"/>
      <c r="E373" s="44"/>
      <c r="J373" s="155"/>
      <c r="K373" s="155"/>
      <c r="L373" s="155"/>
      <c r="M373" s="75"/>
    </row>
    <row r="374" spans="3:13" ht="15.75" customHeight="1" x14ac:dyDescent="0.15">
      <c r="C374" s="44"/>
      <c r="D374" s="44"/>
      <c r="E374" s="44"/>
      <c r="J374" s="155"/>
      <c r="K374" s="155"/>
      <c r="L374" s="155"/>
      <c r="M374" s="75"/>
    </row>
    <row r="375" spans="3:13" ht="15.75" customHeight="1" x14ac:dyDescent="0.15">
      <c r="C375" s="44"/>
      <c r="D375" s="44"/>
      <c r="E375" s="44"/>
      <c r="J375" s="155"/>
      <c r="K375" s="155"/>
      <c r="L375" s="155"/>
      <c r="M375" s="75"/>
    </row>
    <row r="376" spans="3:13" ht="15.75" customHeight="1" x14ac:dyDescent="0.15">
      <c r="C376" s="44"/>
      <c r="D376" s="44"/>
      <c r="E376" s="44"/>
      <c r="J376" s="155"/>
      <c r="K376" s="155"/>
      <c r="L376" s="155"/>
      <c r="M376" s="75"/>
    </row>
    <row r="377" spans="3:13" ht="15.75" customHeight="1" x14ac:dyDescent="0.15">
      <c r="C377" s="44"/>
      <c r="D377" s="44"/>
      <c r="E377" s="44"/>
      <c r="J377" s="155"/>
      <c r="K377" s="155"/>
      <c r="L377" s="155"/>
      <c r="M377" s="75"/>
    </row>
    <row r="378" spans="3:13" ht="15.75" customHeight="1" x14ac:dyDescent="0.15">
      <c r="C378" s="44"/>
      <c r="D378" s="44"/>
      <c r="E378" s="44"/>
      <c r="J378" s="155"/>
      <c r="K378" s="155"/>
      <c r="L378" s="155"/>
      <c r="M378" s="75"/>
    </row>
    <row r="379" spans="3:13" ht="15.75" customHeight="1" x14ac:dyDescent="0.15">
      <c r="C379" s="44"/>
      <c r="D379" s="44"/>
      <c r="E379" s="44"/>
      <c r="J379" s="155"/>
      <c r="K379" s="155"/>
      <c r="L379" s="155"/>
      <c r="M379" s="75"/>
    </row>
    <row r="380" spans="3:13" ht="15.75" customHeight="1" x14ac:dyDescent="0.15">
      <c r="C380" s="44"/>
      <c r="D380" s="44"/>
      <c r="E380" s="44"/>
      <c r="J380" s="155"/>
      <c r="K380" s="155"/>
      <c r="L380" s="155"/>
      <c r="M380" s="75"/>
    </row>
    <row r="381" spans="3:13" ht="15.75" customHeight="1" x14ac:dyDescent="0.15">
      <c r="C381" s="44"/>
      <c r="D381" s="44"/>
      <c r="E381" s="44"/>
      <c r="J381" s="155"/>
      <c r="K381" s="155"/>
      <c r="L381" s="155"/>
      <c r="M381" s="75"/>
    </row>
    <row r="382" spans="3:13" ht="15.75" customHeight="1" x14ac:dyDescent="0.15">
      <c r="C382" s="44"/>
      <c r="D382" s="44"/>
      <c r="E382" s="44"/>
      <c r="J382" s="155"/>
      <c r="K382" s="155"/>
      <c r="L382" s="155"/>
      <c r="M382" s="75"/>
    </row>
    <row r="383" spans="3:13" ht="15.75" customHeight="1" x14ac:dyDescent="0.15">
      <c r="C383" s="44"/>
      <c r="D383" s="44"/>
      <c r="E383" s="44"/>
      <c r="J383" s="155"/>
      <c r="K383" s="155"/>
      <c r="L383" s="155"/>
      <c r="M383" s="75"/>
    </row>
    <row r="384" spans="3:13" ht="15.75" customHeight="1" x14ac:dyDescent="0.15">
      <c r="C384" s="44"/>
      <c r="D384" s="44"/>
      <c r="E384" s="44"/>
      <c r="J384" s="155"/>
      <c r="K384" s="155"/>
      <c r="L384" s="155"/>
      <c r="M384" s="75"/>
    </row>
    <row r="385" spans="3:13" ht="15.75" customHeight="1" x14ac:dyDescent="0.15">
      <c r="C385" s="44"/>
      <c r="D385" s="44"/>
      <c r="E385" s="44"/>
      <c r="J385" s="155"/>
      <c r="K385" s="155"/>
      <c r="L385" s="155"/>
      <c r="M385" s="75"/>
    </row>
    <row r="386" spans="3:13" ht="15.75" customHeight="1" x14ac:dyDescent="0.15">
      <c r="C386" s="44"/>
      <c r="D386" s="44"/>
      <c r="E386" s="44"/>
      <c r="J386" s="155"/>
      <c r="K386" s="155"/>
      <c r="L386" s="155"/>
      <c r="M386" s="75"/>
    </row>
    <row r="387" spans="3:13" ht="15.75" customHeight="1" x14ac:dyDescent="0.15">
      <c r="C387" s="44"/>
      <c r="D387" s="44"/>
      <c r="E387" s="44"/>
      <c r="J387" s="155"/>
      <c r="K387" s="155"/>
      <c r="L387" s="155"/>
      <c r="M387" s="75"/>
    </row>
    <row r="388" spans="3:13" ht="15.75" customHeight="1" x14ac:dyDescent="0.15">
      <c r="C388" s="44"/>
      <c r="D388" s="44"/>
      <c r="E388" s="44"/>
      <c r="J388" s="155"/>
      <c r="K388" s="155"/>
      <c r="L388" s="155"/>
      <c r="M388" s="75"/>
    </row>
    <row r="389" spans="3:13" ht="15.75" customHeight="1" x14ac:dyDescent="0.15">
      <c r="C389" s="44"/>
      <c r="D389" s="44"/>
      <c r="E389" s="44"/>
      <c r="J389" s="155"/>
      <c r="K389" s="155"/>
      <c r="L389" s="155"/>
      <c r="M389" s="75"/>
    </row>
    <row r="390" spans="3:13" ht="15.75" customHeight="1" x14ac:dyDescent="0.15">
      <c r="C390" s="44"/>
      <c r="D390" s="44"/>
      <c r="E390" s="44"/>
      <c r="J390" s="155"/>
      <c r="K390" s="155"/>
      <c r="L390" s="155"/>
      <c r="M390" s="75"/>
    </row>
    <row r="391" spans="3:13" ht="15.75" customHeight="1" x14ac:dyDescent="0.15">
      <c r="C391" s="44"/>
      <c r="D391" s="44"/>
      <c r="E391" s="44"/>
      <c r="J391" s="155"/>
      <c r="K391" s="155"/>
      <c r="L391" s="155"/>
      <c r="M391" s="75"/>
    </row>
    <row r="392" spans="3:13" ht="15.75" customHeight="1" x14ac:dyDescent="0.15">
      <c r="C392" s="44"/>
      <c r="D392" s="44"/>
      <c r="E392" s="44"/>
      <c r="J392" s="155"/>
      <c r="K392" s="155"/>
      <c r="L392" s="155"/>
      <c r="M392" s="75"/>
    </row>
    <row r="393" spans="3:13" ht="15.75" customHeight="1" x14ac:dyDescent="0.15">
      <c r="C393" s="44"/>
      <c r="D393" s="44"/>
      <c r="E393" s="44"/>
      <c r="J393" s="155"/>
      <c r="K393" s="155"/>
      <c r="L393" s="155"/>
      <c r="M393" s="75"/>
    </row>
    <row r="394" spans="3:13" ht="15.75" customHeight="1" x14ac:dyDescent="0.15">
      <c r="C394" s="44"/>
      <c r="D394" s="44"/>
      <c r="E394" s="44"/>
      <c r="J394" s="155"/>
      <c r="K394" s="155"/>
      <c r="L394" s="155"/>
      <c r="M394" s="75"/>
    </row>
    <row r="395" spans="3:13" ht="15.75" customHeight="1" x14ac:dyDescent="0.15">
      <c r="C395" s="44"/>
      <c r="D395" s="44"/>
      <c r="E395" s="44"/>
      <c r="J395" s="155"/>
      <c r="K395" s="155"/>
      <c r="L395" s="155"/>
      <c r="M395" s="75"/>
    </row>
    <row r="396" spans="3:13" ht="15.75" customHeight="1" x14ac:dyDescent="0.15">
      <c r="C396" s="44"/>
      <c r="D396" s="44"/>
      <c r="E396" s="44"/>
      <c r="J396" s="155"/>
      <c r="K396" s="155"/>
      <c r="L396" s="155"/>
      <c r="M396" s="75"/>
    </row>
    <row r="397" spans="3:13" ht="15.75" customHeight="1" x14ac:dyDescent="0.15">
      <c r="C397" s="44"/>
      <c r="D397" s="44"/>
      <c r="E397" s="44"/>
      <c r="J397" s="155"/>
      <c r="K397" s="155"/>
      <c r="L397" s="155"/>
      <c r="M397" s="75"/>
    </row>
    <row r="398" spans="3:13" ht="15.75" customHeight="1" x14ac:dyDescent="0.15">
      <c r="C398" s="44"/>
      <c r="D398" s="44"/>
      <c r="E398" s="44"/>
      <c r="J398" s="155"/>
      <c r="K398" s="155"/>
      <c r="L398" s="155"/>
      <c r="M398" s="75"/>
    </row>
    <row r="399" spans="3:13" ht="15.75" customHeight="1" x14ac:dyDescent="0.15">
      <c r="C399" s="44"/>
      <c r="D399" s="44"/>
      <c r="E399" s="44"/>
      <c r="J399" s="155"/>
      <c r="K399" s="155"/>
      <c r="L399" s="155"/>
      <c r="M399" s="75"/>
    </row>
    <row r="400" spans="3:13" ht="15.75" customHeight="1" x14ac:dyDescent="0.15">
      <c r="C400" s="44"/>
      <c r="D400" s="44"/>
      <c r="E400" s="44"/>
      <c r="J400" s="155"/>
      <c r="K400" s="155"/>
      <c r="L400" s="155"/>
      <c r="M400" s="75"/>
    </row>
    <row r="401" spans="3:13" ht="15.75" customHeight="1" x14ac:dyDescent="0.15">
      <c r="C401" s="44"/>
      <c r="D401" s="44"/>
      <c r="E401" s="44"/>
      <c r="J401" s="155"/>
      <c r="K401" s="155"/>
      <c r="L401" s="155"/>
      <c r="M401" s="75"/>
    </row>
    <row r="402" spans="3:13" ht="15.75" customHeight="1" x14ac:dyDescent="0.15">
      <c r="C402" s="44"/>
      <c r="D402" s="44"/>
      <c r="E402" s="44"/>
      <c r="J402" s="155"/>
      <c r="K402" s="155"/>
      <c r="L402" s="155"/>
      <c r="M402" s="75"/>
    </row>
    <row r="403" spans="3:13" ht="15.75" customHeight="1" x14ac:dyDescent="0.15">
      <c r="C403" s="44"/>
      <c r="D403" s="44"/>
      <c r="E403" s="44"/>
      <c r="J403" s="155"/>
      <c r="K403" s="155"/>
      <c r="L403" s="155"/>
      <c r="M403" s="75"/>
    </row>
    <row r="404" spans="3:13" ht="15.75" customHeight="1" x14ac:dyDescent="0.15">
      <c r="C404" s="44"/>
      <c r="D404" s="44"/>
      <c r="E404" s="44"/>
      <c r="J404" s="155"/>
      <c r="K404" s="155"/>
      <c r="L404" s="155"/>
      <c r="M404" s="75"/>
    </row>
    <row r="405" spans="3:13" ht="15.75" customHeight="1" x14ac:dyDescent="0.15">
      <c r="C405" s="44"/>
      <c r="D405" s="44"/>
      <c r="E405" s="44"/>
      <c r="J405" s="155"/>
      <c r="K405" s="155"/>
      <c r="L405" s="155"/>
      <c r="M405" s="75"/>
    </row>
    <row r="406" spans="3:13" ht="15.75" customHeight="1" x14ac:dyDescent="0.15">
      <c r="C406" s="44"/>
      <c r="D406" s="44"/>
      <c r="E406" s="44"/>
      <c r="J406" s="155"/>
      <c r="K406" s="155"/>
      <c r="L406" s="155"/>
      <c r="M406" s="75"/>
    </row>
    <row r="407" spans="3:13" ht="15.75" customHeight="1" x14ac:dyDescent="0.15">
      <c r="C407" s="44"/>
      <c r="D407" s="44"/>
      <c r="E407" s="44"/>
      <c r="J407" s="155"/>
      <c r="K407" s="155"/>
      <c r="L407" s="155"/>
      <c r="M407" s="75"/>
    </row>
    <row r="408" spans="3:13" ht="15.75" customHeight="1" x14ac:dyDescent="0.15">
      <c r="C408" s="44"/>
      <c r="D408" s="44"/>
      <c r="E408" s="44"/>
      <c r="J408" s="155"/>
      <c r="K408" s="155"/>
      <c r="L408" s="155"/>
      <c r="M408" s="75"/>
    </row>
    <row r="409" spans="3:13" ht="15.75" customHeight="1" x14ac:dyDescent="0.15">
      <c r="C409" s="44"/>
      <c r="D409" s="44"/>
      <c r="E409" s="44"/>
      <c r="J409" s="155"/>
      <c r="K409" s="155"/>
      <c r="L409" s="155"/>
      <c r="M409" s="75"/>
    </row>
    <row r="410" spans="3:13" ht="15.75" customHeight="1" x14ac:dyDescent="0.15">
      <c r="C410" s="44"/>
      <c r="D410" s="44"/>
      <c r="E410" s="44"/>
      <c r="J410" s="155"/>
      <c r="K410" s="155"/>
      <c r="L410" s="155"/>
      <c r="M410" s="75"/>
    </row>
    <row r="411" spans="3:13" ht="15.75" customHeight="1" x14ac:dyDescent="0.15">
      <c r="C411" s="44"/>
      <c r="D411" s="44"/>
      <c r="E411" s="44"/>
      <c r="J411" s="155"/>
      <c r="K411" s="155"/>
      <c r="L411" s="155"/>
      <c r="M411" s="75"/>
    </row>
    <row r="412" spans="3:13" ht="15.75" customHeight="1" x14ac:dyDescent="0.15">
      <c r="C412" s="44"/>
      <c r="D412" s="44"/>
      <c r="E412" s="44"/>
      <c r="J412" s="155"/>
      <c r="K412" s="155"/>
      <c r="L412" s="155"/>
      <c r="M412" s="75"/>
    </row>
    <row r="413" spans="3:13" ht="15.75" customHeight="1" x14ac:dyDescent="0.15">
      <c r="C413" s="44"/>
      <c r="D413" s="44"/>
      <c r="E413" s="44"/>
      <c r="J413" s="155"/>
      <c r="K413" s="155"/>
      <c r="L413" s="155"/>
      <c r="M413" s="75"/>
    </row>
    <row r="414" spans="3:13" ht="15.75" customHeight="1" x14ac:dyDescent="0.15">
      <c r="C414" s="44"/>
      <c r="D414" s="44"/>
      <c r="E414" s="44"/>
      <c r="J414" s="155"/>
      <c r="K414" s="155"/>
      <c r="L414" s="155"/>
      <c r="M414" s="75"/>
    </row>
    <row r="415" spans="3:13" ht="15.75" customHeight="1" x14ac:dyDescent="0.15">
      <c r="C415" s="44"/>
      <c r="D415" s="44"/>
      <c r="E415" s="44"/>
      <c r="J415" s="155"/>
      <c r="K415" s="155"/>
      <c r="L415" s="155"/>
      <c r="M415" s="75"/>
    </row>
    <row r="416" spans="3:13" ht="15.75" customHeight="1" x14ac:dyDescent="0.15">
      <c r="C416" s="44"/>
      <c r="D416" s="44"/>
      <c r="E416" s="44"/>
      <c r="J416" s="155"/>
      <c r="K416" s="155"/>
      <c r="L416" s="155"/>
      <c r="M416" s="75"/>
    </row>
    <row r="417" spans="3:13" ht="15.75" customHeight="1" x14ac:dyDescent="0.15">
      <c r="C417" s="44"/>
      <c r="D417" s="44"/>
      <c r="E417" s="44"/>
      <c r="J417" s="155"/>
      <c r="K417" s="155"/>
      <c r="L417" s="155"/>
      <c r="M417" s="75"/>
    </row>
    <row r="418" spans="3:13" ht="15.75" customHeight="1" x14ac:dyDescent="0.15">
      <c r="C418" s="44"/>
      <c r="D418" s="44"/>
      <c r="E418" s="44"/>
      <c r="J418" s="155"/>
      <c r="K418" s="155"/>
      <c r="L418" s="155"/>
      <c r="M418" s="75"/>
    </row>
    <row r="419" spans="3:13" ht="15.75" customHeight="1" x14ac:dyDescent="0.15">
      <c r="C419" s="44"/>
      <c r="D419" s="44"/>
      <c r="E419" s="44"/>
      <c r="J419" s="155"/>
      <c r="K419" s="155"/>
      <c r="L419" s="155"/>
      <c r="M419" s="75"/>
    </row>
    <row r="420" spans="3:13" ht="15.75" customHeight="1" x14ac:dyDescent="0.15">
      <c r="C420" s="44"/>
      <c r="D420" s="44"/>
      <c r="E420" s="44"/>
      <c r="J420" s="155"/>
      <c r="K420" s="155"/>
      <c r="L420" s="155"/>
      <c r="M420" s="75"/>
    </row>
    <row r="421" spans="3:13" ht="15.75" customHeight="1" x14ac:dyDescent="0.15">
      <c r="C421" s="44"/>
      <c r="D421" s="44"/>
      <c r="E421" s="44"/>
      <c r="J421" s="155"/>
      <c r="K421" s="155"/>
      <c r="L421" s="155"/>
      <c r="M421" s="75"/>
    </row>
    <row r="422" spans="3:13" ht="15.75" customHeight="1" x14ac:dyDescent="0.15">
      <c r="C422" s="44"/>
      <c r="D422" s="44"/>
      <c r="E422" s="44"/>
      <c r="J422" s="155"/>
      <c r="K422" s="155"/>
      <c r="L422" s="155"/>
      <c r="M422" s="75"/>
    </row>
    <row r="423" spans="3:13" ht="15.75" customHeight="1" x14ac:dyDescent="0.15">
      <c r="C423" s="44"/>
      <c r="D423" s="44"/>
      <c r="E423" s="44"/>
      <c r="J423" s="155"/>
      <c r="K423" s="155"/>
      <c r="L423" s="155"/>
      <c r="M423" s="75"/>
    </row>
    <row r="424" spans="3:13" ht="15.75" customHeight="1" x14ac:dyDescent="0.15">
      <c r="C424" s="44"/>
      <c r="D424" s="44"/>
      <c r="E424" s="44"/>
      <c r="J424" s="155"/>
      <c r="K424" s="155"/>
      <c r="L424" s="155"/>
      <c r="M424" s="75"/>
    </row>
    <row r="425" spans="3:13" ht="15.75" customHeight="1" x14ac:dyDescent="0.15">
      <c r="C425" s="44"/>
      <c r="D425" s="44"/>
      <c r="E425" s="44"/>
      <c r="J425" s="155"/>
      <c r="K425" s="155"/>
      <c r="L425" s="155"/>
      <c r="M425" s="75"/>
    </row>
    <row r="426" spans="3:13" ht="15.75" customHeight="1" x14ac:dyDescent="0.15">
      <c r="C426" s="44"/>
      <c r="D426" s="44"/>
      <c r="E426" s="44"/>
      <c r="J426" s="155"/>
      <c r="K426" s="155"/>
      <c r="L426" s="155"/>
      <c r="M426" s="75"/>
    </row>
    <row r="427" spans="3:13" ht="15.75" customHeight="1" x14ac:dyDescent="0.15">
      <c r="C427" s="44"/>
      <c r="D427" s="44"/>
      <c r="E427" s="44"/>
      <c r="J427" s="155"/>
      <c r="K427" s="155"/>
      <c r="L427" s="155"/>
      <c r="M427" s="75"/>
    </row>
    <row r="428" spans="3:13" ht="15.75" customHeight="1" x14ac:dyDescent="0.15">
      <c r="C428" s="44"/>
      <c r="D428" s="44"/>
      <c r="E428" s="44"/>
      <c r="J428" s="155"/>
      <c r="K428" s="155"/>
      <c r="L428" s="155"/>
      <c r="M428" s="75"/>
    </row>
    <row r="429" spans="3:13" ht="15.75" customHeight="1" x14ac:dyDescent="0.15">
      <c r="C429" s="44"/>
      <c r="D429" s="44"/>
      <c r="E429" s="44"/>
      <c r="J429" s="155"/>
      <c r="K429" s="155"/>
      <c r="L429" s="155"/>
      <c r="M429" s="75"/>
    </row>
    <row r="430" spans="3:13" ht="15.75" customHeight="1" x14ac:dyDescent="0.15">
      <c r="C430" s="44"/>
      <c r="D430" s="44"/>
      <c r="E430" s="44"/>
      <c r="J430" s="155"/>
      <c r="K430" s="155"/>
      <c r="L430" s="155"/>
      <c r="M430" s="75"/>
    </row>
    <row r="431" spans="3:13" ht="15.75" customHeight="1" x14ac:dyDescent="0.15">
      <c r="C431" s="44"/>
      <c r="D431" s="44"/>
      <c r="E431" s="44"/>
      <c r="J431" s="155"/>
      <c r="K431" s="155"/>
      <c r="L431" s="155"/>
      <c r="M431" s="75"/>
    </row>
    <row r="432" spans="3:13" ht="15.75" customHeight="1" x14ac:dyDescent="0.15">
      <c r="C432" s="44"/>
      <c r="D432" s="44"/>
      <c r="E432" s="44"/>
      <c r="J432" s="155"/>
      <c r="K432" s="155"/>
      <c r="L432" s="155"/>
      <c r="M432" s="75"/>
    </row>
    <row r="433" spans="3:13" ht="15.75" customHeight="1" x14ac:dyDescent="0.15">
      <c r="C433" s="44"/>
      <c r="D433" s="44"/>
      <c r="E433" s="44"/>
      <c r="J433" s="155"/>
      <c r="K433" s="155"/>
      <c r="L433" s="155"/>
      <c r="M433" s="75"/>
    </row>
    <row r="434" spans="3:13" ht="15.75" customHeight="1" x14ac:dyDescent="0.15">
      <c r="C434" s="44"/>
      <c r="D434" s="44"/>
      <c r="E434" s="44"/>
      <c r="J434" s="155"/>
      <c r="K434" s="155"/>
      <c r="L434" s="155"/>
      <c r="M434" s="75"/>
    </row>
    <row r="435" spans="3:13" ht="15.75" customHeight="1" x14ac:dyDescent="0.15">
      <c r="C435" s="44"/>
      <c r="D435" s="44"/>
      <c r="E435" s="44"/>
      <c r="J435" s="155"/>
      <c r="K435" s="155"/>
      <c r="L435" s="155"/>
      <c r="M435" s="75"/>
    </row>
    <row r="436" spans="3:13" ht="15.75" customHeight="1" x14ac:dyDescent="0.15">
      <c r="C436" s="44"/>
      <c r="D436" s="44"/>
      <c r="E436" s="44"/>
      <c r="J436" s="155"/>
      <c r="K436" s="155"/>
      <c r="L436" s="155"/>
      <c r="M436" s="75"/>
    </row>
    <row r="437" spans="3:13" ht="15.75" customHeight="1" x14ac:dyDescent="0.15">
      <c r="C437" s="44"/>
      <c r="D437" s="44"/>
      <c r="E437" s="44"/>
      <c r="J437" s="155"/>
      <c r="K437" s="155"/>
      <c r="L437" s="155"/>
      <c r="M437" s="75"/>
    </row>
    <row r="438" spans="3:13" ht="15.75" customHeight="1" x14ac:dyDescent="0.15">
      <c r="C438" s="44"/>
      <c r="D438" s="44"/>
      <c r="E438" s="44"/>
      <c r="J438" s="155"/>
      <c r="K438" s="155"/>
      <c r="L438" s="155"/>
      <c r="M438" s="75"/>
    </row>
    <row r="439" spans="3:13" ht="15.75" customHeight="1" x14ac:dyDescent="0.15">
      <c r="C439" s="44"/>
      <c r="D439" s="44"/>
      <c r="E439" s="44"/>
      <c r="J439" s="155"/>
      <c r="K439" s="155"/>
      <c r="L439" s="155"/>
      <c r="M439" s="75"/>
    </row>
    <row r="440" spans="3:13" ht="15.75" customHeight="1" x14ac:dyDescent="0.15">
      <c r="C440" s="44"/>
      <c r="D440" s="44"/>
      <c r="E440" s="44"/>
      <c r="J440" s="155"/>
      <c r="K440" s="155"/>
      <c r="L440" s="155"/>
      <c r="M440" s="75"/>
    </row>
    <row r="441" spans="3:13" ht="15.75" customHeight="1" x14ac:dyDescent="0.15">
      <c r="C441" s="44"/>
      <c r="D441" s="44"/>
      <c r="E441" s="44"/>
      <c r="J441" s="155"/>
      <c r="K441" s="155"/>
      <c r="L441" s="155"/>
      <c r="M441" s="75"/>
    </row>
    <row r="442" spans="3:13" ht="15.75" customHeight="1" x14ac:dyDescent="0.15">
      <c r="C442" s="44"/>
      <c r="D442" s="44"/>
      <c r="E442" s="44"/>
      <c r="J442" s="155"/>
      <c r="K442" s="155"/>
      <c r="L442" s="155"/>
      <c r="M442" s="75"/>
    </row>
    <row r="443" spans="3:13" ht="15.75" customHeight="1" x14ac:dyDescent="0.15">
      <c r="C443" s="44"/>
      <c r="D443" s="44"/>
      <c r="E443" s="44"/>
      <c r="J443" s="155"/>
      <c r="K443" s="155"/>
      <c r="L443" s="155"/>
      <c r="M443" s="75"/>
    </row>
    <row r="444" spans="3:13" ht="15.75" customHeight="1" x14ac:dyDescent="0.15">
      <c r="C444" s="44"/>
      <c r="D444" s="44"/>
      <c r="E444" s="44"/>
      <c r="J444" s="155"/>
      <c r="K444" s="155"/>
      <c r="L444" s="155"/>
      <c r="M444" s="75"/>
    </row>
    <row r="445" spans="3:13" ht="15.75" customHeight="1" x14ac:dyDescent="0.15">
      <c r="C445" s="44"/>
      <c r="D445" s="44"/>
      <c r="E445" s="44"/>
      <c r="J445" s="155"/>
      <c r="K445" s="155"/>
      <c r="L445" s="155"/>
      <c r="M445" s="75"/>
    </row>
    <row r="446" spans="3:13" ht="15.75" customHeight="1" x14ac:dyDescent="0.15">
      <c r="C446" s="44"/>
      <c r="D446" s="44"/>
      <c r="E446" s="44"/>
      <c r="J446" s="155"/>
      <c r="K446" s="155"/>
      <c r="L446" s="155"/>
      <c r="M446" s="75"/>
    </row>
    <row r="447" spans="3:13" ht="15.75" customHeight="1" x14ac:dyDescent="0.15">
      <c r="C447" s="44"/>
      <c r="D447" s="44"/>
      <c r="E447" s="44"/>
      <c r="J447" s="155"/>
      <c r="K447" s="155"/>
      <c r="L447" s="155"/>
      <c r="M447" s="75"/>
    </row>
    <row r="448" spans="3:13" ht="15.75" customHeight="1" x14ac:dyDescent="0.15">
      <c r="C448" s="44"/>
      <c r="D448" s="44"/>
      <c r="E448" s="44"/>
      <c r="J448" s="155"/>
      <c r="K448" s="155"/>
      <c r="L448" s="155"/>
      <c r="M448" s="75"/>
    </row>
    <row r="449" spans="3:13" ht="15.75" customHeight="1" x14ac:dyDescent="0.15">
      <c r="C449" s="44"/>
      <c r="D449" s="44"/>
      <c r="E449" s="44"/>
      <c r="J449" s="155"/>
      <c r="K449" s="155"/>
      <c r="L449" s="155"/>
      <c r="M449" s="75"/>
    </row>
    <row r="450" spans="3:13" ht="15.75" customHeight="1" x14ac:dyDescent="0.15">
      <c r="C450" s="44"/>
      <c r="D450" s="44"/>
      <c r="E450" s="44"/>
      <c r="J450" s="155"/>
      <c r="K450" s="155"/>
      <c r="L450" s="155"/>
      <c r="M450" s="75"/>
    </row>
    <row r="451" spans="3:13" ht="15.75" customHeight="1" x14ac:dyDescent="0.15">
      <c r="C451" s="44"/>
      <c r="D451" s="44"/>
      <c r="E451" s="44"/>
      <c r="J451" s="155"/>
      <c r="K451" s="155"/>
      <c r="L451" s="155"/>
      <c r="M451" s="75"/>
    </row>
    <row r="452" spans="3:13" ht="15.75" customHeight="1" x14ac:dyDescent="0.15">
      <c r="C452" s="44"/>
      <c r="D452" s="44"/>
      <c r="E452" s="44"/>
      <c r="J452" s="155"/>
      <c r="K452" s="155"/>
      <c r="L452" s="155"/>
      <c r="M452" s="75"/>
    </row>
    <row r="453" spans="3:13" ht="15.75" customHeight="1" x14ac:dyDescent="0.15">
      <c r="C453" s="44"/>
      <c r="D453" s="44"/>
      <c r="E453" s="44"/>
      <c r="J453" s="155"/>
      <c r="K453" s="155"/>
      <c r="L453" s="155"/>
      <c r="M453" s="75"/>
    </row>
    <row r="454" spans="3:13" ht="15.75" customHeight="1" x14ac:dyDescent="0.15">
      <c r="C454" s="44"/>
      <c r="D454" s="44"/>
      <c r="E454" s="44"/>
      <c r="J454" s="155"/>
      <c r="K454" s="155"/>
      <c r="L454" s="155"/>
      <c r="M454" s="75"/>
    </row>
    <row r="455" spans="3:13" ht="15.75" customHeight="1" x14ac:dyDescent="0.15">
      <c r="C455" s="44"/>
      <c r="D455" s="44"/>
      <c r="E455" s="44"/>
      <c r="J455" s="155"/>
      <c r="K455" s="155"/>
      <c r="L455" s="155"/>
      <c r="M455" s="75"/>
    </row>
    <row r="456" spans="3:13" ht="15.75" customHeight="1" x14ac:dyDescent="0.15">
      <c r="C456" s="44"/>
      <c r="D456" s="44"/>
      <c r="E456" s="44"/>
      <c r="J456" s="155"/>
      <c r="K456" s="155"/>
      <c r="L456" s="155"/>
      <c r="M456" s="75"/>
    </row>
    <row r="457" spans="3:13" ht="15.75" customHeight="1" x14ac:dyDescent="0.15">
      <c r="C457" s="44"/>
      <c r="D457" s="44"/>
      <c r="E457" s="44"/>
      <c r="J457" s="155"/>
      <c r="K457" s="155"/>
      <c r="L457" s="155"/>
      <c r="M457" s="75"/>
    </row>
    <row r="458" spans="3:13" ht="15.75" customHeight="1" x14ac:dyDescent="0.15">
      <c r="C458" s="44"/>
      <c r="D458" s="44"/>
      <c r="E458" s="44"/>
      <c r="J458" s="155"/>
      <c r="K458" s="155"/>
      <c r="L458" s="155"/>
      <c r="M458" s="75"/>
    </row>
    <row r="459" spans="3:13" ht="15.75" customHeight="1" x14ac:dyDescent="0.15">
      <c r="C459" s="44"/>
      <c r="D459" s="44"/>
      <c r="E459" s="44"/>
      <c r="J459" s="155"/>
      <c r="K459" s="155"/>
      <c r="L459" s="155"/>
      <c r="M459" s="75"/>
    </row>
    <row r="460" spans="3:13" ht="15.75" customHeight="1" x14ac:dyDescent="0.15">
      <c r="C460" s="44"/>
      <c r="D460" s="44"/>
      <c r="E460" s="44"/>
      <c r="J460" s="155"/>
      <c r="K460" s="155"/>
      <c r="L460" s="155"/>
      <c r="M460" s="75"/>
    </row>
    <row r="461" spans="3:13" ht="15.75" customHeight="1" x14ac:dyDescent="0.15">
      <c r="C461" s="44"/>
      <c r="D461" s="44"/>
      <c r="E461" s="44"/>
      <c r="J461" s="155"/>
      <c r="K461" s="155"/>
      <c r="L461" s="155"/>
      <c r="M461" s="75"/>
    </row>
    <row r="462" spans="3:13" ht="15.75" customHeight="1" x14ac:dyDescent="0.15">
      <c r="C462" s="44"/>
      <c r="D462" s="44"/>
      <c r="E462" s="44"/>
      <c r="J462" s="155"/>
      <c r="K462" s="155"/>
      <c r="L462" s="155"/>
      <c r="M462" s="75"/>
    </row>
    <row r="463" spans="3:13" ht="15.75" customHeight="1" x14ac:dyDescent="0.15">
      <c r="C463" s="44"/>
      <c r="D463" s="44"/>
      <c r="E463" s="44"/>
      <c r="J463" s="155"/>
      <c r="K463" s="155"/>
      <c r="L463" s="155"/>
      <c r="M463" s="75"/>
    </row>
    <row r="464" spans="3:13" ht="15.75" customHeight="1" x14ac:dyDescent="0.15">
      <c r="C464" s="44"/>
      <c r="D464" s="44"/>
      <c r="E464" s="44"/>
      <c r="J464" s="155"/>
      <c r="K464" s="155"/>
      <c r="L464" s="155"/>
      <c r="M464" s="75"/>
    </row>
    <row r="465" spans="3:13" ht="15.75" customHeight="1" x14ac:dyDescent="0.15">
      <c r="C465" s="44"/>
      <c r="D465" s="44"/>
      <c r="E465" s="44"/>
      <c r="J465" s="155"/>
      <c r="K465" s="155"/>
      <c r="L465" s="155"/>
      <c r="M465" s="75"/>
    </row>
    <row r="466" spans="3:13" ht="15.75" customHeight="1" x14ac:dyDescent="0.15">
      <c r="C466" s="44"/>
      <c r="D466" s="44"/>
      <c r="E466" s="44"/>
      <c r="J466" s="155"/>
      <c r="K466" s="155"/>
      <c r="L466" s="155"/>
      <c r="M466" s="75"/>
    </row>
    <row r="467" spans="3:13" ht="15.75" customHeight="1" x14ac:dyDescent="0.15">
      <c r="C467" s="44"/>
      <c r="D467" s="44"/>
      <c r="E467" s="44"/>
      <c r="J467" s="155"/>
      <c r="K467" s="155"/>
      <c r="L467" s="155"/>
      <c r="M467" s="75"/>
    </row>
    <row r="468" spans="3:13" ht="15.75" customHeight="1" x14ac:dyDescent="0.15">
      <c r="C468" s="44"/>
      <c r="D468" s="44"/>
      <c r="E468" s="44"/>
      <c r="J468" s="155"/>
      <c r="K468" s="155"/>
      <c r="L468" s="155"/>
      <c r="M468" s="75"/>
    </row>
    <row r="469" spans="3:13" ht="15.75" customHeight="1" x14ac:dyDescent="0.15">
      <c r="C469" s="44"/>
      <c r="D469" s="44"/>
      <c r="E469" s="44"/>
      <c r="J469" s="155"/>
      <c r="K469" s="155"/>
      <c r="L469" s="155"/>
      <c r="M469" s="75"/>
    </row>
    <row r="470" spans="3:13" ht="15.75" customHeight="1" x14ac:dyDescent="0.15">
      <c r="C470" s="44"/>
      <c r="D470" s="44"/>
      <c r="E470" s="44"/>
      <c r="J470" s="155"/>
      <c r="K470" s="155"/>
      <c r="L470" s="155"/>
      <c r="M470" s="75"/>
    </row>
    <row r="471" spans="3:13" ht="15.75" customHeight="1" x14ac:dyDescent="0.15">
      <c r="C471" s="44"/>
      <c r="D471" s="44"/>
      <c r="E471" s="44"/>
      <c r="J471" s="155"/>
      <c r="K471" s="155"/>
      <c r="L471" s="155"/>
      <c r="M471" s="75"/>
    </row>
    <row r="472" spans="3:13" ht="15.75" customHeight="1" x14ac:dyDescent="0.15">
      <c r="C472" s="44"/>
      <c r="D472" s="44"/>
      <c r="E472" s="44"/>
      <c r="J472" s="155"/>
      <c r="K472" s="155"/>
      <c r="L472" s="155"/>
      <c r="M472" s="75"/>
    </row>
    <row r="473" spans="3:13" ht="15.75" customHeight="1" x14ac:dyDescent="0.15">
      <c r="C473" s="44"/>
      <c r="D473" s="44"/>
      <c r="E473" s="44"/>
      <c r="J473" s="155"/>
      <c r="K473" s="155"/>
      <c r="L473" s="155"/>
      <c r="M473" s="75"/>
    </row>
    <row r="474" spans="3:13" ht="15.75" customHeight="1" x14ac:dyDescent="0.15">
      <c r="C474" s="44"/>
      <c r="D474" s="44"/>
      <c r="E474" s="44"/>
      <c r="J474" s="155"/>
      <c r="K474" s="155"/>
      <c r="L474" s="155"/>
      <c r="M474" s="75"/>
    </row>
    <row r="475" spans="3:13" ht="15.75" customHeight="1" x14ac:dyDescent="0.15">
      <c r="C475" s="44"/>
      <c r="D475" s="44"/>
      <c r="E475" s="44"/>
      <c r="J475" s="155"/>
      <c r="K475" s="155"/>
      <c r="L475" s="155"/>
      <c r="M475" s="75"/>
    </row>
    <row r="476" spans="3:13" ht="15.75" customHeight="1" x14ac:dyDescent="0.15">
      <c r="C476" s="44"/>
      <c r="D476" s="44"/>
      <c r="E476" s="44"/>
      <c r="J476" s="155"/>
      <c r="K476" s="155"/>
      <c r="L476" s="155"/>
      <c r="M476" s="75"/>
    </row>
    <row r="477" spans="3:13" ht="15.75" customHeight="1" x14ac:dyDescent="0.15">
      <c r="C477" s="44"/>
      <c r="D477" s="44"/>
      <c r="E477" s="44"/>
      <c r="J477" s="155"/>
      <c r="K477" s="155"/>
      <c r="L477" s="155"/>
      <c r="M477" s="75"/>
    </row>
    <row r="478" spans="3:13" ht="15.75" customHeight="1" x14ac:dyDescent="0.15">
      <c r="C478" s="44"/>
      <c r="D478" s="44"/>
      <c r="E478" s="44"/>
      <c r="J478" s="155"/>
      <c r="K478" s="155"/>
      <c r="L478" s="155"/>
      <c r="M478" s="75"/>
    </row>
    <row r="479" spans="3:13" ht="15.75" customHeight="1" x14ac:dyDescent="0.15">
      <c r="C479" s="44"/>
      <c r="D479" s="44"/>
      <c r="E479" s="44"/>
      <c r="J479" s="155"/>
      <c r="K479" s="155"/>
      <c r="L479" s="155"/>
      <c r="M479" s="75"/>
    </row>
    <row r="480" spans="3:13" ht="15.75" customHeight="1" x14ac:dyDescent="0.15">
      <c r="C480" s="44"/>
      <c r="D480" s="44"/>
      <c r="E480" s="44"/>
      <c r="J480" s="155"/>
      <c r="K480" s="155"/>
      <c r="L480" s="155"/>
      <c r="M480" s="75"/>
    </row>
    <row r="481" spans="3:13" ht="15.75" customHeight="1" x14ac:dyDescent="0.15">
      <c r="C481" s="44"/>
      <c r="D481" s="44"/>
      <c r="E481" s="44"/>
      <c r="J481" s="155"/>
      <c r="K481" s="155"/>
      <c r="L481" s="155"/>
      <c r="M481" s="75"/>
    </row>
    <row r="482" spans="3:13" ht="15.75" customHeight="1" x14ac:dyDescent="0.15">
      <c r="C482" s="44"/>
      <c r="D482" s="44"/>
      <c r="E482" s="44"/>
      <c r="J482" s="155"/>
      <c r="K482" s="155"/>
      <c r="L482" s="155"/>
      <c r="M482" s="75"/>
    </row>
    <row r="483" spans="3:13" ht="15.75" customHeight="1" x14ac:dyDescent="0.15">
      <c r="C483" s="44"/>
      <c r="D483" s="44"/>
      <c r="E483" s="44"/>
      <c r="J483" s="155"/>
      <c r="K483" s="155"/>
      <c r="L483" s="155"/>
      <c r="M483" s="75"/>
    </row>
    <row r="484" spans="3:13" ht="15.75" customHeight="1" x14ac:dyDescent="0.15">
      <c r="C484" s="44"/>
      <c r="D484" s="44"/>
      <c r="E484" s="44"/>
      <c r="J484" s="155"/>
      <c r="K484" s="155"/>
      <c r="L484" s="155"/>
      <c r="M484" s="75"/>
    </row>
    <row r="485" spans="3:13" ht="15.75" customHeight="1" x14ac:dyDescent="0.15">
      <c r="C485" s="44"/>
      <c r="D485" s="44"/>
      <c r="E485" s="44"/>
      <c r="J485" s="155"/>
      <c r="K485" s="155"/>
      <c r="L485" s="155"/>
      <c r="M485" s="75"/>
    </row>
    <row r="486" spans="3:13" ht="15.75" customHeight="1" x14ac:dyDescent="0.15">
      <c r="C486" s="44"/>
      <c r="D486" s="44"/>
      <c r="E486" s="44"/>
      <c r="J486" s="155"/>
      <c r="K486" s="155"/>
      <c r="L486" s="155"/>
      <c r="M486" s="75"/>
    </row>
    <row r="487" spans="3:13" ht="15.75" customHeight="1" x14ac:dyDescent="0.15">
      <c r="C487" s="44"/>
      <c r="D487" s="44"/>
      <c r="E487" s="44"/>
      <c r="J487" s="155"/>
      <c r="K487" s="155"/>
      <c r="L487" s="155"/>
      <c r="M487" s="75"/>
    </row>
    <row r="488" spans="3:13" ht="15.75" customHeight="1" x14ac:dyDescent="0.15">
      <c r="C488" s="44"/>
      <c r="D488" s="44"/>
      <c r="E488" s="44"/>
      <c r="J488" s="155"/>
      <c r="K488" s="155"/>
      <c r="L488" s="155"/>
      <c r="M488" s="75"/>
    </row>
    <row r="489" spans="3:13" ht="15.75" customHeight="1" x14ac:dyDescent="0.15">
      <c r="C489" s="44"/>
      <c r="D489" s="44"/>
      <c r="E489" s="44"/>
      <c r="J489" s="155"/>
      <c r="K489" s="155"/>
      <c r="L489" s="155"/>
      <c r="M489" s="75"/>
    </row>
    <row r="490" spans="3:13" ht="15.75" customHeight="1" x14ac:dyDescent="0.15">
      <c r="C490" s="44"/>
      <c r="D490" s="44"/>
      <c r="E490" s="44"/>
      <c r="J490" s="155"/>
      <c r="K490" s="155"/>
      <c r="L490" s="155"/>
      <c r="M490" s="75"/>
    </row>
    <row r="491" spans="3:13" ht="15.75" customHeight="1" x14ac:dyDescent="0.15">
      <c r="C491" s="44"/>
      <c r="D491" s="44"/>
      <c r="E491" s="44"/>
      <c r="J491" s="155"/>
      <c r="K491" s="155"/>
      <c r="L491" s="155"/>
      <c r="M491" s="75"/>
    </row>
    <row r="492" spans="3:13" ht="15.75" customHeight="1" x14ac:dyDescent="0.15">
      <c r="C492" s="44"/>
      <c r="D492" s="44"/>
      <c r="E492" s="44"/>
      <c r="J492" s="155"/>
      <c r="K492" s="155"/>
      <c r="L492" s="155"/>
      <c r="M492" s="75"/>
    </row>
    <row r="493" spans="3:13" ht="15.75" customHeight="1" x14ac:dyDescent="0.15">
      <c r="C493" s="44"/>
      <c r="D493" s="44"/>
      <c r="E493" s="44"/>
      <c r="J493" s="155"/>
      <c r="K493" s="155"/>
      <c r="L493" s="155"/>
      <c r="M493" s="75"/>
    </row>
    <row r="494" spans="3:13" ht="15.75" customHeight="1" x14ac:dyDescent="0.15">
      <c r="C494" s="44"/>
      <c r="D494" s="44"/>
      <c r="E494" s="44"/>
      <c r="J494" s="155"/>
      <c r="K494" s="155"/>
      <c r="L494" s="155"/>
      <c r="M494" s="75"/>
    </row>
    <row r="495" spans="3:13" ht="15.75" customHeight="1" x14ac:dyDescent="0.15">
      <c r="C495" s="44"/>
      <c r="D495" s="44"/>
      <c r="E495" s="44"/>
      <c r="J495" s="155"/>
      <c r="K495" s="155"/>
      <c r="L495" s="155"/>
      <c r="M495" s="75"/>
    </row>
    <row r="496" spans="3:13" ht="15.75" customHeight="1" x14ac:dyDescent="0.15">
      <c r="C496" s="44"/>
      <c r="D496" s="44"/>
      <c r="E496" s="44"/>
      <c r="J496" s="155"/>
      <c r="K496" s="155"/>
      <c r="L496" s="155"/>
      <c r="M496" s="75"/>
    </row>
    <row r="497" spans="3:13" ht="15.75" customHeight="1" x14ac:dyDescent="0.15">
      <c r="C497" s="44"/>
      <c r="D497" s="44"/>
      <c r="E497" s="44"/>
      <c r="J497" s="155"/>
      <c r="K497" s="155"/>
      <c r="L497" s="155"/>
      <c r="M497" s="75"/>
    </row>
    <row r="498" spans="3:13" ht="15.75" customHeight="1" x14ac:dyDescent="0.15">
      <c r="C498" s="44"/>
      <c r="D498" s="44"/>
      <c r="E498" s="44"/>
      <c r="J498" s="155"/>
      <c r="K498" s="155"/>
      <c r="L498" s="155"/>
      <c r="M498" s="75"/>
    </row>
    <row r="499" spans="3:13" ht="15.75" customHeight="1" x14ac:dyDescent="0.15">
      <c r="C499" s="44"/>
      <c r="D499" s="44"/>
      <c r="E499" s="44"/>
      <c r="J499" s="155"/>
      <c r="K499" s="155"/>
      <c r="L499" s="155"/>
      <c r="M499" s="75"/>
    </row>
    <row r="500" spans="3:13" ht="15.75" customHeight="1" x14ac:dyDescent="0.15">
      <c r="C500" s="44"/>
      <c r="D500" s="44"/>
      <c r="E500" s="44"/>
      <c r="J500" s="155"/>
      <c r="K500" s="155"/>
      <c r="L500" s="155"/>
      <c r="M500" s="75"/>
    </row>
    <row r="501" spans="3:13" ht="15.75" customHeight="1" x14ac:dyDescent="0.15">
      <c r="C501" s="44"/>
      <c r="D501" s="44"/>
      <c r="E501" s="44"/>
      <c r="J501" s="155"/>
      <c r="K501" s="155"/>
      <c r="L501" s="155"/>
      <c r="M501" s="75"/>
    </row>
    <row r="502" spans="3:13" ht="15.75" customHeight="1" x14ac:dyDescent="0.15">
      <c r="C502" s="44"/>
      <c r="D502" s="44"/>
      <c r="E502" s="44"/>
      <c r="J502" s="155"/>
      <c r="K502" s="155"/>
      <c r="L502" s="155"/>
      <c r="M502" s="75"/>
    </row>
    <row r="503" spans="3:13" ht="15.75" customHeight="1" x14ac:dyDescent="0.15">
      <c r="C503" s="44"/>
      <c r="D503" s="44"/>
      <c r="E503" s="44"/>
      <c r="J503" s="155"/>
      <c r="K503" s="155"/>
      <c r="L503" s="155"/>
      <c r="M503" s="75"/>
    </row>
    <row r="504" spans="3:13" ht="15.75" customHeight="1" x14ac:dyDescent="0.15">
      <c r="C504" s="44"/>
      <c r="D504" s="44"/>
      <c r="E504" s="44"/>
      <c r="J504" s="155"/>
      <c r="K504" s="155"/>
      <c r="L504" s="155"/>
      <c r="M504" s="75"/>
    </row>
    <row r="505" spans="3:13" ht="15.75" customHeight="1" x14ac:dyDescent="0.15">
      <c r="C505" s="44"/>
      <c r="D505" s="44"/>
      <c r="E505" s="44"/>
      <c r="J505" s="155"/>
      <c r="K505" s="155"/>
      <c r="L505" s="155"/>
      <c r="M505" s="75"/>
    </row>
    <row r="506" spans="3:13" ht="15.75" customHeight="1" x14ac:dyDescent="0.15">
      <c r="C506" s="44"/>
      <c r="D506" s="44"/>
      <c r="E506" s="44"/>
      <c r="J506" s="155"/>
      <c r="K506" s="155"/>
      <c r="L506" s="155"/>
      <c r="M506" s="75"/>
    </row>
    <row r="507" spans="3:13" ht="15.75" customHeight="1" x14ac:dyDescent="0.15">
      <c r="C507" s="44"/>
      <c r="D507" s="44"/>
      <c r="E507" s="44"/>
      <c r="J507" s="155"/>
      <c r="K507" s="155"/>
      <c r="L507" s="155"/>
      <c r="M507" s="75"/>
    </row>
    <row r="508" spans="3:13" ht="15.75" customHeight="1" x14ac:dyDescent="0.15">
      <c r="C508" s="44"/>
      <c r="D508" s="44"/>
      <c r="E508" s="44"/>
      <c r="J508" s="155"/>
      <c r="K508" s="155"/>
      <c r="L508" s="155"/>
      <c r="M508" s="75"/>
    </row>
    <row r="509" spans="3:13" ht="15.75" customHeight="1" x14ac:dyDescent="0.15">
      <c r="C509" s="44"/>
      <c r="D509" s="44"/>
      <c r="E509" s="44"/>
      <c r="J509" s="155"/>
      <c r="K509" s="155"/>
      <c r="L509" s="155"/>
      <c r="M509" s="75"/>
    </row>
    <row r="510" spans="3:13" ht="15.75" customHeight="1" x14ac:dyDescent="0.15">
      <c r="C510" s="44"/>
      <c r="D510" s="44"/>
      <c r="E510" s="44"/>
      <c r="J510" s="155"/>
      <c r="K510" s="155"/>
      <c r="L510" s="155"/>
      <c r="M510" s="75"/>
    </row>
    <row r="511" spans="3:13" ht="15.75" customHeight="1" x14ac:dyDescent="0.15">
      <c r="C511" s="44"/>
      <c r="D511" s="44"/>
      <c r="E511" s="44"/>
      <c r="J511" s="155"/>
      <c r="K511" s="155"/>
      <c r="L511" s="155"/>
      <c r="M511" s="75"/>
    </row>
    <row r="512" spans="3:13" ht="15.75" customHeight="1" x14ac:dyDescent="0.15">
      <c r="C512" s="44"/>
      <c r="D512" s="44"/>
      <c r="E512" s="44"/>
      <c r="J512" s="155"/>
      <c r="K512" s="155"/>
      <c r="L512" s="155"/>
      <c r="M512" s="75"/>
    </row>
    <row r="513" spans="3:13" ht="15.75" customHeight="1" x14ac:dyDescent="0.15">
      <c r="C513" s="44"/>
      <c r="D513" s="44"/>
      <c r="E513" s="44"/>
      <c r="J513" s="155"/>
      <c r="K513" s="155"/>
      <c r="L513" s="155"/>
      <c r="M513" s="75"/>
    </row>
    <row r="514" spans="3:13" ht="15.75" customHeight="1" x14ac:dyDescent="0.15">
      <c r="C514" s="44"/>
      <c r="D514" s="44"/>
      <c r="E514" s="44"/>
      <c r="J514" s="155"/>
      <c r="K514" s="155"/>
      <c r="L514" s="155"/>
      <c r="M514" s="75"/>
    </row>
    <row r="515" spans="3:13" ht="15.75" customHeight="1" x14ac:dyDescent="0.15">
      <c r="C515" s="44"/>
      <c r="D515" s="44"/>
      <c r="E515" s="44"/>
      <c r="J515" s="155"/>
      <c r="K515" s="155"/>
      <c r="L515" s="155"/>
      <c r="M515" s="75"/>
    </row>
    <row r="516" spans="3:13" ht="15.75" customHeight="1" x14ac:dyDescent="0.15">
      <c r="C516" s="44"/>
      <c r="D516" s="44"/>
      <c r="E516" s="44"/>
      <c r="J516" s="155"/>
      <c r="K516" s="155"/>
      <c r="L516" s="155"/>
      <c r="M516" s="75"/>
    </row>
    <row r="517" spans="3:13" ht="15.75" customHeight="1" x14ac:dyDescent="0.15">
      <c r="C517" s="44"/>
      <c r="D517" s="44"/>
      <c r="E517" s="44"/>
      <c r="J517" s="155"/>
      <c r="K517" s="155"/>
      <c r="L517" s="155"/>
      <c r="M517" s="75"/>
    </row>
    <row r="518" spans="3:13" ht="15.75" customHeight="1" x14ac:dyDescent="0.15">
      <c r="C518" s="44"/>
      <c r="D518" s="44"/>
      <c r="E518" s="44"/>
      <c r="J518" s="155"/>
      <c r="K518" s="155"/>
      <c r="L518" s="155"/>
      <c r="M518" s="75"/>
    </row>
    <row r="519" spans="3:13" ht="15.75" customHeight="1" x14ac:dyDescent="0.15">
      <c r="C519" s="44"/>
      <c r="D519" s="44"/>
      <c r="E519" s="44"/>
      <c r="J519" s="155"/>
      <c r="K519" s="155"/>
      <c r="L519" s="155"/>
      <c r="M519" s="75"/>
    </row>
    <row r="520" spans="3:13" ht="15.75" customHeight="1" x14ac:dyDescent="0.15">
      <c r="C520" s="44"/>
      <c r="D520" s="44"/>
      <c r="E520" s="44"/>
      <c r="J520" s="155"/>
      <c r="K520" s="155"/>
      <c r="L520" s="155"/>
      <c r="M520" s="75"/>
    </row>
    <row r="521" spans="3:13" ht="15.75" customHeight="1" x14ac:dyDescent="0.15">
      <c r="C521" s="44"/>
      <c r="D521" s="44"/>
      <c r="E521" s="44"/>
      <c r="J521" s="155"/>
      <c r="K521" s="155"/>
      <c r="L521" s="155"/>
      <c r="M521" s="75"/>
    </row>
    <row r="522" spans="3:13" ht="15.75" customHeight="1" x14ac:dyDescent="0.15">
      <c r="C522" s="44"/>
      <c r="D522" s="44"/>
      <c r="E522" s="44"/>
      <c r="J522" s="155"/>
      <c r="K522" s="155"/>
      <c r="L522" s="155"/>
      <c r="M522" s="75"/>
    </row>
    <row r="523" spans="3:13" ht="15.75" customHeight="1" x14ac:dyDescent="0.15">
      <c r="C523" s="44"/>
      <c r="D523" s="44"/>
      <c r="E523" s="44"/>
      <c r="J523" s="155"/>
      <c r="K523" s="155"/>
      <c r="L523" s="155"/>
      <c r="M523" s="75"/>
    </row>
    <row r="524" spans="3:13" ht="15.75" customHeight="1" x14ac:dyDescent="0.15">
      <c r="C524" s="44"/>
      <c r="D524" s="44"/>
      <c r="E524" s="44"/>
      <c r="J524" s="155"/>
      <c r="K524" s="155"/>
      <c r="L524" s="155"/>
      <c r="M524" s="75"/>
    </row>
    <row r="525" spans="3:13" ht="15.75" customHeight="1" x14ac:dyDescent="0.15">
      <c r="C525" s="44"/>
      <c r="D525" s="44"/>
      <c r="E525" s="44"/>
      <c r="J525" s="155"/>
      <c r="K525" s="155"/>
      <c r="L525" s="155"/>
      <c r="M525" s="75"/>
    </row>
    <row r="526" spans="3:13" ht="15.75" customHeight="1" x14ac:dyDescent="0.15">
      <c r="C526" s="44"/>
      <c r="D526" s="44"/>
      <c r="E526" s="44"/>
      <c r="J526" s="155"/>
      <c r="K526" s="155"/>
      <c r="L526" s="155"/>
      <c r="M526" s="75"/>
    </row>
    <row r="527" spans="3:13" ht="15.75" customHeight="1" x14ac:dyDescent="0.15">
      <c r="C527" s="44"/>
      <c r="D527" s="44"/>
      <c r="E527" s="44"/>
      <c r="J527" s="155"/>
      <c r="K527" s="155"/>
      <c r="L527" s="155"/>
      <c r="M527" s="75"/>
    </row>
    <row r="528" spans="3:13" ht="15.75" customHeight="1" x14ac:dyDescent="0.15">
      <c r="C528" s="44"/>
      <c r="D528" s="44"/>
      <c r="E528" s="44"/>
      <c r="J528" s="155"/>
      <c r="K528" s="155"/>
      <c r="L528" s="155"/>
      <c r="M528" s="75"/>
    </row>
    <row r="529" spans="3:13" ht="15.75" customHeight="1" x14ac:dyDescent="0.15">
      <c r="C529" s="44"/>
      <c r="D529" s="44"/>
      <c r="E529" s="44"/>
      <c r="J529" s="155"/>
      <c r="K529" s="155"/>
      <c r="L529" s="155"/>
      <c r="M529" s="75"/>
    </row>
    <row r="530" spans="3:13" ht="15.75" customHeight="1" x14ac:dyDescent="0.15">
      <c r="C530" s="44"/>
      <c r="D530" s="44"/>
      <c r="E530" s="44"/>
      <c r="J530" s="155"/>
      <c r="K530" s="155"/>
      <c r="L530" s="155"/>
      <c r="M530" s="75"/>
    </row>
    <row r="531" spans="3:13" ht="15.75" customHeight="1" x14ac:dyDescent="0.15">
      <c r="C531" s="44"/>
      <c r="D531" s="44"/>
      <c r="E531" s="44"/>
      <c r="J531" s="155"/>
      <c r="K531" s="155"/>
      <c r="L531" s="155"/>
      <c r="M531" s="75"/>
    </row>
    <row r="532" spans="3:13" ht="15.75" customHeight="1" x14ac:dyDescent="0.15">
      <c r="C532" s="44"/>
      <c r="D532" s="44"/>
      <c r="E532" s="44"/>
      <c r="J532" s="155"/>
      <c r="K532" s="155"/>
      <c r="L532" s="155"/>
      <c r="M532" s="75"/>
    </row>
    <row r="533" spans="3:13" ht="15.75" customHeight="1" x14ac:dyDescent="0.15">
      <c r="C533" s="44"/>
      <c r="D533" s="44"/>
      <c r="E533" s="44"/>
      <c r="J533" s="155"/>
      <c r="K533" s="155"/>
      <c r="L533" s="155"/>
      <c r="M533" s="75"/>
    </row>
    <row r="534" spans="3:13" ht="15.75" customHeight="1" x14ac:dyDescent="0.15">
      <c r="C534" s="44"/>
      <c r="D534" s="44"/>
      <c r="E534" s="44"/>
      <c r="J534" s="155"/>
      <c r="K534" s="155"/>
      <c r="L534" s="155"/>
      <c r="M534" s="75"/>
    </row>
    <row r="535" spans="3:13" ht="15.75" customHeight="1" x14ac:dyDescent="0.15">
      <c r="C535" s="44"/>
      <c r="D535" s="44"/>
      <c r="E535" s="44"/>
      <c r="J535" s="155"/>
      <c r="K535" s="155"/>
      <c r="L535" s="155"/>
      <c r="M535" s="75"/>
    </row>
    <row r="536" spans="3:13" ht="15.75" customHeight="1" x14ac:dyDescent="0.15">
      <c r="C536" s="44"/>
      <c r="D536" s="44"/>
      <c r="E536" s="44"/>
      <c r="J536" s="155"/>
      <c r="K536" s="155"/>
      <c r="L536" s="155"/>
      <c r="M536" s="75"/>
    </row>
    <row r="537" spans="3:13" ht="15.75" customHeight="1" x14ac:dyDescent="0.15">
      <c r="C537" s="44"/>
      <c r="D537" s="44"/>
      <c r="E537" s="44"/>
      <c r="J537" s="155"/>
      <c r="K537" s="155"/>
      <c r="L537" s="155"/>
      <c r="M537" s="75"/>
    </row>
    <row r="538" spans="3:13" ht="15.75" customHeight="1" x14ac:dyDescent="0.15">
      <c r="C538" s="44"/>
      <c r="D538" s="44"/>
      <c r="E538" s="44"/>
      <c r="J538" s="155"/>
      <c r="K538" s="155"/>
      <c r="L538" s="155"/>
      <c r="M538" s="75"/>
    </row>
    <row r="539" spans="3:13" ht="15.75" customHeight="1" x14ac:dyDescent="0.15">
      <c r="C539" s="44"/>
      <c r="D539" s="44"/>
      <c r="E539" s="44"/>
      <c r="J539" s="155"/>
      <c r="K539" s="155"/>
      <c r="L539" s="155"/>
      <c r="M539" s="75"/>
    </row>
    <row r="540" spans="3:13" ht="15.75" customHeight="1" x14ac:dyDescent="0.15">
      <c r="C540" s="44"/>
      <c r="D540" s="44"/>
      <c r="E540" s="44"/>
      <c r="J540" s="155"/>
      <c r="K540" s="155"/>
      <c r="L540" s="155"/>
      <c r="M540" s="75"/>
    </row>
    <row r="541" spans="3:13" ht="15.75" customHeight="1" x14ac:dyDescent="0.15">
      <c r="C541" s="44"/>
      <c r="D541" s="44"/>
      <c r="E541" s="44"/>
      <c r="J541" s="155"/>
      <c r="K541" s="155"/>
      <c r="L541" s="155"/>
      <c r="M541" s="75"/>
    </row>
    <row r="542" spans="3:13" ht="15.75" customHeight="1" x14ac:dyDescent="0.15">
      <c r="C542" s="44"/>
      <c r="D542" s="44"/>
      <c r="E542" s="44"/>
      <c r="J542" s="155"/>
      <c r="K542" s="155"/>
      <c r="L542" s="155"/>
      <c r="M542" s="75"/>
    </row>
    <row r="543" spans="3:13" ht="15.75" customHeight="1" x14ac:dyDescent="0.15">
      <c r="C543" s="44"/>
      <c r="D543" s="44"/>
      <c r="E543" s="44"/>
      <c r="J543" s="155"/>
      <c r="K543" s="155"/>
      <c r="L543" s="155"/>
      <c r="M543" s="75"/>
    </row>
    <row r="544" spans="3:13" ht="15.75" customHeight="1" x14ac:dyDescent="0.15">
      <c r="C544" s="44"/>
      <c r="D544" s="44"/>
      <c r="E544" s="44"/>
      <c r="J544" s="155"/>
      <c r="K544" s="155"/>
      <c r="L544" s="155"/>
      <c r="M544" s="75"/>
    </row>
    <row r="545" spans="3:13" ht="15.75" customHeight="1" x14ac:dyDescent="0.15">
      <c r="C545" s="44"/>
      <c r="D545" s="44"/>
      <c r="E545" s="44"/>
      <c r="J545" s="155"/>
      <c r="K545" s="155"/>
      <c r="L545" s="155"/>
      <c r="M545" s="75"/>
    </row>
    <row r="546" spans="3:13" ht="15.75" customHeight="1" x14ac:dyDescent="0.15">
      <c r="C546" s="44"/>
      <c r="D546" s="44"/>
      <c r="E546" s="44"/>
      <c r="J546" s="155"/>
      <c r="K546" s="155"/>
      <c r="L546" s="155"/>
      <c r="M546" s="75"/>
    </row>
    <row r="547" spans="3:13" ht="15.75" customHeight="1" x14ac:dyDescent="0.15">
      <c r="C547" s="44"/>
      <c r="D547" s="44"/>
      <c r="E547" s="44"/>
      <c r="J547" s="155"/>
      <c r="K547" s="155"/>
      <c r="L547" s="155"/>
      <c r="M547" s="75"/>
    </row>
    <row r="548" spans="3:13" ht="15.75" customHeight="1" x14ac:dyDescent="0.15">
      <c r="C548" s="44"/>
      <c r="D548" s="44"/>
      <c r="E548" s="44"/>
      <c r="J548" s="155"/>
      <c r="K548" s="155"/>
      <c r="L548" s="155"/>
      <c r="M548" s="75"/>
    </row>
    <row r="549" spans="3:13" ht="15.75" customHeight="1" x14ac:dyDescent="0.15">
      <c r="C549" s="44"/>
      <c r="D549" s="44"/>
      <c r="E549" s="44"/>
      <c r="J549" s="155"/>
      <c r="K549" s="155"/>
      <c r="L549" s="155"/>
      <c r="M549" s="75"/>
    </row>
    <row r="550" spans="3:13" ht="15.75" customHeight="1" x14ac:dyDescent="0.15">
      <c r="C550" s="44"/>
      <c r="D550" s="44"/>
      <c r="E550" s="44"/>
      <c r="J550" s="155"/>
      <c r="K550" s="155"/>
      <c r="L550" s="155"/>
      <c r="M550" s="75"/>
    </row>
    <row r="551" spans="3:13" ht="15.75" customHeight="1" x14ac:dyDescent="0.15">
      <c r="C551" s="44"/>
      <c r="D551" s="44"/>
      <c r="E551" s="44"/>
      <c r="J551" s="155"/>
      <c r="K551" s="155"/>
      <c r="L551" s="155"/>
      <c r="M551" s="75"/>
    </row>
    <row r="552" spans="3:13" ht="15.75" customHeight="1" x14ac:dyDescent="0.15">
      <c r="C552" s="44"/>
      <c r="D552" s="44"/>
      <c r="E552" s="44"/>
      <c r="J552" s="155"/>
      <c r="K552" s="155"/>
      <c r="L552" s="155"/>
      <c r="M552" s="75"/>
    </row>
    <row r="553" spans="3:13" ht="15.75" customHeight="1" x14ac:dyDescent="0.15">
      <c r="C553" s="44"/>
      <c r="D553" s="44"/>
      <c r="E553" s="44"/>
      <c r="J553" s="155"/>
      <c r="K553" s="155"/>
      <c r="L553" s="155"/>
      <c r="M553" s="75"/>
    </row>
    <row r="554" spans="3:13" ht="15.75" customHeight="1" x14ac:dyDescent="0.15">
      <c r="C554" s="44"/>
      <c r="D554" s="44"/>
      <c r="E554" s="44"/>
      <c r="J554" s="155"/>
      <c r="K554" s="155"/>
      <c r="L554" s="155"/>
      <c r="M554" s="75"/>
    </row>
    <row r="555" spans="3:13" ht="15.75" customHeight="1" x14ac:dyDescent="0.15">
      <c r="C555" s="44"/>
      <c r="D555" s="44"/>
      <c r="E555" s="44"/>
      <c r="J555" s="155"/>
      <c r="K555" s="155"/>
      <c r="L555" s="155"/>
      <c r="M555" s="75"/>
    </row>
    <row r="556" spans="3:13" ht="15.75" customHeight="1" x14ac:dyDescent="0.15">
      <c r="C556" s="44"/>
      <c r="D556" s="44"/>
      <c r="E556" s="44"/>
      <c r="J556" s="155"/>
      <c r="K556" s="155"/>
      <c r="L556" s="155"/>
      <c r="M556" s="75"/>
    </row>
    <row r="557" spans="3:13" ht="15.75" customHeight="1" x14ac:dyDescent="0.15">
      <c r="C557" s="44"/>
      <c r="D557" s="44"/>
      <c r="E557" s="44"/>
      <c r="J557" s="155"/>
      <c r="K557" s="155"/>
      <c r="L557" s="155"/>
      <c r="M557" s="75"/>
    </row>
    <row r="558" spans="3:13" ht="15.75" customHeight="1" x14ac:dyDescent="0.15">
      <c r="C558" s="44"/>
      <c r="D558" s="44"/>
      <c r="E558" s="44"/>
      <c r="J558" s="155"/>
      <c r="K558" s="155"/>
      <c r="L558" s="155"/>
      <c r="M558" s="75"/>
    </row>
    <row r="559" spans="3:13" ht="15.75" customHeight="1" x14ac:dyDescent="0.15">
      <c r="C559" s="44"/>
      <c r="D559" s="44"/>
      <c r="E559" s="44"/>
      <c r="J559" s="155"/>
      <c r="K559" s="155"/>
      <c r="L559" s="155"/>
      <c r="M559" s="75"/>
    </row>
    <row r="560" spans="3:13" ht="15.75" customHeight="1" x14ac:dyDescent="0.15">
      <c r="C560" s="44"/>
      <c r="D560" s="44"/>
      <c r="E560" s="44"/>
      <c r="J560" s="155"/>
      <c r="K560" s="155"/>
      <c r="L560" s="155"/>
      <c r="M560" s="75"/>
    </row>
    <row r="561" spans="3:13" ht="15.75" customHeight="1" x14ac:dyDescent="0.15">
      <c r="C561" s="44"/>
      <c r="D561" s="44"/>
      <c r="E561" s="44"/>
      <c r="J561" s="155"/>
      <c r="K561" s="155"/>
      <c r="L561" s="155"/>
      <c r="M561" s="75"/>
    </row>
    <row r="562" spans="3:13" ht="15.75" customHeight="1" x14ac:dyDescent="0.15">
      <c r="C562" s="44"/>
      <c r="D562" s="44"/>
      <c r="E562" s="44"/>
      <c r="J562" s="155"/>
      <c r="K562" s="155"/>
      <c r="L562" s="155"/>
      <c r="M562" s="75"/>
    </row>
    <row r="563" spans="3:13" ht="15.75" customHeight="1" x14ac:dyDescent="0.15">
      <c r="C563" s="44"/>
      <c r="D563" s="44"/>
      <c r="E563" s="44"/>
      <c r="J563" s="155"/>
      <c r="K563" s="155"/>
      <c r="L563" s="155"/>
      <c r="M563" s="75"/>
    </row>
    <row r="564" spans="3:13" ht="15.75" customHeight="1" x14ac:dyDescent="0.15">
      <c r="C564" s="44"/>
      <c r="D564" s="44"/>
      <c r="E564" s="44"/>
      <c r="J564" s="155"/>
      <c r="K564" s="155"/>
      <c r="L564" s="155"/>
      <c r="M564" s="75"/>
    </row>
    <row r="565" spans="3:13" ht="15.75" customHeight="1" x14ac:dyDescent="0.15">
      <c r="C565" s="44"/>
      <c r="D565" s="44"/>
      <c r="E565" s="44"/>
      <c r="J565" s="155"/>
      <c r="K565" s="155"/>
      <c r="L565" s="155"/>
      <c r="M565" s="75"/>
    </row>
    <row r="566" spans="3:13" ht="15.75" customHeight="1" x14ac:dyDescent="0.15">
      <c r="C566" s="44"/>
      <c r="D566" s="44"/>
      <c r="E566" s="44"/>
      <c r="J566" s="155"/>
      <c r="K566" s="155"/>
      <c r="L566" s="155"/>
      <c r="M566" s="75"/>
    </row>
    <row r="567" spans="3:13" ht="15.75" customHeight="1" x14ac:dyDescent="0.15">
      <c r="C567" s="44"/>
      <c r="D567" s="44"/>
      <c r="E567" s="44"/>
      <c r="J567" s="155"/>
      <c r="K567" s="155"/>
      <c r="L567" s="155"/>
      <c r="M567" s="75"/>
    </row>
    <row r="568" spans="3:13" ht="15.75" customHeight="1" x14ac:dyDescent="0.15">
      <c r="C568" s="44"/>
      <c r="D568" s="44"/>
      <c r="E568" s="44"/>
      <c r="J568" s="155"/>
      <c r="K568" s="155"/>
      <c r="L568" s="155"/>
      <c r="M568" s="75"/>
    </row>
    <row r="569" spans="3:13" ht="15.75" customHeight="1" x14ac:dyDescent="0.15">
      <c r="C569" s="44"/>
      <c r="D569" s="44"/>
      <c r="E569" s="44"/>
      <c r="J569" s="155"/>
      <c r="K569" s="155"/>
      <c r="L569" s="155"/>
      <c r="M569" s="75"/>
    </row>
    <row r="570" spans="3:13" ht="15.75" customHeight="1" x14ac:dyDescent="0.15">
      <c r="C570" s="44"/>
      <c r="D570" s="44"/>
      <c r="E570" s="44"/>
      <c r="J570" s="155"/>
      <c r="K570" s="155"/>
      <c r="L570" s="155"/>
      <c r="M570" s="75"/>
    </row>
    <row r="571" spans="3:13" ht="15.75" customHeight="1" x14ac:dyDescent="0.15">
      <c r="C571" s="44"/>
      <c r="D571" s="44"/>
      <c r="E571" s="44"/>
      <c r="J571" s="155"/>
      <c r="K571" s="155"/>
      <c r="L571" s="155"/>
      <c r="M571" s="75"/>
    </row>
    <row r="572" spans="3:13" ht="15.75" customHeight="1" x14ac:dyDescent="0.15">
      <c r="C572" s="44"/>
      <c r="D572" s="44"/>
      <c r="E572" s="44"/>
      <c r="J572" s="155"/>
      <c r="K572" s="155"/>
      <c r="L572" s="155"/>
      <c r="M572" s="75"/>
    </row>
    <row r="573" spans="3:13" ht="15.75" customHeight="1" x14ac:dyDescent="0.15">
      <c r="C573" s="44"/>
      <c r="D573" s="44"/>
      <c r="E573" s="44"/>
      <c r="J573" s="155"/>
      <c r="K573" s="155"/>
      <c r="L573" s="155"/>
      <c r="M573" s="75"/>
    </row>
    <row r="574" spans="3:13" ht="15.75" customHeight="1" x14ac:dyDescent="0.15">
      <c r="C574" s="44"/>
      <c r="D574" s="44"/>
      <c r="E574" s="44"/>
      <c r="J574" s="155"/>
      <c r="K574" s="155"/>
      <c r="L574" s="155"/>
      <c r="M574" s="75"/>
    </row>
    <row r="575" spans="3:13" ht="15.75" customHeight="1" x14ac:dyDescent="0.15">
      <c r="C575" s="44"/>
      <c r="D575" s="44"/>
      <c r="E575" s="44"/>
      <c r="J575" s="155"/>
      <c r="K575" s="155"/>
      <c r="L575" s="155"/>
      <c r="M575" s="75"/>
    </row>
    <row r="576" spans="3:13" ht="15.75" customHeight="1" x14ac:dyDescent="0.15">
      <c r="C576" s="44"/>
      <c r="D576" s="44"/>
      <c r="E576" s="44"/>
      <c r="J576" s="155"/>
      <c r="K576" s="155"/>
      <c r="L576" s="155"/>
      <c r="M576" s="75"/>
    </row>
    <row r="577" spans="3:13" ht="15.75" customHeight="1" x14ac:dyDescent="0.15">
      <c r="C577" s="44"/>
      <c r="D577" s="44"/>
      <c r="E577" s="44"/>
      <c r="J577" s="155"/>
      <c r="K577" s="155"/>
      <c r="L577" s="155"/>
      <c r="M577" s="75"/>
    </row>
    <row r="578" spans="3:13" ht="15.75" customHeight="1" x14ac:dyDescent="0.15">
      <c r="C578" s="44"/>
      <c r="D578" s="44"/>
      <c r="E578" s="44"/>
      <c r="J578" s="155"/>
      <c r="K578" s="155"/>
      <c r="L578" s="155"/>
      <c r="M578" s="75"/>
    </row>
    <row r="579" spans="3:13" ht="15.75" customHeight="1" x14ac:dyDescent="0.15">
      <c r="C579" s="44"/>
      <c r="D579" s="44"/>
      <c r="E579" s="44"/>
      <c r="J579" s="155"/>
      <c r="K579" s="155"/>
      <c r="L579" s="155"/>
      <c r="M579" s="75"/>
    </row>
    <row r="580" spans="3:13" ht="15.75" customHeight="1" x14ac:dyDescent="0.15">
      <c r="C580" s="44"/>
      <c r="D580" s="44"/>
      <c r="E580" s="44"/>
      <c r="J580" s="155"/>
      <c r="K580" s="155"/>
      <c r="L580" s="155"/>
      <c r="M580" s="75"/>
    </row>
    <row r="581" spans="3:13" ht="15.75" customHeight="1" x14ac:dyDescent="0.15">
      <c r="C581" s="44"/>
      <c r="D581" s="44"/>
      <c r="E581" s="44"/>
      <c r="J581" s="155"/>
      <c r="K581" s="155"/>
      <c r="L581" s="155"/>
      <c r="M581" s="75"/>
    </row>
    <row r="582" spans="3:13" ht="15.75" customHeight="1" x14ac:dyDescent="0.15">
      <c r="C582" s="44"/>
      <c r="D582" s="44"/>
      <c r="E582" s="44"/>
      <c r="J582" s="155"/>
      <c r="K582" s="155"/>
      <c r="L582" s="155"/>
      <c r="M582" s="75"/>
    </row>
    <row r="583" spans="3:13" ht="15.75" customHeight="1" x14ac:dyDescent="0.15">
      <c r="C583" s="44"/>
      <c r="D583" s="44"/>
      <c r="E583" s="44"/>
      <c r="J583" s="155"/>
      <c r="K583" s="155"/>
      <c r="L583" s="155"/>
      <c r="M583" s="75"/>
    </row>
    <row r="584" spans="3:13" ht="15.75" customHeight="1" x14ac:dyDescent="0.15">
      <c r="C584" s="44"/>
      <c r="D584" s="44"/>
      <c r="E584" s="44"/>
      <c r="J584" s="155"/>
      <c r="K584" s="155"/>
      <c r="L584" s="155"/>
      <c r="M584" s="75"/>
    </row>
    <row r="585" spans="3:13" ht="15.75" customHeight="1" x14ac:dyDescent="0.15">
      <c r="C585" s="44"/>
      <c r="D585" s="44"/>
      <c r="E585" s="44"/>
      <c r="J585" s="155"/>
      <c r="K585" s="155"/>
      <c r="L585" s="155"/>
      <c r="M585" s="75"/>
    </row>
    <row r="586" spans="3:13" ht="15.75" customHeight="1" x14ac:dyDescent="0.15">
      <c r="C586" s="44"/>
      <c r="D586" s="44"/>
      <c r="E586" s="44"/>
      <c r="J586" s="155"/>
      <c r="K586" s="155"/>
      <c r="L586" s="155"/>
      <c r="M586" s="75"/>
    </row>
    <row r="587" spans="3:13" ht="15.75" customHeight="1" x14ac:dyDescent="0.15">
      <c r="C587" s="44"/>
      <c r="D587" s="44"/>
      <c r="E587" s="44"/>
      <c r="J587" s="155"/>
      <c r="K587" s="155"/>
      <c r="L587" s="155"/>
      <c r="M587" s="75"/>
    </row>
    <row r="588" spans="3:13" ht="15.75" customHeight="1" x14ac:dyDescent="0.15">
      <c r="C588" s="44"/>
      <c r="D588" s="44"/>
      <c r="E588" s="44"/>
      <c r="J588" s="155"/>
      <c r="K588" s="155"/>
      <c r="L588" s="155"/>
      <c r="M588" s="75"/>
    </row>
    <row r="589" spans="3:13" ht="15.75" customHeight="1" x14ac:dyDescent="0.15">
      <c r="C589" s="44"/>
      <c r="D589" s="44"/>
      <c r="E589" s="44"/>
      <c r="J589" s="155"/>
      <c r="K589" s="155"/>
      <c r="L589" s="155"/>
      <c r="M589" s="75"/>
    </row>
    <row r="590" spans="3:13" ht="15.75" customHeight="1" x14ac:dyDescent="0.15">
      <c r="C590" s="44"/>
      <c r="D590" s="44"/>
      <c r="E590" s="44"/>
      <c r="J590" s="155"/>
      <c r="K590" s="155"/>
      <c r="L590" s="155"/>
      <c r="M590" s="75"/>
    </row>
    <row r="591" spans="3:13" ht="15.75" customHeight="1" x14ac:dyDescent="0.15">
      <c r="C591" s="44"/>
      <c r="D591" s="44"/>
      <c r="E591" s="44"/>
      <c r="J591" s="155"/>
      <c r="K591" s="155"/>
      <c r="L591" s="155"/>
      <c r="M591" s="75"/>
    </row>
    <row r="592" spans="3:13" ht="15.75" customHeight="1" x14ac:dyDescent="0.15">
      <c r="C592" s="44"/>
      <c r="D592" s="44"/>
      <c r="E592" s="44"/>
      <c r="J592" s="155"/>
      <c r="K592" s="155"/>
      <c r="L592" s="155"/>
      <c r="M592" s="75"/>
    </row>
    <row r="593" spans="3:13" ht="15.75" customHeight="1" x14ac:dyDescent="0.15">
      <c r="C593" s="44"/>
      <c r="D593" s="44"/>
      <c r="E593" s="44"/>
      <c r="J593" s="155"/>
      <c r="K593" s="155"/>
      <c r="L593" s="155"/>
      <c r="M593" s="75"/>
    </row>
    <row r="594" spans="3:13" ht="15.75" customHeight="1" x14ac:dyDescent="0.15">
      <c r="C594" s="44"/>
      <c r="D594" s="44"/>
      <c r="E594" s="44"/>
      <c r="J594" s="155"/>
      <c r="K594" s="155"/>
      <c r="L594" s="155"/>
      <c r="M594" s="75"/>
    </row>
    <row r="595" spans="3:13" ht="15.75" customHeight="1" x14ac:dyDescent="0.15">
      <c r="C595" s="44"/>
      <c r="D595" s="44"/>
      <c r="E595" s="44"/>
      <c r="J595" s="155"/>
      <c r="K595" s="155"/>
      <c r="L595" s="155"/>
      <c r="M595" s="75"/>
    </row>
    <row r="596" spans="3:13" ht="15.75" customHeight="1" x14ac:dyDescent="0.15">
      <c r="C596" s="44"/>
      <c r="D596" s="44"/>
      <c r="E596" s="44"/>
      <c r="J596" s="155"/>
      <c r="K596" s="155"/>
      <c r="L596" s="155"/>
      <c r="M596" s="75"/>
    </row>
    <row r="597" spans="3:13" ht="15.75" customHeight="1" x14ac:dyDescent="0.15">
      <c r="C597" s="44"/>
      <c r="D597" s="44"/>
      <c r="E597" s="44"/>
      <c r="J597" s="155"/>
      <c r="K597" s="155"/>
      <c r="L597" s="155"/>
      <c r="M597" s="75"/>
    </row>
    <row r="598" spans="3:13" ht="15.75" customHeight="1" x14ac:dyDescent="0.15">
      <c r="C598" s="44"/>
      <c r="D598" s="44"/>
      <c r="E598" s="44"/>
      <c r="J598" s="155"/>
      <c r="K598" s="155"/>
      <c r="L598" s="155"/>
      <c r="M598" s="75"/>
    </row>
    <row r="599" spans="3:13" ht="15.75" customHeight="1" x14ac:dyDescent="0.15">
      <c r="C599" s="44"/>
      <c r="D599" s="44"/>
      <c r="E599" s="44"/>
      <c r="J599" s="155"/>
      <c r="K599" s="155"/>
      <c r="L599" s="155"/>
      <c r="M599" s="75"/>
    </row>
    <row r="600" spans="3:13" ht="15.75" customHeight="1" x14ac:dyDescent="0.15">
      <c r="C600" s="44"/>
      <c r="D600" s="44"/>
      <c r="E600" s="44"/>
      <c r="J600" s="155"/>
      <c r="K600" s="155"/>
      <c r="L600" s="155"/>
      <c r="M600" s="75"/>
    </row>
    <row r="601" spans="3:13" ht="15.75" customHeight="1" x14ac:dyDescent="0.15">
      <c r="C601" s="44"/>
      <c r="D601" s="44"/>
      <c r="E601" s="44"/>
      <c r="J601" s="155"/>
      <c r="K601" s="155"/>
      <c r="L601" s="155"/>
      <c r="M601" s="75"/>
    </row>
    <row r="602" spans="3:13" ht="15.75" customHeight="1" x14ac:dyDescent="0.15">
      <c r="C602" s="44"/>
      <c r="D602" s="44"/>
      <c r="E602" s="44"/>
      <c r="J602" s="155"/>
      <c r="K602" s="155"/>
      <c r="L602" s="155"/>
      <c r="M602" s="75"/>
    </row>
    <row r="603" spans="3:13" ht="15.75" customHeight="1" x14ac:dyDescent="0.15">
      <c r="C603" s="44"/>
      <c r="D603" s="44"/>
      <c r="E603" s="44"/>
      <c r="J603" s="155"/>
      <c r="K603" s="155"/>
      <c r="L603" s="155"/>
      <c r="M603" s="75"/>
    </row>
    <row r="604" spans="3:13" ht="15.75" customHeight="1" x14ac:dyDescent="0.15">
      <c r="C604" s="44"/>
      <c r="D604" s="44"/>
      <c r="E604" s="44"/>
      <c r="J604" s="155"/>
      <c r="K604" s="155"/>
      <c r="L604" s="155"/>
      <c r="M604" s="75"/>
    </row>
    <row r="605" spans="3:13" ht="15.75" customHeight="1" x14ac:dyDescent="0.15">
      <c r="C605" s="44"/>
      <c r="D605" s="44"/>
      <c r="E605" s="44"/>
      <c r="J605" s="155"/>
      <c r="K605" s="155"/>
      <c r="L605" s="155"/>
      <c r="M605" s="75"/>
    </row>
    <row r="606" spans="3:13" ht="15.75" customHeight="1" x14ac:dyDescent="0.15">
      <c r="C606" s="44"/>
      <c r="D606" s="44"/>
      <c r="E606" s="44"/>
      <c r="J606" s="155"/>
      <c r="K606" s="155"/>
      <c r="L606" s="155"/>
      <c r="M606" s="75"/>
    </row>
    <row r="607" spans="3:13" ht="15.75" customHeight="1" x14ac:dyDescent="0.15">
      <c r="C607" s="44"/>
      <c r="D607" s="44"/>
      <c r="E607" s="44"/>
      <c r="J607" s="155"/>
      <c r="K607" s="155"/>
      <c r="L607" s="155"/>
      <c r="M607" s="75"/>
    </row>
    <row r="608" spans="3:13" ht="15.75" customHeight="1" x14ac:dyDescent="0.15">
      <c r="C608" s="44"/>
      <c r="D608" s="44"/>
      <c r="E608" s="44"/>
      <c r="J608" s="155"/>
      <c r="K608" s="155"/>
      <c r="L608" s="155"/>
      <c r="M608" s="75"/>
    </row>
    <row r="609" spans="3:13" ht="15.75" customHeight="1" x14ac:dyDescent="0.15">
      <c r="C609" s="44"/>
      <c r="D609" s="44"/>
      <c r="E609" s="44"/>
      <c r="J609" s="155"/>
      <c r="K609" s="155"/>
      <c r="L609" s="155"/>
      <c r="M609" s="75"/>
    </row>
    <row r="610" spans="3:13" ht="15.75" customHeight="1" x14ac:dyDescent="0.15">
      <c r="C610" s="44"/>
      <c r="D610" s="44"/>
      <c r="E610" s="44"/>
      <c r="J610" s="155"/>
      <c r="K610" s="155"/>
      <c r="L610" s="155"/>
      <c r="M610" s="75"/>
    </row>
    <row r="611" spans="3:13" ht="15.75" customHeight="1" x14ac:dyDescent="0.15">
      <c r="C611" s="44"/>
      <c r="D611" s="44"/>
      <c r="E611" s="44"/>
      <c r="J611" s="155"/>
      <c r="K611" s="155"/>
      <c r="L611" s="155"/>
      <c r="M611" s="75"/>
    </row>
    <row r="612" spans="3:13" ht="15.75" customHeight="1" x14ac:dyDescent="0.15">
      <c r="C612" s="44"/>
      <c r="D612" s="44"/>
      <c r="E612" s="44"/>
      <c r="J612" s="155"/>
      <c r="K612" s="155"/>
      <c r="L612" s="155"/>
      <c r="M612" s="75"/>
    </row>
    <row r="613" spans="3:13" ht="15.75" customHeight="1" x14ac:dyDescent="0.15">
      <c r="C613" s="44"/>
      <c r="D613" s="44"/>
      <c r="E613" s="44"/>
      <c r="J613" s="155"/>
      <c r="K613" s="155"/>
      <c r="L613" s="155"/>
      <c r="M613" s="75"/>
    </row>
    <row r="614" spans="3:13" ht="15.75" customHeight="1" x14ac:dyDescent="0.15">
      <c r="C614" s="44"/>
      <c r="D614" s="44"/>
      <c r="E614" s="44"/>
      <c r="J614" s="155"/>
      <c r="K614" s="155"/>
      <c r="L614" s="155"/>
      <c r="M614" s="75"/>
    </row>
    <row r="615" spans="3:13" ht="15.75" customHeight="1" x14ac:dyDescent="0.15">
      <c r="C615" s="44"/>
      <c r="D615" s="44"/>
      <c r="E615" s="44"/>
      <c r="J615" s="155"/>
      <c r="K615" s="155"/>
      <c r="L615" s="155"/>
      <c r="M615" s="75"/>
    </row>
    <row r="616" spans="3:13" ht="15.75" customHeight="1" x14ac:dyDescent="0.15">
      <c r="C616" s="44"/>
      <c r="D616" s="44"/>
      <c r="E616" s="44"/>
      <c r="J616" s="155"/>
      <c r="K616" s="155"/>
      <c r="L616" s="155"/>
      <c r="M616" s="75"/>
    </row>
    <row r="617" spans="3:13" ht="15.75" customHeight="1" x14ac:dyDescent="0.15">
      <c r="C617" s="44"/>
      <c r="D617" s="44"/>
      <c r="E617" s="44"/>
      <c r="J617" s="155"/>
      <c r="K617" s="155"/>
      <c r="L617" s="155"/>
      <c r="M617" s="75"/>
    </row>
    <row r="618" spans="3:13" ht="15.75" customHeight="1" x14ac:dyDescent="0.15">
      <c r="C618" s="44"/>
      <c r="D618" s="44"/>
      <c r="E618" s="44"/>
      <c r="J618" s="155"/>
      <c r="K618" s="155"/>
      <c r="L618" s="155"/>
      <c r="M618" s="75"/>
    </row>
    <row r="619" spans="3:13" ht="15.75" customHeight="1" x14ac:dyDescent="0.15">
      <c r="C619" s="44"/>
      <c r="D619" s="44"/>
      <c r="E619" s="44"/>
      <c r="J619" s="155"/>
      <c r="K619" s="155"/>
      <c r="L619" s="155"/>
      <c r="M619" s="75"/>
    </row>
    <row r="620" spans="3:13" ht="15.75" customHeight="1" x14ac:dyDescent="0.15">
      <c r="C620" s="44"/>
      <c r="D620" s="44"/>
      <c r="E620" s="44"/>
      <c r="J620" s="155"/>
      <c r="K620" s="155"/>
      <c r="L620" s="155"/>
      <c r="M620" s="75"/>
    </row>
    <row r="621" spans="3:13" ht="15.75" customHeight="1" x14ac:dyDescent="0.15">
      <c r="C621" s="44"/>
      <c r="D621" s="44"/>
      <c r="E621" s="44"/>
      <c r="J621" s="155"/>
      <c r="K621" s="155"/>
      <c r="L621" s="155"/>
      <c r="M621" s="75"/>
    </row>
    <row r="622" spans="3:13" ht="15.75" customHeight="1" x14ac:dyDescent="0.15">
      <c r="C622" s="44"/>
      <c r="D622" s="44"/>
      <c r="E622" s="44"/>
      <c r="J622" s="155"/>
      <c r="K622" s="155"/>
      <c r="L622" s="155"/>
      <c r="M622" s="75"/>
    </row>
    <row r="623" spans="3:13" ht="15.75" customHeight="1" x14ac:dyDescent="0.15">
      <c r="C623" s="44"/>
      <c r="D623" s="44"/>
      <c r="E623" s="44"/>
      <c r="J623" s="155"/>
      <c r="K623" s="155"/>
      <c r="L623" s="155"/>
      <c r="M623" s="75"/>
    </row>
    <row r="624" spans="3:13" ht="15.75" customHeight="1" x14ac:dyDescent="0.15">
      <c r="C624" s="44"/>
      <c r="D624" s="44"/>
      <c r="E624" s="44"/>
      <c r="J624" s="155"/>
      <c r="K624" s="155"/>
      <c r="L624" s="155"/>
      <c r="M624" s="75"/>
    </row>
    <row r="625" spans="3:13" ht="15.75" customHeight="1" x14ac:dyDescent="0.15">
      <c r="C625" s="44"/>
      <c r="D625" s="44"/>
      <c r="E625" s="44"/>
      <c r="J625" s="155"/>
      <c r="K625" s="155"/>
      <c r="L625" s="155"/>
      <c r="M625" s="75"/>
    </row>
    <row r="626" spans="3:13" ht="15.75" customHeight="1" x14ac:dyDescent="0.15">
      <c r="C626" s="44"/>
      <c r="D626" s="44"/>
      <c r="E626" s="44"/>
      <c r="J626" s="155"/>
      <c r="K626" s="155"/>
      <c r="L626" s="155"/>
      <c r="M626" s="75"/>
    </row>
    <row r="627" spans="3:13" ht="15.75" customHeight="1" x14ac:dyDescent="0.15">
      <c r="C627" s="44"/>
      <c r="D627" s="44"/>
      <c r="E627" s="44"/>
      <c r="J627" s="155"/>
      <c r="K627" s="155"/>
      <c r="L627" s="155"/>
      <c r="M627" s="75"/>
    </row>
    <row r="628" spans="3:13" ht="15.75" customHeight="1" x14ac:dyDescent="0.15">
      <c r="C628" s="44"/>
      <c r="D628" s="44"/>
      <c r="E628" s="44"/>
      <c r="J628" s="155"/>
      <c r="K628" s="155"/>
      <c r="L628" s="155"/>
      <c r="M628" s="75"/>
    </row>
    <row r="629" spans="3:13" ht="15.75" customHeight="1" x14ac:dyDescent="0.15">
      <c r="C629" s="44"/>
      <c r="D629" s="44"/>
      <c r="E629" s="44"/>
      <c r="J629" s="155"/>
      <c r="K629" s="155"/>
      <c r="L629" s="155"/>
      <c r="M629" s="75"/>
    </row>
    <row r="630" spans="3:13" ht="15.75" customHeight="1" x14ac:dyDescent="0.15">
      <c r="C630" s="44"/>
      <c r="D630" s="44"/>
      <c r="E630" s="44"/>
      <c r="J630" s="155"/>
      <c r="K630" s="155"/>
      <c r="L630" s="155"/>
      <c r="M630" s="75"/>
    </row>
    <row r="631" spans="3:13" ht="15.75" customHeight="1" x14ac:dyDescent="0.15">
      <c r="C631" s="44"/>
      <c r="D631" s="44"/>
      <c r="E631" s="44"/>
      <c r="J631" s="155"/>
      <c r="K631" s="155"/>
      <c r="L631" s="155"/>
      <c r="M631" s="75"/>
    </row>
    <row r="632" spans="3:13" ht="15.75" customHeight="1" x14ac:dyDescent="0.15">
      <c r="C632" s="44"/>
      <c r="D632" s="44"/>
      <c r="E632" s="44"/>
      <c r="J632" s="155"/>
      <c r="K632" s="155"/>
      <c r="L632" s="155"/>
      <c r="M632" s="75"/>
    </row>
    <row r="633" spans="3:13" ht="15.75" customHeight="1" x14ac:dyDescent="0.15">
      <c r="C633" s="44"/>
      <c r="D633" s="44"/>
      <c r="E633" s="44"/>
      <c r="J633" s="155"/>
      <c r="K633" s="155"/>
      <c r="L633" s="155"/>
      <c r="M633" s="75"/>
    </row>
    <row r="634" spans="3:13" ht="15.75" customHeight="1" x14ac:dyDescent="0.15">
      <c r="C634" s="44"/>
      <c r="D634" s="44"/>
      <c r="E634" s="44"/>
      <c r="J634" s="155"/>
      <c r="K634" s="155"/>
      <c r="L634" s="155"/>
      <c r="M634" s="75"/>
    </row>
    <row r="635" spans="3:13" ht="15.75" customHeight="1" x14ac:dyDescent="0.15">
      <c r="C635" s="44"/>
      <c r="D635" s="44"/>
      <c r="E635" s="44"/>
      <c r="J635" s="155"/>
      <c r="K635" s="155"/>
      <c r="L635" s="155"/>
      <c r="M635" s="75"/>
    </row>
    <row r="636" spans="3:13" ht="15.75" customHeight="1" x14ac:dyDescent="0.15">
      <c r="C636" s="44"/>
      <c r="D636" s="44"/>
      <c r="E636" s="44"/>
      <c r="J636" s="155"/>
      <c r="K636" s="155"/>
      <c r="L636" s="155"/>
      <c r="M636" s="75"/>
    </row>
    <row r="637" spans="3:13" ht="15.75" customHeight="1" x14ac:dyDescent="0.15">
      <c r="C637" s="44"/>
      <c r="D637" s="44"/>
      <c r="E637" s="44"/>
      <c r="J637" s="155"/>
      <c r="K637" s="155"/>
      <c r="L637" s="155"/>
      <c r="M637" s="75"/>
    </row>
    <row r="638" spans="3:13" ht="15.75" customHeight="1" x14ac:dyDescent="0.15">
      <c r="C638" s="44"/>
      <c r="D638" s="44"/>
      <c r="E638" s="44"/>
      <c r="J638" s="155"/>
      <c r="K638" s="155"/>
      <c r="L638" s="155"/>
      <c r="M638" s="75"/>
    </row>
    <row r="639" spans="3:13" ht="15.75" customHeight="1" x14ac:dyDescent="0.15">
      <c r="C639" s="44"/>
      <c r="D639" s="44"/>
      <c r="E639" s="44"/>
      <c r="J639" s="155"/>
      <c r="K639" s="155"/>
      <c r="L639" s="155"/>
      <c r="M639" s="75"/>
    </row>
    <row r="640" spans="3:13" ht="15.75" customHeight="1" x14ac:dyDescent="0.15">
      <c r="C640" s="44"/>
      <c r="D640" s="44"/>
      <c r="E640" s="44"/>
      <c r="J640" s="155"/>
      <c r="K640" s="155"/>
      <c r="L640" s="155"/>
      <c r="M640" s="75"/>
    </row>
    <row r="641" spans="3:13" ht="15.75" customHeight="1" x14ac:dyDescent="0.15">
      <c r="C641" s="44"/>
      <c r="D641" s="44"/>
      <c r="E641" s="44"/>
      <c r="J641" s="155"/>
      <c r="K641" s="155"/>
      <c r="L641" s="155"/>
      <c r="M641" s="75"/>
    </row>
    <row r="642" spans="3:13" ht="15.75" customHeight="1" x14ac:dyDescent="0.15">
      <c r="C642" s="44"/>
      <c r="D642" s="44"/>
      <c r="E642" s="44"/>
      <c r="J642" s="155"/>
      <c r="K642" s="155"/>
      <c r="L642" s="155"/>
      <c r="M642" s="75"/>
    </row>
    <row r="643" spans="3:13" ht="15.75" customHeight="1" x14ac:dyDescent="0.15">
      <c r="C643" s="44"/>
      <c r="D643" s="44"/>
      <c r="E643" s="44"/>
      <c r="J643" s="155"/>
      <c r="K643" s="155"/>
      <c r="L643" s="155"/>
      <c r="M643" s="75"/>
    </row>
    <row r="644" spans="3:13" ht="15.75" customHeight="1" x14ac:dyDescent="0.15">
      <c r="C644" s="44"/>
      <c r="D644" s="44"/>
      <c r="E644" s="44"/>
      <c r="J644" s="155"/>
      <c r="K644" s="155"/>
      <c r="L644" s="155"/>
      <c r="M644" s="75"/>
    </row>
    <row r="645" spans="3:13" ht="15.75" customHeight="1" x14ac:dyDescent="0.15">
      <c r="C645" s="44"/>
      <c r="D645" s="44"/>
      <c r="E645" s="44"/>
      <c r="J645" s="155"/>
      <c r="K645" s="155"/>
      <c r="L645" s="155"/>
      <c r="M645" s="75"/>
    </row>
    <row r="646" spans="3:13" ht="15.75" customHeight="1" x14ac:dyDescent="0.15">
      <c r="C646" s="44"/>
      <c r="D646" s="44"/>
      <c r="E646" s="44"/>
      <c r="J646" s="155"/>
      <c r="K646" s="155"/>
      <c r="L646" s="155"/>
      <c r="M646" s="75"/>
    </row>
    <row r="647" spans="3:13" ht="15.75" customHeight="1" x14ac:dyDescent="0.15">
      <c r="C647" s="44"/>
      <c r="D647" s="44"/>
      <c r="E647" s="44"/>
      <c r="J647" s="155"/>
      <c r="K647" s="155"/>
      <c r="L647" s="155"/>
      <c r="M647" s="75"/>
    </row>
    <row r="648" spans="3:13" ht="15.75" customHeight="1" x14ac:dyDescent="0.15">
      <c r="C648" s="44"/>
      <c r="D648" s="44"/>
      <c r="E648" s="44"/>
      <c r="J648" s="155"/>
      <c r="K648" s="155"/>
      <c r="L648" s="155"/>
      <c r="M648" s="75"/>
    </row>
    <row r="649" spans="3:13" ht="15.75" customHeight="1" x14ac:dyDescent="0.15">
      <c r="C649" s="44"/>
      <c r="D649" s="44"/>
      <c r="E649" s="44"/>
      <c r="J649" s="155"/>
      <c r="K649" s="155"/>
      <c r="L649" s="155"/>
      <c r="M649" s="75"/>
    </row>
    <row r="650" spans="3:13" ht="15.75" customHeight="1" x14ac:dyDescent="0.15">
      <c r="C650" s="44"/>
      <c r="D650" s="44"/>
      <c r="E650" s="44"/>
      <c r="J650" s="155"/>
      <c r="K650" s="155"/>
      <c r="L650" s="155"/>
      <c r="M650" s="75"/>
    </row>
    <row r="651" spans="3:13" ht="15.75" customHeight="1" x14ac:dyDescent="0.15">
      <c r="C651" s="44"/>
      <c r="D651" s="44"/>
      <c r="E651" s="44"/>
      <c r="J651" s="155"/>
      <c r="K651" s="155"/>
      <c r="L651" s="155"/>
      <c r="M651" s="75"/>
    </row>
    <row r="652" spans="3:13" ht="15.75" customHeight="1" x14ac:dyDescent="0.15">
      <c r="C652" s="44"/>
      <c r="D652" s="44"/>
      <c r="E652" s="44"/>
      <c r="J652" s="155"/>
      <c r="K652" s="155"/>
      <c r="L652" s="155"/>
      <c r="M652" s="75"/>
    </row>
    <row r="653" spans="3:13" ht="15.75" customHeight="1" x14ac:dyDescent="0.15">
      <c r="C653" s="44"/>
      <c r="D653" s="44"/>
      <c r="E653" s="44"/>
      <c r="J653" s="155"/>
      <c r="K653" s="155"/>
      <c r="L653" s="155"/>
      <c r="M653" s="75"/>
    </row>
    <row r="654" spans="3:13" ht="15.75" customHeight="1" x14ac:dyDescent="0.15">
      <c r="C654" s="44"/>
      <c r="D654" s="44"/>
      <c r="E654" s="44"/>
      <c r="J654" s="155"/>
      <c r="K654" s="155"/>
      <c r="L654" s="155"/>
      <c r="M654" s="75"/>
    </row>
    <row r="655" spans="3:13" ht="15.75" customHeight="1" x14ac:dyDescent="0.15">
      <c r="C655" s="44"/>
      <c r="D655" s="44"/>
      <c r="E655" s="44"/>
      <c r="J655" s="155"/>
      <c r="K655" s="155"/>
      <c r="L655" s="155"/>
      <c r="M655" s="75"/>
    </row>
    <row r="656" spans="3:13" ht="15.75" customHeight="1" x14ac:dyDescent="0.15">
      <c r="C656" s="44"/>
      <c r="D656" s="44"/>
      <c r="E656" s="44"/>
      <c r="J656" s="155"/>
      <c r="K656" s="155"/>
      <c r="L656" s="155"/>
      <c r="M656" s="75"/>
    </row>
    <row r="657" spans="3:13" ht="15.75" customHeight="1" x14ac:dyDescent="0.15">
      <c r="C657" s="44"/>
      <c r="D657" s="44"/>
      <c r="E657" s="44"/>
      <c r="J657" s="155"/>
      <c r="K657" s="155"/>
      <c r="L657" s="155"/>
      <c r="M657" s="75"/>
    </row>
    <row r="658" spans="3:13" ht="15.75" customHeight="1" x14ac:dyDescent="0.15">
      <c r="C658" s="44"/>
      <c r="D658" s="44"/>
      <c r="E658" s="44"/>
      <c r="J658" s="155"/>
      <c r="K658" s="155"/>
      <c r="L658" s="155"/>
      <c r="M658" s="75"/>
    </row>
    <row r="659" spans="3:13" ht="15.75" customHeight="1" x14ac:dyDescent="0.15">
      <c r="C659" s="44"/>
      <c r="D659" s="44"/>
      <c r="E659" s="44"/>
      <c r="J659" s="155"/>
      <c r="K659" s="155"/>
      <c r="L659" s="155"/>
      <c r="M659" s="75"/>
    </row>
    <row r="660" spans="3:13" ht="15.75" customHeight="1" x14ac:dyDescent="0.15">
      <c r="C660" s="44"/>
      <c r="D660" s="44"/>
      <c r="E660" s="44"/>
      <c r="J660" s="155"/>
      <c r="K660" s="155"/>
      <c r="L660" s="155"/>
      <c r="M660" s="75"/>
    </row>
    <row r="661" spans="3:13" ht="15.75" customHeight="1" x14ac:dyDescent="0.15">
      <c r="C661" s="44"/>
      <c r="D661" s="44"/>
      <c r="E661" s="44"/>
      <c r="J661" s="155"/>
      <c r="K661" s="155"/>
      <c r="L661" s="155"/>
      <c r="M661" s="75"/>
    </row>
    <row r="662" spans="3:13" ht="15.75" customHeight="1" x14ac:dyDescent="0.15">
      <c r="C662" s="44"/>
      <c r="D662" s="44"/>
      <c r="E662" s="44"/>
      <c r="J662" s="155"/>
      <c r="K662" s="155"/>
      <c r="L662" s="155"/>
      <c r="M662" s="75"/>
    </row>
    <row r="663" spans="3:13" ht="15.75" customHeight="1" x14ac:dyDescent="0.15">
      <c r="C663" s="44"/>
      <c r="D663" s="44"/>
      <c r="E663" s="44"/>
      <c r="J663" s="155"/>
      <c r="K663" s="155"/>
      <c r="L663" s="155"/>
      <c r="M663" s="75"/>
    </row>
    <row r="664" spans="3:13" ht="15.75" customHeight="1" x14ac:dyDescent="0.15">
      <c r="C664" s="44"/>
      <c r="D664" s="44"/>
      <c r="E664" s="44"/>
      <c r="J664" s="155"/>
      <c r="K664" s="155"/>
      <c r="L664" s="155"/>
      <c r="M664" s="75"/>
    </row>
    <row r="665" spans="3:13" ht="15.75" customHeight="1" x14ac:dyDescent="0.15">
      <c r="C665" s="44"/>
      <c r="D665" s="44"/>
      <c r="E665" s="44"/>
      <c r="J665" s="155"/>
      <c r="K665" s="155"/>
      <c r="L665" s="155"/>
      <c r="M665" s="75"/>
    </row>
    <row r="666" spans="3:13" ht="15.75" customHeight="1" x14ac:dyDescent="0.15">
      <c r="C666" s="44"/>
      <c r="D666" s="44"/>
      <c r="E666" s="44"/>
      <c r="J666" s="155"/>
      <c r="K666" s="155"/>
      <c r="L666" s="155"/>
      <c r="M666" s="75"/>
    </row>
    <row r="667" spans="3:13" ht="15.75" customHeight="1" x14ac:dyDescent="0.15">
      <c r="C667" s="44"/>
      <c r="D667" s="44"/>
      <c r="E667" s="44"/>
      <c r="J667" s="155"/>
      <c r="K667" s="155"/>
      <c r="L667" s="155"/>
      <c r="M667" s="75"/>
    </row>
    <row r="668" spans="3:13" ht="15.75" customHeight="1" x14ac:dyDescent="0.15">
      <c r="C668" s="44"/>
      <c r="D668" s="44"/>
      <c r="E668" s="44"/>
      <c r="J668" s="155"/>
      <c r="K668" s="155"/>
      <c r="L668" s="155"/>
      <c r="M668" s="75"/>
    </row>
    <row r="669" spans="3:13" ht="15.75" customHeight="1" x14ac:dyDescent="0.15">
      <c r="C669" s="44"/>
      <c r="D669" s="44"/>
      <c r="E669" s="44"/>
      <c r="J669" s="155"/>
      <c r="K669" s="155"/>
      <c r="L669" s="155"/>
      <c r="M669" s="75"/>
    </row>
    <row r="670" spans="3:13" ht="15.75" customHeight="1" x14ac:dyDescent="0.15">
      <c r="C670" s="44"/>
      <c r="D670" s="44"/>
      <c r="E670" s="44"/>
      <c r="J670" s="155"/>
      <c r="K670" s="155"/>
      <c r="L670" s="155"/>
      <c r="M670" s="75"/>
    </row>
    <row r="671" spans="3:13" ht="15.75" customHeight="1" x14ac:dyDescent="0.15">
      <c r="C671" s="44"/>
      <c r="D671" s="44"/>
      <c r="E671" s="44"/>
      <c r="J671" s="155"/>
      <c r="K671" s="155"/>
      <c r="L671" s="155"/>
      <c r="M671" s="75"/>
    </row>
    <row r="672" spans="3:13" ht="15.75" customHeight="1" x14ac:dyDescent="0.15">
      <c r="C672" s="44"/>
      <c r="D672" s="44"/>
      <c r="E672" s="44"/>
      <c r="J672" s="155"/>
      <c r="K672" s="155"/>
      <c r="L672" s="155"/>
      <c r="M672" s="75"/>
    </row>
    <row r="673" spans="3:13" ht="15.75" customHeight="1" x14ac:dyDescent="0.15">
      <c r="C673" s="44"/>
      <c r="D673" s="44"/>
      <c r="E673" s="44"/>
      <c r="J673" s="155"/>
      <c r="K673" s="155"/>
      <c r="L673" s="155"/>
      <c r="M673" s="75"/>
    </row>
    <row r="674" spans="3:13" ht="15.75" customHeight="1" x14ac:dyDescent="0.15">
      <c r="C674" s="44"/>
      <c r="D674" s="44"/>
      <c r="E674" s="44"/>
      <c r="J674" s="155"/>
      <c r="K674" s="155"/>
      <c r="L674" s="155"/>
      <c r="M674" s="75"/>
    </row>
    <row r="675" spans="3:13" ht="15.75" customHeight="1" x14ac:dyDescent="0.15">
      <c r="C675" s="44"/>
      <c r="D675" s="44"/>
      <c r="E675" s="44"/>
      <c r="J675" s="155"/>
      <c r="K675" s="155"/>
      <c r="L675" s="155"/>
      <c r="M675" s="75"/>
    </row>
    <row r="676" spans="3:13" ht="15.75" customHeight="1" x14ac:dyDescent="0.15">
      <c r="C676" s="44"/>
      <c r="D676" s="44"/>
      <c r="E676" s="44"/>
      <c r="J676" s="155"/>
      <c r="K676" s="155"/>
      <c r="L676" s="155"/>
      <c r="M676" s="75"/>
    </row>
    <row r="677" spans="3:13" ht="15.75" customHeight="1" x14ac:dyDescent="0.15">
      <c r="C677" s="44"/>
      <c r="D677" s="44"/>
      <c r="E677" s="44"/>
      <c r="J677" s="155"/>
      <c r="K677" s="155"/>
      <c r="L677" s="155"/>
      <c r="M677" s="75"/>
    </row>
    <row r="678" spans="3:13" ht="15.75" customHeight="1" x14ac:dyDescent="0.15">
      <c r="C678" s="44"/>
      <c r="D678" s="44"/>
      <c r="E678" s="44"/>
      <c r="J678" s="155"/>
      <c r="K678" s="155"/>
      <c r="L678" s="155"/>
      <c r="M678" s="75"/>
    </row>
    <row r="679" spans="3:13" ht="15.75" customHeight="1" x14ac:dyDescent="0.15">
      <c r="C679" s="44"/>
      <c r="D679" s="44"/>
      <c r="E679" s="44"/>
      <c r="J679" s="155"/>
      <c r="K679" s="155"/>
      <c r="L679" s="155"/>
      <c r="M679" s="75"/>
    </row>
    <row r="680" spans="3:13" ht="15.75" customHeight="1" x14ac:dyDescent="0.15">
      <c r="C680" s="44"/>
      <c r="D680" s="44"/>
      <c r="E680" s="44"/>
      <c r="J680" s="155"/>
      <c r="K680" s="155"/>
      <c r="L680" s="155"/>
      <c r="M680" s="75"/>
    </row>
    <row r="681" spans="3:13" ht="15.75" customHeight="1" x14ac:dyDescent="0.15">
      <c r="C681" s="44"/>
      <c r="D681" s="44"/>
      <c r="E681" s="44"/>
      <c r="J681" s="155"/>
      <c r="K681" s="155"/>
      <c r="L681" s="155"/>
      <c r="M681" s="75"/>
    </row>
    <row r="682" spans="3:13" ht="15.75" customHeight="1" x14ac:dyDescent="0.15">
      <c r="C682" s="44"/>
      <c r="D682" s="44"/>
      <c r="E682" s="44"/>
      <c r="J682" s="155"/>
      <c r="K682" s="155"/>
      <c r="L682" s="155"/>
      <c r="M682" s="75"/>
    </row>
    <row r="683" spans="3:13" ht="15.75" customHeight="1" x14ac:dyDescent="0.15">
      <c r="C683" s="44"/>
      <c r="D683" s="44"/>
      <c r="E683" s="44"/>
      <c r="J683" s="155"/>
      <c r="K683" s="155"/>
      <c r="L683" s="155"/>
      <c r="M683" s="75"/>
    </row>
    <row r="684" spans="3:13" ht="15.75" customHeight="1" x14ac:dyDescent="0.15">
      <c r="C684" s="44"/>
      <c r="D684" s="44"/>
      <c r="E684" s="44"/>
      <c r="J684" s="155"/>
      <c r="K684" s="155"/>
      <c r="L684" s="155"/>
      <c r="M684" s="75"/>
    </row>
    <row r="685" spans="3:13" ht="15.75" customHeight="1" x14ac:dyDescent="0.15">
      <c r="C685" s="44"/>
      <c r="D685" s="44"/>
      <c r="E685" s="44"/>
      <c r="J685" s="155"/>
      <c r="K685" s="155"/>
      <c r="L685" s="155"/>
      <c r="M685" s="75"/>
    </row>
    <row r="686" spans="3:13" ht="15.75" customHeight="1" x14ac:dyDescent="0.15">
      <c r="C686" s="44"/>
      <c r="D686" s="44"/>
      <c r="E686" s="44"/>
      <c r="J686" s="155"/>
      <c r="K686" s="155"/>
      <c r="L686" s="155"/>
      <c r="M686" s="75"/>
    </row>
    <row r="687" spans="3:13" ht="15.75" customHeight="1" x14ac:dyDescent="0.15">
      <c r="C687" s="44"/>
      <c r="D687" s="44"/>
      <c r="E687" s="44"/>
      <c r="J687" s="155"/>
      <c r="K687" s="155"/>
      <c r="L687" s="155"/>
      <c r="M687" s="75"/>
    </row>
    <row r="688" spans="3:13" ht="15.75" customHeight="1" x14ac:dyDescent="0.15">
      <c r="C688" s="44"/>
      <c r="D688" s="44"/>
      <c r="E688" s="44"/>
      <c r="J688" s="155"/>
      <c r="K688" s="155"/>
      <c r="L688" s="155"/>
      <c r="M688" s="75"/>
    </row>
    <row r="689" spans="3:13" ht="15.75" customHeight="1" x14ac:dyDescent="0.15">
      <c r="C689" s="44"/>
      <c r="D689" s="44"/>
      <c r="E689" s="44"/>
      <c r="J689" s="155"/>
      <c r="K689" s="155"/>
      <c r="L689" s="155"/>
      <c r="M689" s="75"/>
    </row>
    <row r="690" spans="3:13" ht="15.75" customHeight="1" x14ac:dyDescent="0.15">
      <c r="C690" s="44"/>
      <c r="D690" s="44"/>
      <c r="E690" s="44"/>
      <c r="J690" s="155"/>
      <c r="K690" s="155"/>
      <c r="L690" s="155"/>
      <c r="M690" s="75"/>
    </row>
    <row r="691" spans="3:13" ht="15.75" customHeight="1" x14ac:dyDescent="0.15">
      <c r="C691" s="44"/>
      <c r="D691" s="44"/>
      <c r="E691" s="44"/>
      <c r="J691" s="155"/>
      <c r="K691" s="155"/>
      <c r="L691" s="155"/>
      <c r="M691" s="75"/>
    </row>
    <row r="692" spans="3:13" ht="15.75" customHeight="1" x14ac:dyDescent="0.15">
      <c r="C692" s="44"/>
      <c r="D692" s="44"/>
      <c r="E692" s="44"/>
      <c r="J692" s="155"/>
      <c r="K692" s="155"/>
      <c r="L692" s="155"/>
      <c r="M692" s="75"/>
    </row>
    <row r="693" spans="3:13" ht="15.75" customHeight="1" x14ac:dyDescent="0.15">
      <c r="C693" s="44"/>
      <c r="D693" s="44"/>
      <c r="E693" s="44"/>
      <c r="J693" s="155"/>
      <c r="K693" s="155"/>
      <c r="L693" s="155"/>
      <c r="M693" s="75"/>
    </row>
    <row r="694" spans="3:13" ht="15.75" customHeight="1" x14ac:dyDescent="0.15">
      <c r="C694" s="44"/>
      <c r="D694" s="44"/>
      <c r="E694" s="44"/>
      <c r="J694" s="155"/>
      <c r="K694" s="155"/>
      <c r="L694" s="155"/>
      <c r="M694" s="75"/>
    </row>
    <row r="695" spans="3:13" ht="15.75" customHeight="1" x14ac:dyDescent="0.15">
      <c r="C695" s="44"/>
      <c r="D695" s="44"/>
      <c r="E695" s="44"/>
      <c r="J695" s="155"/>
      <c r="K695" s="155"/>
      <c r="L695" s="155"/>
      <c r="M695" s="75"/>
    </row>
    <row r="696" spans="3:13" ht="15.75" customHeight="1" x14ac:dyDescent="0.15">
      <c r="C696" s="44"/>
      <c r="D696" s="44"/>
      <c r="E696" s="44"/>
      <c r="J696" s="155"/>
      <c r="K696" s="155"/>
      <c r="L696" s="155"/>
      <c r="M696" s="75"/>
    </row>
    <row r="697" spans="3:13" ht="15.75" customHeight="1" x14ac:dyDescent="0.15">
      <c r="C697" s="44"/>
      <c r="D697" s="44"/>
      <c r="E697" s="44"/>
      <c r="J697" s="155"/>
      <c r="K697" s="155"/>
      <c r="L697" s="155"/>
      <c r="M697" s="75"/>
    </row>
    <row r="698" spans="3:13" ht="15.75" customHeight="1" x14ac:dyDescent="0.15">
      <c r="C698" s="44"/>
      <c r="D698" s="44"/>
      <c r="E698" s="44"/>
      <c r="J698" s="155"/>
      <c r="K698" s="155"/>
      <c r="L698" s="155"/>
      <c r="M698" s="75"/>
    </row>
    <row r="699" spans="3:13" ht="15.75" customHeight="1" x14ac:dyDescent="0.15">
      <c r="C699" s="44"/>
      <c r="D699" s="44"/>
      <c r="E699" s="44"/>
      <c r="J699" s="155"/>
      <c r="K699" s="155"/>
      <c r="L699" s="155"/>
      <c r="M699" s="75"/>
    </row>
    <row r="700" spans="3:13" ht="15.75" customHeight="1" x14ac:dyDescent="0.15">
      <c r="C700" s="44"/>
      <c r="D700" s="44"/>
      <c r="E700" s="44"/>
      <c r="J700" s="155"/>
      <c r="K700" s="155"/>
      <c r="L700" s="155"/>
      <c r="M700" s="75"/>
    </row>
    <row r="701" spans="3:13" ht="15.75" customHeight="1" x14ac:dyDescent="0.15">
      <c r="C701" s="44"/>
      <c r="D701" s="44"/>
      <c r="E701" s="44"/>
      <c r="J701" s="155"/>
      <c r="K701" s="155"/>
      <c r="L701" s="155"/>
      <c r="M701" s="75"/>
    </row>
    <row r="702" spans="3:13" ht="15.75" customHeight="1" x14ac:dyDescent="0.15">
      <c r="C702" s="44"/>
      <c r="D702" s="44"/>
      <c r="E702" s="44"/>
      <c r="J702" s="155"/>
      <c r="K702" s="155"/>
      <c r="L702" s="155"/>
      <c r="M702" s="75"/>
    </row>
    <row r="703" spans="3:13" ht="15.75" customHeight="1" x14ac:dyDescent="0.15">
      <c r="C703" s="44"/>
      <c r="D703" s="44"/>
      <c r="E703" s="44"/>
      <c r="J703" s="155"/>
      <c r="K703" s="155"/>
      <c r="L703" s="155"/>
      <c r="M703" s="75"/>
    </row>
    <row r="704" spans="3:13" ht="15.75" customHeight="1" x14ac:dyDescent="0.15">
      <c r="C704" s="44"/>
      <c r="D704" s="44"/>
      <c r="E704" s="44"/>
      <c r="J704" s="155"/>
      <c r="K704" s="155"/>
      <c r="L704" s="155"/>
      <c r="M704" s="75"/>
    </row>
    <row r="705" spans="3:13" ht="15.75" customHeight="1" x14ac:dyDescent="0.15">
      <c r="C705" s="44"/>
      <c r="D705" s="44"/>
      <c r="E705" s="44"/>
      <c r="J705" s="155"/>
      <c r="K705" s="155"/>
      <c r="L705" s="155"/>
      <c r="M705" s="75"/>
    </row>
    <row r="706" spans="3:13" ht="15.75" customHeight="1" x14ac:dyDescent="0.15">
      <c r="C706" s="44"/>
      <c r="D706" s="44"/>
      <c r="E706" s="44"/>
      <c r="J706" s="155"/>
      <c r="K706" s="155"/>
      <c r="L706" s="155"/>
      <c r="M706" s="75"/>
    </row>
    <row r="707" spans="3:13" ht="15.75" customHeight="1" x14ac:dyDescent="0.15">
      <c r="C707" s="44"/>
      <c r="D707" s="44"/>
      <c r="E707" s="44"/>
      <c r="J707" s="155"/>
      <c r="K707" s="155"/>
      <c r="L707" s="155"/>
      <c r="M707" s="75"/>
    </row>
    <row r="708" spans="3:13" ht="15.75" customHeight="1" x14ac:dyDescent="0.15">
      <c r="C708" s="44"/>
      <c r="D708" s="44"/>
      <c r="E708" s="44"/>
      <c r="J708" s="155"/>
      <c r="K708" s="155"/>
      <c r="L708" s="155"/>
      <c r="M708" s="75"/>
    </row>
    <row r="709" spans="3:13" ht="15.75" customHeight="1" x14ac:dyDescent="0.15">
      <c r="C709" s="44"/>
      <c r="D709" s="44"/>
      <c r="E709" s="44"/>
      <c r="J709" s="155"/>
      <c r="K709" s="155"/>
      <c r="L709" s="155"/>
      <c r="M709" s="75"/>
    </row>
    <row r="710" spans="3:13" ht="15.75" customHeight="1" x14ac:dyDescent="0.15">
      <c r="C710" s="44"/>
      <c r="D710" s="44"/>
      <c r="E710" s="44"/>
      <c r="J710" s="155"/>
      <c r="K710" s="155"/>
      <c r="L710" s="155"/>
      <c r="M710" s="75"/>
    </row>
    <row r="711" spans="3:13" ht="15.75" customHeight="1" x14ac:dyDescent="0.15">
      <c r="C711" s="44"/>
      <c r="D711" s="44"/>
      <c r="E711" s="44"/>
      <c r="J711" s="155"/>
      <c r="K711" s="155"/>
      <c r="L711" s="155"/>
      <c r="M711" s="75"/>
    </row>
    <row r="712" spans="3:13" ht="15.75" customHeight="1" x14ac:dyDescent="0.15">
      <c r="C712" s="44"/>
      <c r="D712" s="44"/>
      <c r="E712" s="44"/>
      <c r="J712" s="155"/>
      <c r="K712" s="155"/>
      <c r="L712" s="155"/>
      <c r="M712" s="75"/>
    </row>
    <row r="713" spans="3:13" ht="15.75" customHeight="1" x14ac:dyDescent="0.15">
      <c r="C713" s="44"/>
      <c r="D713" s="44"/>
      <c r="E713" s="44"/>
      <c r="J713" s="155"/>
      <c r="K713" s="155"/>
      <c r="L713" s="155"/>
      <c r="M713" s="75"/>
    </row>
    <row r="714" spans="3:13" ht="15.75" customHeight="1" x14ac:dyDescent="0.15">
      <c r="C714" s="44"/>
      <c r="D714" s="44"/>
      <c r="E714" s="44"/>
      <c r="J714" s="155"/>
      <c r="K714" s="155"/>
      <c r="L714" s="155"/>
      <c r="M714" s="75"/>
    </row>
    <row r="715" spans="3:13" ht="15.75" customHeight="1" x14ac:dyDescent="0.15">
      <c r="C715" s="44"/>
      <c r="D715" s="44"/>
      <c r="E715" s="44"/>
      <c r="J715" s="155"/>
      <c r="K715" s="155"/>
      <c r="L715" s="155"/>
      <c r="M715" s="75"/>
    </row>
    <row r="716" spans="3:13" ht="15.75" customHeight="1" x14ac:dyDescent="0.15">
      <c r="C716" s="44"/>
      <c r="D716" s="44"/>
      <c r="E716" s="44"/>
      <c r="J716" s="155"/>
      <c r="K716" s="155"/>
      <c r="L716" s="155"/>
      <c r="M716" s="75"/>
    </row>
    <row r="717" spans="3:13" ht="15.75" customHeight="1" x14ac:dyDescent="0.15">
      <c r="C717" s="44"/>
      <c r="D717" s="44"/>
      <c r="E717" s="44"/>
      <c r="J717" s="155"/>
      <c r="K717" s="155"/>
      <c r="L717" s="155"/>
      <c r="M717" s="75"/>
    </row>
    <row r="718" spans="3:13" ht="15.75" customHeight="1" x14ac:dyDescent="0.15">
      <c r="C718" s="44"/>
      <c r="D718" s="44"/>
      <c r="E718" s="44"/>
      <c r="J718" s="155"/>
      <c r="K718" s="155"/>
      <c r="L718" s="155"/>
      <c r="M718" s="75"/>
    </row>
    <row r="719" spans="3:13" ht="15.75" customHeight="1" x14ac:dyDescent="0.15">
      <c r="C719" s="44"/>
      <c r="D719" s="44"/>
      <c r="E719" s="44"/>
      <c r="J719" s="155"/>
      <c r="K719" s="155"/>
      <c r="L719" s="155"/>
      <c r="M719" s="75"/>
    </row>
    <row r="720" spans="3:13" ht="15.75" customHeight="1" x14ac:dyDescent="0.15">
      <c r="C720" s="44"/>
      <c r="D720" s="44"/>
      <c r="E720" s="44"/>
      <c r="J720" s="155"/>
      <c r="K720" s="155"/>
      <c r="L720" s="155"/>
      <c r="M720" s="75"/>
    </row>
    <row r="721" spans="3:13" ht="15.75" customHeight="1" x14ac:dyDescent="0.15">
      <c r="C721" s="44"/>
      <c r="D721" s="44"/>
      <c r="E721" s="44"/>
      <c r="J721" s="155"/>
      <c r="K721" s="155"/>
      <c r="L721" s="155"/>
      <c r="M721" s="75"/>
    </row>
    <row r="722" spans="3:13" ht="15.75" customHeight="1" x14ac:dyDescent="0.15">
      <c r="C722" s="44"/>
      <c r="D722" s="44"/>
      <c r="E722" s="44"/>
      <c r="J722" s="155"/>
      <c r="K722" s="155"/>
      <c r="L722" s="155"/>
      <c r="M722" s="75"/>
    </row>
    <row r="723" spans="3:13" ht="15.75" customHeight="1" x14ac:dyDescent="0.15">
      <c r="C723" s="44"/>
      <c r="D723" s="44"/>
      <c r="E723" s="44"/>
      <c r="J723" s="155"/>
      <c r="K723" s="155"/>
      <c r="L723" s="155"/>
      <c r="M723" s="75"/>
    </row>
    <row r="724" spans="3:13" ht="15.75" customHeight="1" x14ac:dyDescent="0.15">
      <c r="C724" s="44"/>
      <c r="D724" s="44"/>
      <c r="E724" s="44"/>
      <c r="J724" s="155"/>
      <c r="K724" s="155"/>
      <c r="L724" s="155"/>
      <c r="M724" s="75"/>
    </row>
    <row r="725" spans="3:13" ht="15.75" customHeight="1" x14ac:dyDescent="0.15">
      <c r="C725" s="44"/>
      <c r="D725" s="44"/>
      <c r="E725" s="44"/>
      <c r="J725" s="155"/>
      <c r="K725" s="155"/>
      <c r="L725" s="155"/>
      <c r="M725" s="75"/>
    </row>
    <row r="726" spans="3:13" ht="15.75" customHeight="1" x14ac:dyDescent="0.15">
      <c r="C726" s="44"/>
      <c r="D726" s="44"/>
      <c r="E726" s="44"/>
      <c r="J726" s="155"/>
      <c r="K726" s="155"/>
      <c r="L726" s="155"/>
      <c r="M726" s="75"/>
    </row>
    <row r="727" spans="3:13" ht="15.75" customHeight="1" x14ac:dyDescent="0.15">
      <c r="C727" s="44"/>
      <c r="D727" s="44"/>
      <c r="E727" s="44"/>
      <c r="J727" s="155"/>
      <c r="K727" s="155"/>
      <c r="L727" s="155"/>
      <c r="M727" s="75"/>
    </row>
    <row r="728" spans="3:13" ht="15.75" customHeight="1" x14ac:dyDescent="0.15">
      <c r="C728" s="44"/>
      <c r="D728" s="44"/>
      <c r="E728" s="44"/>
      <c r="J728" s="155"/>
      <c r="K728" s="155"/>
      <c r="L728" s="155"/>
      <c r="M728" s="75"/>
    </row>
    <row r="729" spans="3:13" ht="15.75" customHeight="1" x14ac:dyDescent="0.15">
      <c r="C729" s="44"/>
      <c r="D729" s="44"/>
      <c r="E729" s="44"/>
      <c r="J729" s="155"/>
      <c r="K729" s="155"/>
      <c r="L729" s="155"/>
      <c r="M729" s="75"/>
    </row>
    <row r="730" spans="3:13" ht="15.75" customHeight="1" x14ac:dyDescent="0.15">
      <c r="C730" s="44"/>
      <c r="D730" s="44"/>
      <c r="E730" s="44"/>
      <c r="J730" s="155"/>
      <c r="K730" s="155"/>
      <c r="L730" s="155"/>
      <c r="M730" s="75"/>
    </row>
    <row r="731" spans="3:13" ht="15.75" customHeight="1" x14ac:dyDescent="0.15">
      <c r="C731" s="44"/>
      <c r="D731" s="44"/>
      <c r="E731" s="44"/>
      <c r="J731" s="155"/>
      <c r="K731" s="155"/>
      <c r="L731" s="155"/>
      <c r="M731" s="75"/>
    </row>
    <row r="732" spans="3:13" ht="15.75" customHeight="1" x14ac:dyDescent="0.15">
      <c r="C732" s="44"/>
      <c r="D732" s="44"/>
      <c r="E732" s="44"/>
      <c r="J732" s="155"/>
      <c r="K732" s="155"/>
      <c r="L732" s="155"/>
      <c r="M732" s="75"/>
    </row>
    <row r="733" spans="3:13" ht="15.75" customHeight="1" x14ac:dyDescent="0.15">
      <c r="C733" s="44"/>
      <c r="D733" s="44"/>
      <c r="E733" s="44"/>
      <c r="J733" s="155"/>
      <c r="K733" s="155"/>
      <c r="L733" s="155"/>
      <c r="M733" s="75"/>
    </row>
    <row r="734" spans="3:13" ht="15.75" customHeight="1" x14ac:dyDescent="0.15">
      <c r="C734" s="44"/>
      <c r="D734" s="44"/>
      <c r="E734" s="44"/>
      <c r="J734" s="155"/>
      <c r="K734" s="155"/>
      <c r="L734" s="155"/>
      <c r="M734" s="75"/>
    </row>
    <row r="735" spans="3:13" ht="15.75" customHeight="1" x14ac:dyDescent="0.15">
      <c r="C735" s="44"/>
      <c r="D735" s="44"/>
      <c r="E735" s="44"/>
      <c r="J735" s="155"/>
      <c r="K735" s="155"/>
      <c r="L735" s="155"/>
      <c r="M735" s="75"/>
    </row>
    <row r="736" spans="3:13" ht="15.75" customHeight="1" x14ac:dyDescent="0.15">
      <c r="C736" s="44"/>
      <c r="D736" s="44"/>
      <c r="E736" s="44"/>
      <c r="J736" s="155"/>
      <c r="K736" s="155"/>
      <c r="L736" s="155"/>
      <c r="M736" s="75"/>
    </row>
    <row r="737" spans="3:13" ht="15.75" customHeight="1" x14ac:dyDescent="0.15">
      <c r="C737" s="44"/>
      <c r="D737" s="44"/>
      <c r="E737" s="44"/>
      <c r="J737" s="155"/>
      <c r="K737" s="155"/>
      <c r="L737" s="155"/>
      <c r="M737" s="75"/>
    </row>
    <row r="738" spans="3:13" ht="15.75" customHeight="1" x14ac:dyDescent="0.15">
      <c r="C738" s="44"/>
      <c r="D738" s="44"/>
      <c r="E738" s="44"/>
      <c r="J738" s="155"/>
      <c r="K738" s="155"/>
      <c r="L738" s="155"/>
      <c r="M738" s="75"/>
    </row>
    <row r="739" spans="3:13" ht="15.75" customHeight="1" x14ac:dyDescent="0.15">
      <c r="C739" s="44"/>
      <c r="D739" s="44"/>
      <c r="E739" s="44"/>
      <c r="J739" s="155"/>
      <c r="K739" s="155"/>
      <c r="L739" s="155"/>
      <c r="M739" s="75"/>
    </row>
    <row r="740" spans="3:13" ht="15.75" customHeight="1" x14ac:dyDescent="0.15">
      <c r="C740" s="44"/>
      <c r="D740" s="44"/>
      <c r="E740" s="44"/>
      <c r="J740" s="155"/>
      <c r="K740" s="155"/>
      <c r="L740" s="155"/>
      <c r="M740" s="75"/>
    </row>
    <row r="741" spans="3:13" ht="15.75" customHeight="1" x14ac:dyDescent="0.15">
      <c r="C741" s="44"/>
      <c r="D741" s="44"/>
      <c r="E741" s="44"/>
      <c r="J741" s="155"/>
      <c r="K741" s="155"/>
      <c r="L741" s="155"/>
      <c r="M741" s="75"/>
    </row>
    <row r="742" spans="3:13" ht="15.75" customHeight="1" x14ac:dyDescent="0.15">
      <c r="C742" s="44"/>
      <c r="D742" s="44"/>
      <c r="E742" s="44"/>
      <c r="J742" s="155"/>
      <c r="K742" s="155"/>
      <c r="L742" s="155"/>
      <c r="M742" s="75"/>
    </row>
    <row r="743" spans="3:13" ht="15.75" customHeight="1" x14ac:dyDescent="0.15">
      <c r="C743" s="44"/>
      <c r="D743" s="44"/>
      <c r="E743" s="44"/>
      <c r="J743" s="155"/>
      <c r="K743" s="155"/>
      <c r="L743" s="155"/>
      <c r="M743" s="75"/>
    </row>
    <row r="744" spans="3:13" ht="15.75" customHeight="1" x14ac:dyDescent="0.15">
      <c r="C744" s="44"/>
      <c r="D744" s="44"/>
      <c r="E744" s="44"/>
      <c r="J744" s="155"/>
      <c r="K744" s="155"/>
      <c r="L744" s="155"/>
      <c r="M744" s="75"/>
    </row>
    <row r="745" spans="3:13" ht="15.75" customHeight="1" x14ac:dyDescent="0.15">
      <c r="C745" s="44"/>
      <c r="D745" s="44"/>
      <c r="E745" s="44"/>
      <c r="J745" s="155"/>
      <c r="K745" s="155"/>
      <c r="L745" s="155"/>
      <c r="M745" s="75"/>
    </row>
    <row r="746" spans="3:13" ht="15.75" customHeight="1" x14ac:dyDescent="0.15">
      <c r="C746" s="44"/>
      <c r="D746" s="44"/>
      <c r="E746" s="44"/>
      <c r="J746" s="155"/>
      <c r="K746" s="155"/>
      <c r="L746" s="155"/>
      <c r="M746" s="75"/>
    </row>
    <row r="747" spans="3:13" ht="15.75" customHeight="1" x14ac:dyDescent="0.15">
      <c r="C747" s="44"/>
      <c r="D747" s="44"/>
      <c r="E747" s="44"/>
      <c r="J747" s="155"/>
      <c r="K747" s="155"/>
      <c r="L747" s="155"/>
      <c r="M747" s="75"/>
    </row>
    <row r="748" spans="3:13" ht="15.75" customHeight="1" x14ac:dyDescent="0.15">
      <c r="C748" s="44"/>
      <c r="D748" s="44"/>
      <c r="E748" s="44"/>
      <c r="J748" s="155"/>
      <c r="K748" s="155"/>
      <c r="L748" s="155"/>
      <c r="M748" s="75"/>
    </row>
    <row r="749" spans="3:13" ht="15.75" customHeight="1" x14ac:dyDescent="0.15">
      <c r="C749" s="44"/>
      <c r="D749" s="44"/>
      <c r="E749" s="44"/>
      <c r="J749" s="155"/>
      <c r="K749" s="155"/>
      <c r="L749" s="155"/>
      <c r="M749" s="75"/>
    </row>
    <row r="750" spans="3:13" ht="15.75" customHeight="1" x14ac:dyDescent="0.15">
      <c r="C750" s="44"/>
      <c r="D750" s="44"/>
      <c r="E750" s="44"/>
      <c r="J750" s="155"/>
      <c r="K750" s="155"/>
      <c r="L750" s="155"/>
      <c r="M750" s="75"/>
    </row>
    <row r="751" spans="3:13" ht="15.75" customHeight="1" x14ac:dyDescent="0.15">
      <c r="C751" s="44"/>
      <c r="D751" s="44"/>
      <c r="E751" s="44"/>
      <c r="J751" s="155"/>
      <c r="K751" s="155"/>
      <c r="L751" s="155"/>
      <c r="M751" s="75"/>
    </row>
    <row r="752" spans="3:13" ht="15.75" customHeight="1" x14ac:dyDescent="0.15">
      <c r="C752" s="44"/>
      <c r="D752" s="44"/>
      <c r="E752" s="44"/>
      <c r="J752" s="155"/>
      <c r="K752" s="155"/>
      <c r="L752" s="155"/>
      <c r="M752" s="75"/>
    </row>
    <row r="753" spans="3:13" ht="15.75" customHeight="1" x14ac:dyDescent="0.15">
      <c r="C753" s="44"/>
      <c r="D753" s="44"/>
      <c r="E753" s="44"/>
      <c r="J753" s="155"/>
      <c r="K753" s="155"/>
      <c r="L753" s="155"/>
      <c r="M753" s="75"/>
    </row>
    <row r="754" spans="3:13" ht="15.75" customHeight="1" x14ac:dyDescent="0.15">
      <c r="C754" s="44"/>
      <c r="D754" s="44"/>
      <c r="E754" s="44"/>
      <c r="J754" s="155"/>
      <c r="K754" s="155"/>
      <c r="L754" s="155"/>
      <c r="M754" s="75"/>
    </row>
    <row r="755" spans="3:13" ht="15.75" customHeight="1" x14ac:dyDescent="0.15">
      <c r="C755" s="44"/>
      <c r="D755" s="44"/>
      <c r="E755" s="44"/>
      <c r="J755" s="155"/>
      <c r="K755" s="155"/>
      <c r="L755" s="155"/>
      <c r="M755" s="75"/>
    </row>
    <row r="756" spans="3:13" ht="15.75" customHeight="1" x14ac:dyDescent="0.15">
      <c r="C756" s="44"/>
      <c r="D756" s="44"/>
      <c r="E756" s="44"/>
      <c r="J756" s="155"/>
      <c r="K756" s="155"/>
      <c r="L756" s="155"/>
      <c r="M756" s="75"/>
    </row>
    <row r="757" spans="3:13" ht="15.75" customHeight="1" x14ac:dyDescent="0.15">
      <c r="C757" s="44"/>
      <c r="D757" s="44"/>
      <c r="E757" s="44"/>
      <c r="J757" s="155"/>
      <c r="K757" s="155"/>
      <c r="L757" s="155"/>
      <c r="M757" s="75"/>
    </row>
    <row r="758" spans="3:13" ht="15.75" customHeight="1" x14ac:dyDescent="0.15">
      <c r="C758" s="44"/>
      <c r="D758" s="44"/>
      <c r="E758" s="44"/>
      <c r="J758" s="155"/>
      <c r="K758" s="155"/>
      <c r="L758" s="155"/>
      <c r="M758" s="75"/>
    </row>
    <row r="759" spans="3:13" ht="15.75" customHeight="1" x14ac:dyDescent="0.15">
      <c r="C759" s="44"/>
      <c r="D759" s="44"/>
      <c r="E759" s="44"/>
      <c r="J759" s="155"/>
      <c r="K759" s="155"/>
      <c r="L759" s="155"/>
      <c r="M759" s="75"/>
    </row>
    <row r="760" spans="3:13" ht="15.75" customHeight="1" x14ac:dyDescent="0.15">
      <c r="C760" s="44"/>
      <c r="D760" s="44"/>
      <c r="E760" s="44"/>
      <c r="J760" s="155"/>
      <c r="K760" s="155"/>
      <c r="L760" s="155"/>
      <c r="M760" s="75"/>
    </row>
    <row r="761" spans="3:13" ht="15.75" customHeight="1" x14ac:dyDescent="0.15">
      <c r="C761" s="44"/>
      <c r="D761" s="44"/>
      <c r="E761" s="44"/>
      <c r="J761" s="155"/>
      <c r="K761" s="155"/>
      <c r="L761" s="155"/>
      <c r="M761" s="75"/>
    </row>
    <row r="762" spans="3:13" ht="15.75" customHeight="1" x14ac:dyDescent="0.15">
      <c r="C762" s="44"/>
      <c r="D762" s="44"/>
      <c r="E762" s="44"/>
      <c r="J762" s="155"/>
      <c r="K762" s="155"/>
      <c r="L762" s="155"/>
      <c r="M762" s="75"/>
    </row>
    <row r="763" spans="3:13" ht="15.75" customHeight="1" x14ac:dyDescent="0.15">
      <c r="C763" s="44"/>
      <c r="D763" s="44"/>
      <c r="E763" s="44"/>
      <c r="J763" s="155"/>
      <c r="K763" s="155"/>
      <c r="L763" s="155"/>
      <c r="M763" s="75"/>
    </row>
    <row r="764" spans="3:13" ht="15.75" customHeight="1" x14ac:dyDescent="0.15">
      <c r="C764" s="44"/>
      <c r="D764" s="44"/>
      <c r="E764" s="44"/>
      <c r="J764" s="155"/>
      <c r="K764" s="155"/>
      <c r="L764" s="155"/>
      <c r="M764" s="75"/>
    </row>
    <row r="765" spans="3:13" ht="15.75" customHeight="1" x14ac:dyDescent="0.15">
      <c r="C765" s="44"/>
      <c r="D765" s="44"/>
      <c r="E765" s="44"/>
      <c r="J765" s="155"/>
      <c r="K765" s="155"/>
      <c r="L765" s="155"/>
      <c r="M765" s="75"/>
    </row>
    <row r="766" spans="3:13" ht="15.75" customHeight="1" x14ac:dyDescent="0.15">
      <c r="C766" s="44"/>
      <c r="D766" s="44"/>
      <c r="E766" s="44"/>
      <c r="J766" s="155"/>
      <c r="K766" s="155"/>
      <c r="L766" s="155"/>
      <c r="M766" s="75"/>
    </row>
    <row r="767" spans="3:13" ht="15.75" customHeight="1" x14ac:dyDescent="0.15">
      <c r="C767" s="44"/>
      <c r="D767" s="44"/>
      <c r="E767" s="44"/>
      <c r="J767" s="155"/>
      <c r="K767" s="155"/>
      <c r="L767" s="155"/>
      <c r="M767" s="75"/>
    </row>
    <row r="768" spans="3:13" ht="15.75" customHeight="1" x14ac:dyDescent="0.15">
      <c r="C768" s="44"/>
      <c r="D768" s="44"/>
      <c r="E768" s="44"/>
      <c r="J768" s="155"/>
      <c r="K768" s="155"/>
      <c r="L768" s="155"/>
      <c r="M768" s="75"/>
    </row>
    <row r="769" spans="3:13" ht="15.75" customHeight="1" x14ac:dyDescent="0.15">
      <c r="C769" s="44"/>
      <c r="D769" s="44"/>
      <c r="E769" s="44"/>
      <c r="J769" s="155"/>
      <c r="K769" s="155"/>
      <c r="L769" s="155"/>
      <c r="M769" s="75"/>
    </row>
    <row r="770" spans="3:13" ht="15.75" customHeight="1" x14ac:dyDescent="0.15">
      <c r="C770" s="44"/>
      <c r="D770" s="44"/>
      <c r="E770" s="44"/>
      <c r="J770" s="155"/>
      <c r="K770" s="155"/>
      <c r="L770" s="155"/>
      <c r="M770" s="75"/>
    </row>
    <row r="771" spans="3:13" ht="15.75" customHeight="1" x14ac:dyDescent="0.15">
      <c r="C771" s="44"/>
      <c r="D771" s="44"/>
      <c r="E771" s="44"/>
      <c r="J771" s="155"/>
      <c r="K771" s="155"/>
      <c r="L771" s="155"/>
      <c r="M771" s="75"/>
    </row>
    <row r="772" spans="3:13" ht="15.75" customHeight="1" x14ac:dyDescent="0.15">
      <c r="C772" s="44"/>
      <c r="D772" s="44"/>
      <c r="E772" s="44"/>
      <c r="J772" s="155"/>
      <c r="K772" s="155"/>
      <c r="L772" s="155"/>
      <c r="M772" s="75"/>
    </row>
    <row r="773" spans="3:13" ht="15.75" customHeight="1" x14ac:dyDescent="0.15">
      <c r="C773" s="44"/>
      <c r="D773" s="44"/>
      <c r="E773" s="44"/>
      <c r="J773" s="155"/>
      <c r="K773" s="155"/>
      <c r="L773" s="155"/>
      <c r="M773" s="75"/>
    </row>
    <row r="774" spans="3:13" ht="15.75" customHeight="1" x14ac:dyDescent="0.15">
      <c r="C774" s="44"/>
      <c r="D774" s="44"/>
      <c r="E774" s="44"/>
      <c r="J774" s="155"/>
      <c r="K774" s="155"/>
      <c r="L774" s="155"/>
      <c r="M774" s="75"/>
    </row>
    <row r="775" spans="3:13" ht="15.75" customHeight="1" x14ac:dyDescent="0.15">
      <c r="C775" s="44"/>
      <c r="D775" s="44"/>
      <c r="E775" s="44"/>
      <c r="J775" s="155"/>
      <c r="K775" s="155"/>
      <c r="L775" s="155"/>
      <c r="M775" s="75"/>
    </row>
    <row r="776" spans="3:13" ht="15.75" customHeight="1" x14ac:dyDescent="0.15">
      <c r="C776" s="44"/>
      <c r="D776" s="44"/>
      <c r="E776" s="44"/>
      <c r="J776" s="155"/>
      <c r="K776" s="155"/>
      <c r="L776" s="155"/>
      <c r="M776" s="75"/>
    </row>
    <row r="777" spans="3:13" ht="15.75" customHeight="1" x14ac:dyDescent="0.15">
      <c r="C777" s="44"/>
      <c r="D777" s="44"/>
      <c r="E777" s="44"/>
      <c r="J777" s="155"/>
      <c r="K777" s="155"/>
      <c r="L777" s="155"/>
      <c r="M777" s="75"/>
    </row>
    <row r="778" spans="3:13" ht="15.75" customHeight="1" x14ac:dyDescent="0.15">
      <c r="C778" s="44"/>
      <c r="D778" s="44"/>
      <c r="E778" s="44"/>
      <c r="J778" s="155"/>
      <c r="K778" s="155"/>
      <c r="L778" s="155"/>
      <c r="M778" s="75"/>
    </row>
    <row r="779" spans="3:13" ht="15.75" customHeight="1" x14ac:dyDescent="0.15">
      <c r="C779" s="44"/>
      <c r="D779" s="44"/>
      <c r="E779" s="44"/>
      <c r="J779" s="155"/>
      <c r="K779" s="155"/>
      <c r="L779" s="155"/>
      <c r="M779" s="75"/>
    </row>
    <row r="780" spans="3:13" ht="15.75" customHeight="1" x14ac:dyDescent="0.15">
      <c r="C780" s="44"/>
      <c r="D780" s="44"/>
      <c r="E780" s="44"/>
      <c r="J780" s="155"/>
      <c r="K780" s="155"/>
      <c r="L780" s="155"/>
      <c r="M780" s="75"/>
    </row>
    <row r="781" spans="3:13" ht="15.75" customHeight="1" x14ac:dyDescent="0.15">
      <c r="C781" s="44"/>
      <c r="D781" s="44"/>
      <c r="E781" s="44"/>
      <c r="J781" s="155"/>
      <c r="K781" s="155"/>
      <c r="L781" s="155"/>
      <c r="M781" s="75"/>
    </row>
    <row r="782" spans="3:13" ht="15.75" customHeight="1" x14ac:dyDescent="0.15">
      <c r="C782" s="44"/>
      <c r="D782" s="44"/>
      <c r="E782" s="44"/>
      <c r="J782" s="155"/>
      <c r="K782" s="155"/>
      <c r="L782" s="155"/>
      <c r="M782" s="75"/>
    </row>
    <row r="783" spans="3:13" ht="15.75" customHeight="1" x14ac:dyDescent="0.15">
      <c r="C783" s="44"/>
      <c r="D783" s="44"/>
      <c r="E783" s="44"/>
      <c r="J783" s="155"/>
      <c r="K783" s="155"/>
      <c r="L783" s="155"/>
      <c r="M783" s="75"/>
    </row>
    <row r="784" spans="3:13" ht="15.75" customHeight="1" x14ac:dyDescent="0.15">
      <c r="C784" s="44"/>
      <c r="D784" s="44"/>
      <c r="E784" s="44"/>
      <c r="J784" s="155"/>
      <c r="K784" s="155"/>
      <c r="L784" s="155"/>
      <c r="M784" s="75"/>
    </row>
    <row r="785" spans="3:13" ht="15.75" customHeight="1" x14ac:dyDescent="0.15">
      <c r="C785" s="44"/>
      <c r="D785" s="44"/>
      <c r="E785" s="44"/>
      <c r="J785" s="155"/>
      <c r="K785" s="155"/>
      <c r="L785" s="155"/>
      <c r="M785" s="75"/>
    </row>
    <row r="786" spans="3:13" ht="15.75" customHeight="1" x14ac:dyDescent="0.15">
      <c r="C786" s="44"/>
      <c r="D786" s="44"/>
      <c r="E786" s="44"/>
      <c r="J786" s="155"/>
      <c r="K786" s="155"/>
      <c r="L786" s="155"/>
      <c r="M786" s="75"/>
    </row>
    <row r="787" spans="3:13" ht="15.75" customHeight="1" x14ac:dyDescent="0.15">
      <c r="C787" s="44"/>
      <c r="D787" s="44"/>
      <c r="E787" s="44"/>
      <c r="J787" s="155"/>
      <c r="K787" s="155"/>
      <c r="L787" s="155"/>
      <c r="M787" s="75"/>
    </row>
    <row r="788" spans="3:13" ht="15.75" customHeight="1" x14ac:dyDescent="0.15">
      <c r="C788" s="44"/>
      <c r="D788" s="44"/>
      <c r="E788" s="44"/>
      <c r="J788" s="155"/>
      <c r="K788" s="155"/>
      <c r="L788" s="155"/>
      <c r="M788" s="75"/>
    </row>
    <row r="789" spans="3:13" ht="15.75" customHeight="1" x14ac:dyDescent="0.15">
      <c r="C789" s="44"/>
      <c r="D789" s="44"/>
      <c r="E789" s="44"/>
      <c r="J789" s="155"/>
      <c r="K789" s="155"/>
      <c r="L789" s="155"/>
      <c r="M789" s="75"/>
    </row>
    <row r="790" spans="3:13" ht="15.75" customHeight="1" x14ac:dyDescent="0.15">
      <c r="C790" s="44"/>
      <c r="D790" s="44"/>
      <c r="E790" s="44"/>
      <c r="J790" s="155"/>
      <c r="K790" s="155"/>
      <c r="L790" s="155"/>
      <c r="M790" s="75"/>
    </row>
    <row r="791" spans="3:13" ht="15.75" customHeight="1" x14ac:dyDescent="0.15">
      <c r="C791" s="44"/>
      <c r="D791" s="44"/>
      <c r="E791" s="44"/>
      <c r="J791" s="155"/>
      <c r="K791" s="155"/>
      <c r="L791" s="155"/>
      <c r="M791" s="75"/>
    </row>
    <row r="792" spans="3:13" ht="15.75" customHeight="1" x14ac:dyDescent="0.15">
      <c r="C792" s="44"/>
      <c r="D792" s="44"/>
      <c r="E792" s="44"/>
      <c r="J792" s="155"/>
      <c r="K792" s="155"/>
      <c r="L792" s="155"/>
      <c r="M792" s="75"/>
    </row>
    <row r="793" spans="3:13" ht="15.75" customHeight="1" x14ac:dyDescent="0.15">
      <c r="C793" s="44"/>
      <c r="D793" s="44"/>
      <c r="E793" s="44"/>
      <c r="J793" s="155"/>
      <c r="K793" s="155"/>
      <c r="L793" s="155"/>
      <c r="M793" s="75"/>
    </row>
    <row r="794" spans="3:13" ht="15.75" customHeight="1" x14ac:dyDescent="0.15">
      <c r="C794" s="44"/>
      <c r="D794" s="44"/>
      <c r="E794" s="44"/>
      <c r="J794" s="155"/>
      <c r="K794" s="155"/>
      <c r="L794" s="155"/>
      <c r="M794" s="75"/>
    </row>
    <row r="795" spans="3:13" ht="15.75" customHeight="1" x14ac:dyDescent="0.15">
      <c r="C795" s="44"/>
      <c r="D795" s="44"/>
      <c r="E795" s="44"/>
      <c r="J795" s="155"/>
      <c r="K795" s="155"/>
      <c r="L795" s="155"/>
      <c r="M795" s="75"/>
    </row>
    <row r="796" spans="3:13" ht="15.75" customHeight="1" x14ac:dyDescent="0.15">
      <c r="C796" s="44"/>
      <c r="D796" s="44"/>
      <c r="E796" s="44"/>
      <c r="J796" s="155"/>
      <c r="K796" s="155"/>
      <c r="L796" s="155"/>
      <c r="M796" s="75"/>
    </row>
    <row r="797" spans="3:13" ht="15.75" customHeight="1" x14ac:dyDescent="0.15">
      <c r="C797" s="44"/>
      <c r="D797" s="44"/>
      <c r="E797" s="44"/>
      <c r="J797" s="155"/>
      <c r="K797" s="155"/>
      <c r="L797" s="155"/>
      <c r="M797" s="75"/>
    </row>
    <row r="798" spans="3:13" ht="15.75" customHeight="1" x14ac:dyDescent="0.15">
      <c r="C798" s="44"/>
      <c r="D798" s="44"/>
      <c r="E798" s="44"/>
      <c r="J798" s="155"/>
      <c r="K798" s="155"/>
      <c r="L798" s="155"/>
      <c r="M798" s="75"/>
    </row>
    <row r="799" spans="3:13" ht="15.75" customHeight="1" x14ac:dyDescent="0.15">
      <c r="C799" s="44"/>
      <c r="D799" s="44"/>
      <c r="E799" s="44"/>
      <c r="J799" s="155"/>
      <c r="K799" s="155"/>
      <c r="L799" s="155"/>
      <c r="M799" s="75"/>
    </row>
    <row r="800" spans="3:13" ht="15.75" customHeight="1" x14ac:dyDescent="0.15">
      <c r="C800" s="44"/>
      <c r="D800" s="44"/>
      <c r="E800" s="44"/>
      <c r="J800" s="155"/>
      <c r="K800" s="155"/>
      <c r="L800" s="155"/>
      <c r="M800" s="75"/>
    </row>
    <row r="801" spans="3:13" ht="15.75" customHeight="1" x14ac:dyDescent="0.15">
      <c r="C801" s="44"/>
      <c r="D801" s="44"/>
      <c r="E801" s="44"/>
      <c r="J801" s="155"/>
      <c r="K801" s="155"/>
      <c r="L801" s="155"/>
      <c r="M801" s="75"/>
    </row>
    <row r="802" spans="3:13" ht="15.75" customHeight="1" x14ac:dyDescent="0.15">
      <c r="C802" s="44"/>
      <c r="D802" s="44"/>
      <c r="E802" s="44"/>
      <c r="J802" s="155"/>
      <c r="K802" s="155"/>
      <c r="L802" s="155"/>
      <c r="M802" s="75"/>
    </row>
    <row r="803" spans="3:13" ht="15.75" customHeight="1" x14ac:dyDescent="0.15">
      <c r="C803" s="44"/>
      <c r="D803" s="44"/>
      <c r="E803" s="44"/>
      <c r="J803" s="155"/>
      <c r="K803" s="155"/>
      <c r="L803" s="155"/>
      <c r="M803" s="75"/>
    </row>
    <row r="804" spans="3:13" ht="15.75" customHeight="1" x14ac:dyDescent="0.15">
      <c r="C804" s="44"/>
      <c r="D804" s="44"/>
      <c r="E804" s="44"/>
      <c r="J804" s="155"/>
      <c r="K804" s="155"/>
      <c r="L804" s="155"/>
      <c r="M804" s="75"/>
    </row>
    <row r="805" spans="3:13" ht="15.75" customHeight="1" x14ac:dyDescent="0.15">
      <c r="C805" s="44"/>
      <c r="D805" s="44"/>
      <c r="E805" s="44"/>
      <c r="J805" s="155"/>
      <c r="K805" s="155"/>
      <c r="L805" s="155"/>
      <c r="M805" s="75"/>
    </row>
    <row r="806" spans="3:13" ht="15.75" customHeight="1" x14ac:dyDescent="0.15">
      <c r="C806" s="44"/>
      <c r="D806" s="44"/>
      <c r="E806" s="44"/>
      <c r="J806" s="155"/>
      <c r="K806" s="155"/>
      <c r="L806" s="155"/>
      <c r="M806" s="75"/>
    </row>
    <row r="807" spans="3:13" ht="15.75" customHeight="1" x14ac:dyDescent="0.15">
      <c r="C807" s="44"/>
      <c r="D807" s="44"/>
      <c r="E807" s="44"/>
      <c r="J807" s="155"/>
      <c r="K807" s="155"/>
      <c r="L807" s="155"/>
      <c r="M807" s="75"/>
    </row>
    <row r="808" spans="3:13" ht="15.75" customHeight="1" x14ac:dyDescent="0.15">
      <c r="C808" s="44"/>
      <c r="D808" s="44"/>
      <c r="E808" s="44"/>
      <c r="J808" s="155"/>
      <c r="K808" s="155"/>
      <c r="L808" s="155"/>
      <c r="M808" s="75"/>
    </row>
    <row r="809" spans="3:13" ht="15.75" customHeight="1" x14ac:dyDescent="0.15">
      <c r="C809" s="44"/>
      <c r="D809" s="44"/>
      <c r="E809" s="44"/>
      <c r="J809" s="155"/>
      <c r="K809" s="155"/>
      <c r="L809" s="155"/>
      <c r="M809" s="75"/>
    </row>
    <row r="810" spans="3:13" ht="15.75" customHeight="1" x14ac:dyDescent="0.15">
      <c r="C810" s="44"/>
      <c r="D810" s="44"/>
      <c r="E810" s="44"/>
      <c r="J810" s="155"/>
      <c r="K810" s="155"/>
      <c r="L810" s="155"/>
      <c r="M810" s="75"/>
    </row>
    <row r="811" spans="3:13" ht="15.75" customHeight="1" x14ac:dyDescent="0.15">
      <c r="C811" s="44"/>
      <c r="D811" s="44"/>
      <c r="E811" s="44"/>
      <c r="J811" s="155"/>
      <c r="K811" s="155"/>
      <c r="L811" s="155"/>
      <c r="M811" s="75"/>
    </row>
    <row r="812" spans="3:13" ht="15.75" customHeight="1" x14ac:dyDescent="0.15">
      <c r="C812" s="44"/>
      <c r="D812" s="44"/>
      <c r="E812" s="44"/>
      <c r="J812" s="155"/>
      <c r="K812" s="155"/>
      <c r="L812" s="155"/>
      <c r="M812" s="75"/>
    </row>
    <row r="813" spans="3:13" ht="15.75" customHeight="1" x14ac:dyDescent="0.15">
      <c r="C813" s="44"/>
      <c r="D813" s="44"/>
      <c r="E813" s="44"/>
      <c r="J813" s="155"/>
      <c r="K813" s="155"/>
      <c r="L813" s="155"/>
      <c r="M813" s="75"/>
    </row>
    <row r="814" spans="3:13" ht="15.75" customHeight="1" x14ac:dyDescent="0.15">
      <c r="C814" s="44"/>
      <c r="D814" s="44"/>
      <c r="E814" s="44"/>
      <c r="J814" s="155"/>
      <c r="K814" s="155"/>
      <c r="L814" s="155"/>
      <c r="M814" s="75"/>
    </row>
    <row r="815" spans="3:13" ht="15.75" customHeight="1" x14ac:dyDescent="0.15">
      <c r="C815" s="44"/>
      <c r="D815" s="44"/>
      <c r="E815" s="44"/>
      <c r="J815" s="155"/>
      <c r="K815" s="155"/>
      <c r="L815" s="155"/>
      <c r="M815" s="75"/>
    </row>
    <row r="816" spans="3:13" ht="15.75" customHeight="1" x14ac:dyDescent="0.15">
      <c r="C816" s="44"/>
      <c r="D816" s="44"/>
      <c r="E816" s="44"/>
      <c r="J816" s="155"/>
      <c r="K816" s="155"/>
      <c r="L816" s="155"/>
      <c r="M816" s="75"/>
    </row>
    <row r="817" spans="3:13" ht="15.75" customHeight="1" x14ac:dyDescent="0.15">
      <c r="C817" s="44"/>
      <c r="D817" s="44"/>
      <c r="E817" s="44"/>
      <c r="J817" s="155"/>
      <c r="K817" s="155"/>
      <c r="L817" s="155"/>
      <c r="M817" s="75"/>
    </row>
    <row r="818" spans="3:13" ht="15.75" customHeight="1" x14ac:dyDescent="0.15">
      <c r="C818" s="44"/>
      <c r="D818" s="44"/>
      <c r="E818" s="44"/>
      <c r="J818" s="155"/>
      <c r="K818" s="155"/>
      <c r="L818" s="155"/>
      <c r="M818" s="75"/>
    </row>
    <row r="819" spans="3:13" ht="15.75" customHeight="1" x14ac:dyDescent="0.15">
      <c r="C819" s="44"/>
      <c r="D819" s="44"/>
      <c r="E819" s="44"/>
      <c r="J819" s="155"/>
      <c r="K819" s="155"/>
      <c r="L819" s="155"/>
      <c r="M819" s="75"/>
    </row>
    <row r="820" spans="3:13" ht="15.75" customHeight="1" x14ac:dyDescent="0.15">
      <c r="C820" s="44"/>
      <c r="D820" s="44"/>
      <c r="E820" s="44"/>
      <c r="J820" s="155"/>
      <c r="K820" s="155"/>
      <c r="L820" s="155"/>
      <c r="M820" s="75"/>
    </row>
    <row r="821" spans="3:13" ht="15.75" customHeight="1" x14ac:dyDescent="0.15">
      <c r="C821" s="44"/>
      <c r="D821" s="44"/>
      <c r="E821" s="44"/>
      <c r="J821" s="155"/>
      <c r="K821" s="155"/>
      <c r="L821" s="155"/>
      <c r="M821" s="75"/>
    </row>
    <row r="822" spans="3:13" ht="15.75" customHeight="1" x14ac:dyDescent="0.15">
      <c r="C822" s="44"/>
      <c r="D822" s="44"/>
      <c r="E822" s="44"/>
      <c r="J822" s="155"/>
      <c r="K822" s="155"/>
      <c r="L822" s="155"/>
      <c r="M822" s="75"/>
    </row>
    <row r="823" spans="3:13" ht="15.75" customHeight="1" x14ac:dyDescent="0.15">
      <c r="C823" s="44"/>
      <c r="D823" s="44"/>
      <c r="E823" s="44"/>
      <c r="J823" s="155"/>
      <c r="K823" s="155"/>
      <c r="L823" s="155"/>
      <c r="M823" s="75"/>
    </row>
    <row r="824" spans="3:13" ht="15.75" customHeight="1" x14ac:dyDescent="0.15">
      <c r="C824" s="44"/>
      <c r="D824" s="44"/>
      <c r="E824" s="44"/>
      <c r="J824" s="155"/>
      <c r="K824" s="155"/>
      <c r="L824" s="155"/>
      <c r="M824" s="75"/>
    </row>
    <row r="825" spans="3:13" ht="15.75" customHeight="1" x14ac:dyDescent="0.15">
      <c r="C825" s="44"/>
      <c r="D825" s="44"/>
      <c r="E825" s="44"/>
      <c r="J825" s="155"/>
      <c r="K825" s="155"/>
      <c r="L825" s="155"/>
      <c r="M825" s="75"/>
    </row>
    <row r="826" spans="3:13" ht="15.75" customHeight="1" x14ac:dyDescent="0.15">
      <c r="C826" s="44"/>
      <c r="D826" s="44"/>
      <c r="E826" s="44"/>
      <c r="J826" s="155"/>
      <c r="K826" s="155"/>
      <c r="L826" s="155"/>
      <c r="M826" s="75"/>
    </row>
    <row r="827" spans="3:13" ht="15.75" customHeight="1" x14ac:dyDescent="0.15">
      <c r="C827" s="44"/>
      <c r="D827" s="44"/>
      <c r="E827" s="44"/>
      <c r="J827" s="155"/>
      <c r="K827" s="155"/>
      <c r="L827" s="155"/>
      <c r="M827" s="75"/>
    </row>
    <row r="828" spans="3:13" ht="15.75" customHeight="1" x14ac:dyDescent="0.15">
      <c r="C828" s="44"/>
      <c r="D828" s="44"/>
      <c r="E828" s="44"/>
      <c r="J828" s="155"/>
      <c r="K828" s="155"/>
      <c r="L828" s="155"/>
      <c r="M828" s="75"/>
    </row>
    <row r="829" spans="3:13" ht="15.75" customHeight="1" x14ac:dyDescent="0.15">
      <c r="C829" s="44"/>
      <c r="D829" s="44"/>
      <c r="E829" s="44"/>
      <c r="J829" s="155"/>
      <c r="K829" s="155"/>
      <c r="L829" s="155"/>
      <c r="M829" s="75"/>
    </row>
    <row r="830" spans="3:13" ht="15.75" customHeight="1" x14ac:dyDescent="0.15">
      <c r="C830" s="44"/>
      <c r="D830" s="44"/>
      <c r="E830" s="44"/>
      <c r="J830" s="155"/>
      <c r="K830" s="155"/>
      <c r="L830" s="155"/>
      <c r="M830" s="75"/>
    </row>
    <row r="831" spans="3:13" ht="15.75" customHeight="1" x14ac:dyDescent="0.15">
      <c r="C831" s="44"/>
      <c r="D831" s="44"/>
      <c r="E831" s="44"/>
      <c r="J831" s="155"/>
      <c r="K831" s="155"/>
      <c r="L831" s="155"/>
      <c r="M831" s="75"/>
    </row>
    <row r="832" spans="3:13" ht="15.75" customHeight="1" x14ac:dyDescent="0.15">
      <c r="C832" s="44"/>
      <c r="D832" s="44"/>
      <c r="E832" s="44"/>
      <c r="J832" s="155"/>
      <c r="K832" s="155"/>
      <c r="L832" s="155"/>
      <c r="M832" s="75"/>
    </row>
    <row r="833" spans="3:13" ht="15.75" customHeight="1" x14ac:dyDescent="0.15">
      <c r="C833" s="44"/>
      <c r="D833" s="44"/>
      <c r="E833" s="44"/>
      <c r="J833" s="155"/>
      <c r="K833" s="155"/>
      <c r="L833" s="155"/>
      <c r="M833" s="75"/>
    </row>
    <row r="834" spans="3:13" ht="15.75" customHeight="1" x14ac:dyDescent="0.15">
      <c r="C834" s="44"/>
      <c r="D834" s="44"/>
      <c r="E834" s="44"/>
      <c r="J834" s="155"/>
      <c r="K834" s="155"/>
      <c r="L834" s="155"/>
      <c r="M834" s="75"/>
    </row>
    <row r="835" spans="3:13" ht="15.75" customHeight="1" x14ac:dyDescent="0.15">
      <c r="C835" s="44"/>
      <c r="D835" s="44"/>
      <c r="E835" s="44"/>
      <c r="J835" s="155"/>
      <c r="K835" s="155"/>
      <c r="L835" s="155"/>
      <c r="M835" s="75"/>
    </row>
    <row r="836" spans="3:13" ht="15.75" customHeight="1" x14ac:dyDescent="0.15">
      <c r="C836" s="44"/>
      <c r="D836" s="44"/>
      <c r="E836" s="44"/>
      <c r="J836" s="155"/>
      <c r="K836" s="155"/>
      <c r="L836" s="155"/>
      <c r="M836" s="75"/>
    </row>
    <row r="837" spans="3:13" ht="15.75" customHeight="1" x14ac:dyDescent="0.15">
      <c r="C837" s="44"/>
      <c r="D837" s="44"/>
      <c r="E837" s="44"/>
      <c r="J837" s="155"/>
      <c r="K837" s="155"/>
      <c r="L837" s="155"/>
      <c r="M837" s="75"/>
    </row>
    <row r="838" spans="3:13" ht="15.75" customHeight="1" x14ac:dyDescent="0.15">
      <c r="C838" s="44"/>
      <c r="D838" s="44"/>
      <c r="E838" s="44"/>
      <c r="J838" s="155"/>
      <c r="K838" s="155"/>
      <c r="L838" s="155"/>
      <c r="M838" s="75"/>
    </row>
    <row r="839" spans="3:13" ht="15.75" customHeight="1" x14ac:dyDescent="0.15">
      <c r="C839" s="44"/>
      <c r="D839" s="44"/>
      <c r="E839" s="44"/>
      <c r="J839" s="155"/>
      <c r="K839" s="155"/>
      <c r="L839" s="155"/>
      <c r="M839" s="75"/>
    </row>
    <row r="840" spans="3:13" ht="15.75" customHeight="1" x14ac:dyDescent="0.15">
      <c r="C840" s="44"/>
      <c r="D840" s="44"/>
      <c r="E840" s="44"/>
      <c r="J840" s="155"/>
      <c r="K840" s="155"/>
      <c r="L840" s="155"/>
      <c r="M840" s="75"/>
    </row>
    <row r="841" spans="3:13" ht="15.75" customHeight="1" x14ac:dyDescent="0.15">
      <c r="C841" s="44"/>
      <c r="D841" s="44"/>
      <c r="E841" s="44"/>
      <c r="J841" s="155"/>
      <c r="K841" s="155"/>
      <c r="L841" s="155"/>
      <c r="M841" s="75"/>
    </row>
    <row r="842" spans="3:13" ht="15.75" customHeight="1" x14ac:dyDescent="0.15">
      <c r="C842" s="44"/>
      <c r="D842" s="44"/>
      <c r="E842" s="44"/>
      <c r="J842" s="155"/>
      <c r="K842" s="155"/>
      <c r="L842" s="155"/>
      <c r="M842" s="75"/>
    </row>
    <row r="843" spans="3:13" ht="15.75" customHeight="1" x14ac:dyDescent="0.15">
      <c r="C843" s="44"/>
      <c r="D843" s="44"/>
      <c r="E843" s="44"/>
      <c r="J843" s="155"/>
      <c r="K843" s="155"/>
      <c r="L843" s="155"/>
      <c r="M843" s="75"/>
    </row>
    <row r="844" spans="3:13" ht="15.75" customHeight="1" x14ac:dyDescent="0.15">
      <c r="C844" s="44"/>
      <c r="D844" s="44"/>
      <c r="E844" s="44"/>
      <c r="J844" s="155"/>
      <c r="K844" s="155"/>
      <c r="L844" s="155"/>
      <c r="M844" s="75"/>
    </row>
    <row r="845" spans="3:13" ht="15.75" customHeight="1" x14ac:dyDescent="0.15">
      <c r="C845" s="44"/>
      <c r="D845" s="44"/>
      <c r="E845" s="44"/>
      <c r="J845" s="155"/>
      <c r="K845" s="155"/>
      <c r="L845" s="155"/>
      <c r="M845" s="75"/>
    </row>
    <row r="846" spans="3:13" ht="15.75" customHeight="1" x14ac:dyDescent="0.15">
      <c r="C846" s="44"/>
      <c r="D846" s="44"/>
      <c r="E846" s="44"/>
      <c r="J846" s="155"/>
      <c r="K846" s="155"/>
      <c r="L846" s="155"/>
      <c r="M846" s="75"/>
    </row>
    <row r="847" spans="3:13" ht="15.75" customHeight="1" x14ac:dyDescent="0.15">
      <c r="C847" s="44"/>
      <c r="D847" s="44"/>
      <c r="E847" s="44"/>
      <c r="J847" s="155"/>
      <c r="K847" s="155"/>
      <c r="L847" s="155"/>
      <c r="M847" s="75"/>
    </row>
    <row r="848" spans="3:13" ht="15.75" customHeight="1" x14ac:dyDescent="0.15">
      <c r="C848" s="44"/>
      <c r="D848" s="44"/>
      <c r="E848" s="44"/>
      <c r="J848" s="155"/>
      <c r="K848" s="155"/>
      <c r="L848" s="155"/>
      <c r="M848" s="75"/>
    </row>
    <row r="849" spans="3:13" ht="15.75" customHeight="1" x14ac:dyDescent="0.15">
      <c r="C849" s="44"/>
      <c r="D849" s="44"/>
      <c r="E849" s="44"/>
      <c r="J849" s="155"/>
      <c r="K849" s="155"/>
      <c r="L849" s="155"/>
      <c r="M849" s="75"/>
    </row>
    <row r="850" spans="3:13" ht="15.75" customHeight="1" x14ac:dyDescent="0.15">
      <c r="C850" s="44"/>
      <c r="D850" s="44"/>
      <c r="E850" s="44"/>
      <c r="J850" s="155"/>
      <c r="K850" s="155"/>
      <c r="L850" s="155"/>
      <c r="M850" s="75"/>
    </row>
    <row r="851" spans="3:13" ht="15.75" customHeight="1" x14ac:dyDescent="0.15">
      <c r="C851" s="44"/>
      <c r="D851" s="44"/>
      <c r="E851" s="44"/>
      <c r="J851" s="155"/>
      <c r="K851" s="155"/>
      <c r="L851" s="155"/>
      <c r="M851" s="75"/>
    </row>
    <row r="852" spans="3:13" ht="15.75" customHeight="1" x14ac:dyDescent="0.15">
      <c r="C852" s="44"/>
      <c r="D852" s="44"/>
      <c r="E852" s="44"/>
      <c r="J852" s="155"/>
      <c r="K852" s="155"/>
      <c r="L852" s="155"/>
      <c r="M852" s="75"/>
    </row>
    <row r="853" spans="3:13" ht="15.75" customHeight="1" x14ac:dyDescent="0.15">
      <c r="C853" s="44"/>
      <c r="D853" s="44"/>
      <c r="E853" s="44"/>
      <c r="J853" s="155"/>
      <c r="K853" s="155"/>
      <c r="L853" s="155"/>
      <c r="M853" s="75"/>
    </row>
    <row r="854" spans="3:13" ht="15.75" customHeight="1" x14ac:dyDescent="0.15">
      <c r="C854" s="44"/>
      <c r="D854" s="44"/>
      <c r="E854" s="44"/>
      <c r="J854" s="155"/>
      <c r="K854" s="155"/>
      <c r="L854" s="155"/>
      <c r="M854" s="75"/>
    </row>
    <row r="855" spans="3:13" ht="15.75" customHeight="1" x14ac:dyDescent="0.15">
      <c r="C855" s="44"/>
      <c r="D855" s="44"/>
      <c r="E855" s="44"/>
      <c r="J855" s="155"/>
      <c r="K855" s="155"/>
      <c r="L855" s="155"/>
      <c r="M855" s="75"/>
    </row>
    <row r="856" spans="3:13" ht="15.75" customHeight="1" x14ac:dyDescent="0.15">
      <c r="C856" s="44"/>
      <c r="D856" s="44"/>
      <c r="E856" s="44"/>
      <c r="J856" s="155"/>
      <c r="K856" s="155"/>
      <c r="L856" s="155"/>
      <c r="M856" s="75"/>
    </row>
    <row r="857" spans="3:13" ht="15.75" customHeight="1" x14ac:dyDescent="0.15">
      <c r="C857" s="44"/>
      <c r="D857" s="44"/>
      <c r="E857" s="44"/>
      <c r="J857" s="155"/>
      <c r="K857" s="155"/>
      <c r="L857" s="155"/>
      <c r="M857" s="75"/>
    </row>
    <row r="858" spans="3:13" ht="15.75" customHeight="1" x14ac:dyDescent="0.15">
      <c r="C858" s="44"/>
      <c r="D858" s="44"/>
      <c r="E858" s="44"/>
      <c r="J858" s="155"/>
      <c r="K858" s="155"/>
      <c r="L858" s="155"/>
      <c r="M858" s="75"/>
    </row>
    <row r="859" spans="3:13" ht="15.75" customHeight="1" x14ac:dyDescent="0.15">
      <c r="C859" s="44"/>
      <c r="D859" s="44"/>
      <c r="E859" s="44"/>
      <c r="J859" s="155"/>
      <c r="K859" s="155"/>
      <c r="L859" s="155"/>
      <c r="M859" s="75"/>
    </row>
    <row r="860" spans="3:13" ht="15.75" customHeight="1" x14ac:dyDescent="0.15">
      <c r="C860" s="44"/>
      <c r="D860" s="44"/>
      <c r="E860" s="44"/>
      <c r="J860" s="155"/>
      <c r="K860" s="155"/>
      <c r="L860" s="155"/>
      <c r="M860" s="75"/>
    </row>
    <row r="861" spans="3:13" ht="15.75" customHeight="1" x14ac:dyDescent="0.15">
      <c r="C861" s="44"/>
      <c r="D861" s="44"/>
      <c r="E861" s="44"/>
      <c r="J861" s="155"/>
      <c r="K861" s="155"/>
      <c r="L861" s="155"/>
      <c r="M861" s="75"/>
    </row>
    <row r="862" spans="3:13" ht="15.75" customHeight="1" x14ac:dyDescent="0.15">
      <c r="C862" s="44"/>
      <c r="D862" s="44"/>
      <c r="E862" s="44"/>
      <c r="J862" s="155"/>
      <c r="K862" s="155"/>
      <c r="L862" s="155"/>
      <c r="M862" s="75"/>
    </row>
    <row r="863" spans="3:13" ht="15.75" customHeight="1" x14ac:dyDescent="0.15">
      <c r="C863" s="44"/>
      <c r="D863" s="44"/>
      <c r="E863" s="44"/>
      <c r="J863" s="155"/>
      <c r="K863" s="155"/>
      <c r="L863" s="155"/>
      <c r="M863" s="75"/>
    </row>
    <row r="864" spans="3:13" ht="15.75" customHeight="1" x14ac:dyDescent="0.15">
      <c r="C864" s="44"/>
      <c r="D864" s="44"/>
      <c r="E864" s="44"/>
      <c r="J864" s="155"/>
      <c r="K864" s="155"/>
      <c r="L864" s="155"/>
      <c r="M864" s="75"/>
    </row>
    <row r="865" spans="3:13" ht="15.75" customHeight="1" x14ac:dyDescent="0.15">
      <c r="C865" s="44"/>
      <c r="D865" s="44"/>
      <c r="E865" s="44"/>
      <c r="J865" s="155"/>
      <c r="K865" s="155"/>
      <c r="L865" s="155"/>
      <c r="M865" s="75"/>
    </row>
    <row r="866" spans="3:13" ht="15.75" customHeight="1" x14ac:dyDescent="0.15">
      <c r="C866" s="44"/>
      <c r="D866" s="44"/>
      <c r="E866" s="44"/>
      <c r="J866" s="155"/>
      <c r="K866" s="155"/>
      <c r="L866" s="155"/>
      <c r="M866" s="75"/>
    </row>
    <row r="867" spans="3:13" ht="15.75" customHeight="1" x14ac:dyDescent="0.15">
      <c r="C867" s="44"/>
      <c r="D867" s="44"/>
      <c r="E867" s="44"/>
      <c r="J867" s="155"/>
      <c r="K867" s="155"/>
      <c r="L867" s="155"/>
      <c r="M867" s="75"/>
    </row>
    <row r="868" spans="3:13" ht="15.75" customHeight="1" x14ac:dyDescent="0.15">
      <c r="C868" s="44"/>
      <c r="D868" s="44"/>
      <c r="E868" s="44"/>
      <c r="J868" s="155"/>
      <c r="K868" s="155"/>
      <c r="L868" s="155"/>
      <c r="M868" s="75"/>
    </row>
    <row r="869" spans="3:13" ht="15.75" customHeight="1" x14ac:dyDescent="0.15">
      <c r="C869" s="44"/>
      <c r="D869" s="44"/>
      <c r="E869" s="44"/>
      <c r="J869" s="155"/>
      <c r="K869" s="155"/>
      <c r="L869" s="155"/>
      <c r="M869" s="75"/>
    </row>
    <row r="870" spans="3:13" ht="15.75" customHeight="1" x14ac:dyDescent="0.15">
      <c r="C870" s="44"/>
      <c r="D870" s="44"/>
      <c r="E870" s="44"/>
      <c r="J870" s="155"/>
      <c r="K870" s="155"/>
      <c r="L870" s="155"/>
      <c r="M870" s="75"/>
    </row>
    <row r="871" spans="3:13" ht="15.75" customHeight="1" x14ac:dyDescent="0.15">
      <c r="C871" s="44"/>
      <c r="D871" s="44"/>
      <c r="E871" s="44"/>
      <c r="J871" s="155"/>
      <c r="K871" s="155"/>
      <c r="L871" s="155"/>
      <c r="M871" s="75"/>
    </row>
    <row r="872" spans="3:13" ht="15.75" customHeight="1" x14ac:dyDescent="0.15">
      <c r="C872" s="44"/>
      <c r="D872" s="44"/>
      <c r="E872" s="44"/>
      <c r="J872" s="155"/>
      <c r="K872" s="155"/>
      <c r="L872" s="155"/>
      <c r="M872" s="75"/>
    </row>
    <row r="873" spans="3:13" ht="15.75" customHeight="1" x14ac:dyDescent="0.15">
      <c r="C873" s="44"/>
      <c r="D873" s="44"/>
      <c r="E873" s="44"/>
      <c r="J873" s="155"/>
      <c r="K873" s="155"/>
      <c r="L873" s="155"/>
      <c r="M873" s="75"/>
    </row>
    <row r="874" spans="3:13" ht="15.75" customHeight="1" x14ac:dyDescent="0.15">
      <c r="C874" s="44"/>
      <c r="D874" s="44"/>
      <c r="E874" s="44"/>
      <c r="J874" s="155"/>
      <c r="K874" s="155"/>
      <c r="L874" s="155"/>
      <c r="M874" s="75"/>
    </row>
    <row r="875" spans="3:13" ht="15.75" customHeight="1" x14ac:dyDescent="0.15">
      <c r="C875" s="44"/>
      <c r="D875" s="44"/>
      <c r="E875" s="44"/>
      <c r="J875" s="155"/>
      <c r="K875" s="155"/>
      <c r="L875" s="155"/>
      <c r="M875" s="75"/>
    </row>
    <row r="876" spans="3:13" ht="15.75" customHeight="1" x14ac:dyDescent="0.15">
      <c r="C876" s="44"/>
      <c r="D876" s="44"/>
      <c r="E876" s="44"/>
      <c r="J876" s="155"/>
      <c r="K876" s="155"/>
      <c r="L876" s="155"/>
      <c r="M876" s="75"/>
    </row>
    <row r="877" spans="3:13" ht="15.75" customHeight="1" x14ac:dyDescent="0.15">
      <c r="C877" s="44"/>
      <c r="D877" s="44"/>
      <c r="E877" s="44"/>
      <c r="J877" s="155"/>
      <c r="K877" s="155"/>
      <c r="L877" s="155"/>
      <c r="M877" s="75"/>
    </row>
    <row r="878" spans="3:13" ht="15.75" customHeight="1" x14ac:dyDescent="0.15">
      <c r="C878" s="44"/>
      <c r="D878" s="44"/>
      <c r="E878" s="44"/>
      <c r="J878" s="155"/>
      <c r="K878" s="155"/>
      <c r="L878" s="155"/>
      <c r="M878" s="75"/>
    </row>
    <row r="879" spans="3:13" ht="15.75" customHeight="1" x14ac:dyDescent="0.15">
      <c r="C879" s="44"/>
      <c r="D879" s="44"/>
      <c r="E879" s="44"/>
      <c r="J879" s="155"/>
      <c r="K879" s="155"/>
      <c r="L879" s="155"/>
      <c r="M879" s="75"/>
    </row>
    <row r="880" spans="3:13" ht="15.75" customHeight="1" x14ac:dyDescent="0.15">
      <c r="C880" s="44"/>
      <c r="D880" s="44"/>
      <c r="E880" s="44"/>
      <c r="J880" s="155"/>
      <c r="K880" s="155"/>
      <c r="L880" s="155"/>
      <c r="M880" s="75"/>
    </row>
    <row r="881" spans="3:13" ht="15.75" customHeight="1" x14ac:dyDescent="0.15">
      <c r="C881" s="44"/>
      <c r="D881" s="44"/>
      <c r="E881" s="44"/>
      <c r="J881" s="155"/>
      <c r="K881" s="155"/>
      <c r="L881" s="155"/>
      <c r="M881" s="75"/>
    </row>
    <row r="882" spans="3:13" ht="15.75" customHeight="1" x14ac:dyDescent="0.15">
      <c r="C882" s="44"/>
      <c r="D882" s="44"/>
      <c r="E882" s="44"/>
      <c r="J882" s="155"/>
      <c r="K882" s="155"/>
      <c r="L882" s="155"/>
      <c r="M882" s="75"/>
    </row>
    <row r="883" spans="3:13" ht="15.75" customHeight="1" x14ac:dyDescent="0.15">
      <c r="C883" s="44"/>
      <c r="D883" s="44"/>
      <c r="E883" s="44"/>
      <c r="J883" s="155"/>
      <c r="K883" s="155"/>
      <c r="L883" s="155"/>
      <c r="M883" s="75"/>
    </row>
    <row r="884" spans="3:13" ht="15.75" customHeight="1" x14ac:dyDescent="0.15">
      <c r="C884" s="44"/>
      <c r="D884" s="44"/>
      <c r="E884" s="44"/>
      <c r="J884" s="155"/>
      <c r="K884" s="155"/>
      <c r="L884" s="155"/>
      <c r="M884" s="75"/>
    </row>
    <row r="885" spans="3:13" ht="15.75" customHeight="1" x14ac:dyDescent="0.15">
      <c r="C885" s="44"/>
      <c r="D885" s="44"/>
      <c r="E885" s="44"/>
      <c r="J885" s="155"/>
      <c r="K885" s="155"/>
      <c r="L885" s="155"/>
      <c r="M885" s="75"/>
    </row>
    <row r="886" spans="3:13" ht="15.75" customHeight="1" x14ac:dyDescent="0.15">
      <c r="C886" s="44"/>
      <c r="D886" s="44"/>
      <c r="E886" s="44"/>
      <c r="J886" s="155"/>
      <c r="K886" s="155"/>
      <c r="L886" s="155"/>
      <c r="M886" s="75"/>
    </row>
    <row r="887" spans="3:13" ht="15.75" customHeight="1" x14ac:dyDescent="0.15">
      <c r="C887" s="44"/>
      <c r="D887" s="44"/>
      <c r="E887" s="44"/>
      <c r="J887" s="155"/>
      <c r="K887" s="155"/>
      <c r="L887" s="155"/>
      <c r="M887" s="75"/>
    </row>
    <row r="888" spans="3:13" ht="15.75" customHeight="1" x14ac:dyDescent="0.15">
      <c r="C888" s="44"/>
      <c r="D888" s="44"/>
      <c r="E888" s="44"/>
      <c r="J888" s="155"/>
      <c r="K888" s="155"/>
      <c r="L888" s="155"/>
      <c r="M888" s="75"/>
    </row>
    <row r="889" spans="3:13" ht="15.75" customHeight="1" x14ac:dyDescent="0.15">
      <c r="C889" s="44"/>
      <c r="D889" s="44"/>
      <c r="E889" s="44"/>
      <c r="J889" s="155"/>
      <c r="K889" s="155"/>
      <c r="L889" s="155"/>
      <c r="M889" s="75"/>
    </row>
    <row r="890" spans="3:13" ht="15.75" customHeight="1" x14ac:dyDescent="0.15">
      <c r="C890" s="44"/>
      <c r="D890" s="44"/>
      <c r="E890" s="44"/>
      <c r="J890" s="155"/>
      <c r="K890" s="155"/>
      <c r="L890" s="155"/>
      <c r="M890" s="75"/>
    </row>
    <row r="891" spans="3:13" ht="15.75" customHeight="1" x14ac:dyDescent="0.15">
      <c r="C891" s="44"/>
      <c r="D891" s="44"/>
      <c r="E891" s="44"/>
      <c r="J891" s="155"/>
      <c r="K891" s="155"/>
      <c r="L891" s="155"/>
      <c r="M891" s="75"/>
    </row>
    <row r="892" spans="3:13" ht="15.75" customHeight="1" x14ac:dyDescent="0.15">
      <c r="C892" s="44"/>
      <c r="D892" s="44"/>
      <c r="E892" s="44"/>
      <c r="J892" s="155"/>
      <c r="K892" s="155"/>
      <c r="L892" s="155"/>
      <c r="M892" s="75"/>
    </row>
    <row r="893" spans="3:13" ht="15.75" customHeight="1" x14ac:dyDescent="0.15">
      <c r="C893" s="44"/>
      <c r="D893" s="44"/>
      <c r="E893" s="44"/>
      <c r="J893" s="155"/>
      <c r="K893" s="155"/>
      <c r="L893" s="155"/>
      <c r="M893" s="75"/>
    </row>
    <row r="894" spans="3:13" ht="15.75" customHeight="1" x14ac:dyDescent="0.15">
      <c r="C894" s="44"/>
      <c r="D894" s="44"/>
      <c r="E894" s="44"/>
      <c r="J894" s="155"/>
      <c r="K894" s="155"/>
      <c r="L894" s="155"/>
      <c r="M894" s="75"/>
    </row>
    <row r="895" spans="3:13" ht="15.75" customHeight="1" x14ac:dyDescent="0.15">
      <c r="C895" s="44"/>
      <c r="D895" s="44"/>
      <c r="E895" s="44"/>
      <c r="J895" s="155"/>
      <c r="K895" s="155"/>
      <c r="L895" s="155"/>
      <c r="M895" s="75"/>
    </row>
    <row r="896" spans="3:13" ht="15.75" customHeight="1" x14ac:dyDescent="0.15">
      <c r="C896" s="44"/>
      <c r="D896" s="44"/>
      <c r="E896" s="44"/>
      <c r="J896" s="155"/>
      <c r="K896" s="155"/>
      <c r="L896" s="155"/>
      <c r="M896" s="75"/>
    </row>
    <row r="897" spans="3:13" ht="15.75" customHeight="1" x14ac:dyDescent="0.15">
      <c r="C897" s="44"/>
      <c r="D897" s="44"/>
      <c r="E897" s="44"/>
      <c r="J897" s="155"/>
      <c r="K897" s="155"/>
      <c r="L897" s="155"/>
      <c r="M897" s="75"/>
    </row>
    <row r="898" spans="3:13" ht="15.75" customHeight="1" x14ac:dyDescent="0.15">
      <c r="C898" s="44"/>
      <c r="D898" s="44"/>
      <c r="E898" s="44"/>
      <c r="J898" s="155"/>
      <c r="K898" s="155"/>
      <c r="L898" s="155"/>
      <c r="M898" s="75"/>
    </row>
    <row r="899" spans="3:13" ht="15.75" customHeight="1" x14ac:dyDescent="0.15">
      <c r="C899" s="44"/>
      <c r="D899" s="44"/>
      <c r="E899" s="44"/>
      <c r="J899" s="155"/>
      <c r="K899" s="155"/>
      <c r="L899" s="155"/>
      <c r="M899" s="75"/>
    </row>
    <row r="900" spans="3:13" ht="15.75" customHeight="1" x14ac:dyDescent="0.15">
      <c r="C900" s="44"/>
      <c r="D900" s="44"/>
      <c r="E900" s="44"/>
      <c r="J900" s="155"/>
      <c r="K900" s="155"/>
      <c r="L900" s="155"/>
      <c r="M900" s="75"/>
    </row>
    <row r="901" spans="3:13" ht="15.75" customHeight="1" x14ac:dyDescent="0.15">
      <c r="C901" s="44"/>
      <c r="D901" s="44"/>
      <c r="E901" s="44"/>
      <c r="J901" s="155"/>
      <c r="K901" s="155"/>
      <c r="L901" s="155"/>
      <c r="M901" s="75"/>
    </row>
    <row r="902" spans="3:13" ht="15.75" customHeight="1" x14ac:dyDescent="0.15">
      <c r="C902" s="44"/>
      <c r="D902" s="44"/>
      <c r="E902" s="44"/>
      <c r="J902" s="155"/>
      <c r="K902" s="155"/>
      <c r="L902" s="155"/>
      <c r="M902" s="75"/>
    </row>
    <row r="903" spans="3:13" ht="15.75" customHeight="1" x14ac:dyDescent="0.15">
      <c r="C903" s="44"/>
      <c r="D903" s="44"/>
      <c r="E903" s="44"/>
      <c r="J903" s="155"/>
      <c r="K903" s="155"/>
      <c r="L903" s="155"/>
      <c r="M903" s="75"/>
    </row>
    <row r="904" spans="3:13" ht="15.75" customHeight="1" x14ac:dyDescent="0.15">
      <c r="C904" s="44"/>
      <c r="D904" s="44"/>
      <c r="E904" s="44"/>
      <c r="J904" s="155"/>
      <c r="K904" s="155"/>
      <c r="L904" s="155"/>
      <c r="M904" s="75"/>
    </row>
    <row r="905" spans="3:13" ht="15.75" customHeight="1" x14ac:dyDescent="0.15">
      <c r="C905" s="44"/>
      <c r="D905" s="44"/>
      <c r="E905" s="44"/>
      <c r="J905" s="155"/>
      <c r="K905" s="155"/>
      <c r="L905" s="155"/>
      <c r="M905" s="75"/>
    </row>
    <row r="906" spans="3:13" ht="15.75" customHeight="1" x14ac:dyDescent="0.15">
      <c r="C906" s="44"/>
      <c r="D906" s="44"/>
      <c r="E906" s="44"/>
      <c r="J906" s="155"/>
      <c r="K906" s="155"/>
      <c r="L906" s="155"/>
      <c r="M906" s="75"/>
    </row>
    <row r="907" spans="3:13" ht="15.75" customHeight="1" x14ac:dyDescent="0.15">
      <c r="C907" s="44"/>
      <c r="D907" s="44"/>
      <c r="E907" s="44"/>
      <c r="J907" s="155"/>
      <c r="K907" s="155"/>
      <c r="L907" s="155"/>
      <c r="M907" s="75"/>
    </row>
    <row r="908" spans="3:13" ht="15.75" customHeight="1" x14ac:dyDescent="0.15">
      <c r="C908" s="44"/>
      <c r="D908" s="44"/>
      <c r="E908" s="44"/>
      <c r="J908" s="155"/>
      <c r="K908" s="155"/>
      <c r="L908" s="155"/>
      <c r="M908" s="75"/>
    </row>
    <row r="909" spans="3:13" ht="15.75" customHeight="1" x14ac:dyDescent="0.15">
      <c r="C909" s="44"/>
      <c r="D909" s="44"/>
      <c r="E909" s="44"/>
      <c r="J909" s="155"/>
      <c r="K909" s="155"/>
      <c r="L909" s="155"/>
      <c r="M909" s="75"/>
    </row>
    <row r="910" spans="3:13" ht="15.75" customHeight="1" x14ac:dyDescent="0.15">
      <c r="C910" s="44"/>
      <c r="D910" s="44"/>
      <c r="E910" s="44"/>
      <c r="J910" s="155"/>
      <c r="K910" s="155"/>
      <c r="L910" s="155"/>
      <c r="M910" s="75"/>
    </row>
    <row r="911" spans="3:13" ht="15.75" customHeight="1" x14ac:dyDescent="0.15">
      <c r="C911" s="44"/>
      <c r="D911" s="44"/>
      <c r="E911" s="44"/>
      <c r="J911" s="155"/>
      <c r="K911" s="155"/>
      <c r="L911" s="155"/>
      <c r="M911" s="75"/>
    </row>
    <row r="912" spans="3:13" ht="15.75" customHeight="1" x14ac:dyDescent="0.15">
      <c r="C912" s="44"/>
      <c r="D912" s="44"/>
      <c r="E912" s="44"/>
      <c r="J912" s="155"/>
      <c r="K912" s="155"/>
      <c r="L912" s="155"/>
      <c r="M912" s="75"/>
    </row>
    <row r="913" spans="3:13" ht="15.75" customHeight="1" x14ac:dyDescent="0.15">
      <c r="C913" s="44"/>
      <c r="D913" s="44"/>
      <c r="E913" s="44"/>
      <c r="J913" s="155"/>
      <c r="K913" s="155"/>
      <c r="L913" s="155"/>
      <c r="M913" s="75"/>
    </row>
    <row r="914" spans="3:13" ht="15.75" customHeight="1" x14ac:dyDescent="0.15">
      <c r="C914" s="44"/>
      <c r="D914" s="44"/>
      <c r="E914" s="44"/>
      <c r="J914" s="155"/>
      <c r="K914" s="155"/>
      <c r="L914" s="155"/>
      <c r="M914" s="75"/>
    </row>
    <row r="915" spans="3:13" ht="15.75" customHeight="1" x14ac:dyDescent="0.15">
      <c r="C915" s="44"/>
      <c r="D915" s="44"/>
      <c r="E915" s="44"/>
      <c r="J915" s="155"/>
      <c r="K915" s="155"/>
      <c r="L915" s="155"/>
      <c r="M915" s="75"/>
    </row>
    <row r="916" spans="3:13" ht="15.75" customHeight="1" x14ac:dyDescent="0.15">
      <c r="C916" s="44"/>
      <c r="D916" s="44"/>
      <c r="E916" s="44"/>
      <c r="J916" s="155"/>
      <c r="K916" s="155"/>
      <c r="L916" s="155"/>
      <c r="M916" s="75"/>
    </row>
    <row r="917" spans="3:13" ht="15.75" customHeight="1" x14ac:dyDescent="0.15">
      <c r="C917" s="44"/>
      <c r="D917" s="44"/>
      <c r="E917" s="44"/>
      <c r="J917" s="155"/>
      <c r="K917" s="155"/>
      <c r="L917" s="155"/>
      <c r="M917" s="75"/>
    </row>
    <row r="918" spans="3:13" ht="15.75" customHeight="1" x14ac:dyDescent="0.15">
      <c r="C918" s="44"/>
      <c r="D918" s="44"/>
      <c r="E918" s="44"/>
      <c r="J918" s="155"/>
      <c r="K918" s="155"/>
      <c r="L918" s="155"/>
      <c r="M918" s="75"/>
    </row>
    <row r="919" spans="3:13" ht="15.75" customHeight="1" x14ac:dyDescent="0.15">
      <c r="C919" s="44"/>
      <c r="D919" s="44"/>
      <c r="E919" s="44"/>
      <c r="J919" s="155"/>
      <c r="K919" s="155"/>
      <c r="L919" s="155"/>
      <c r="M919" s="75"/>
    </row>
    <row r="920" spans="3:13" ht="15.75" customHeight="1" x14ac:dyDescent="0.15">
      <c r="C920" s="44"/>
      <c r="D920" s="44"/>
      <c r="E920" s="44"/>
      <c r="J920" s="155"/>
      <c r="K920" s="155"/>
      <c r="L920" s="155"/>
      <c r="M920" s="75"/>
    </row>
    <row r="921" spans="3:13" ht="15.75" customHeight="1" x14ac:dyDescent="0.15">
      <c r="C921" s="44"/>
      <c r="D921" s="44"/>
      <c r="E921" s="44"/>
      <c r="J921" s="155"/>
      <c r="K921" s="155"/>
      <c r="L921" s="155"/>
      <c r="M921" s="75"/>
    </row>
    <row r="922" spans="3:13" ht="15.75" customHeight="1" x14ac:dyDescent="0.15">
      <c r="C922" s="44"/>
      <c r="D922" s="44"/>
      <c r="E922" s="44"/>
      <c r="J922" s="155"/>
      <c r="K922" s="155"/>
      <c r="L922" s="155"/>
      <c r="M922" s="75"/>
    </row>
    <row r="923" spans="3:13" ht="15.75" customHeight="1" x14ac:dyDescent="0.15">
      <c r="C923" s="44"/>
      <c r="D923" s="44"/>
      <c r="E923" s="44"/>
      <c r="J923" s="155"/>
      <c r="K923" s="155"/>
      <c r="L923" s="155"/>
      <c r="M923" s="75"/>
    </row>
    <row r="924" spans="3:13" ht="15.75" customHeight="1" x14ac:dyDescent="0.15">
      <c r="C924" s="44"/>
      <c r="D924" s="44"/>
      <c r="E924" s="44"/>
      <c r="J924" s="155"/>
      <c r="K924" s="155"/>
      <c r="L924" s="155"/>
      <c r="M924" s="75"/>
    </row>
    <row r="925" spans="3:13" ht="15.75" customHeight="1" x14ac:dyDescent="0.15">
      <c r="C925" s="44"/>
      <c r="D925" s="44"/>
      <c r="E925" s="44"/>
      <c r="J925" s="155"/>
      <c r="K925" s="155"/>
      <c r="L925" s="155"/>
      <c r="M925" s="75"/>
    </row>
    <row r="926" spans="3:13" ht="15.75" customHeight="1" x14ac:dyDescent="0.15">
      <c r="C926" s="44"/>
      <c r="D926" s="44"/>
      <c r="E926" s="44"/>
      <c r="J926" s="155"/>
      <c r="K926" s="155"/>
      <c r="L926" s="155"/>
      <c r="M926" s="75"/>
    </row>
    <row r="927" spans="3:13" ht="15.75" customHeight="1" x14ac:dyDescent="0.15">
      <c r="C927" s="44"/>
      <c r="D927" s="44"/>
      <c r="E927" s="44"/>
      <c r="J927" s="155"/>
      <c r="K927" s="155"/>
      <c r="L927" s="155"/>
      <c r="M927" s="75"/>
    </row>
    <row r="928" spans="3:13" ht="15.75" customHeight="1" x14ac:dyDescent="0.15">
      <c r="C928" s="44"/>
      <c r="D928" s="44"/>
      <c r="E928" s="44"/>
      <c r="J928" s="155"/>
      <c r="K928" s="155"/>
      <c r="L928" s="155"/>
      <c r="M928" s="75"/>
    </row>
    <row r="929" spans="3:13" ht="15.75" customHeight="1" x14ac:dyDescent="0.15">
      <c r="C929" s="44"/>
      <c r="D929" s="44"/>
      <c r="E929" s="44"/>
      <c r="J929" s="155"/>
      <c r="K929" s="155"/>
      <c r="L929" s="155"/>
      <c r="M929" s="75"/>
    </row>
    <row r="930" spans="3:13" ht="15.75" customHeight="1" x14ac:dyDescent="0.15">
      <c r="C930" s="44"/>
      <c r="D930" s="44"/>
      <c r="E930" s="44"/>
      <c r="J930" s="155"/>
      <c r="K930" s="155"/>
      <c r="L930" s="155"/>
      <c r="M930" s="75"/>
    </row>
    <row r="931" spans="3:13" ht="15.75" customHeight="1" x14ac:dyDescent="0.15">
      <c r="C931" s="44"/>
      <c r="D931" s="44"/>
      <c r="E931" s="44"/>
      <c r="J931" s="155"/>
      <c r="K931" s="155"/>
      <c r="L931" s="155"/>
      <c r="M931" s="75"/>
    </row>
    <row r="932" spans="3:13" ht="15.75" customHeight="1" x14ac:dyDescent="0.15">
      <c r="C932" s="44"/>
      <c r="D932" s="44"/>
      <c r="E932" s="44"/>
      <c r="J932" s="155"/>
      <c r="K932" s="155"/>
      <c r="L932" s="155"/>
      <c r="M932" s="75"/>
    </row>
    <row r="933" spans="3:13" ht="15.75" customHeight="1" x14ac:dyDescent="0.15">
      <c r="C933" s="44"/>
      <c r="D933" s="44"/>
      <c r="E933" s="44"/>
      <c r="J933" s="155"/>
      <c r="K933" s="155"/>
      <c r="L933" s="155"/>
      <c r="M933" s="75"/>
    </row>
    <row r="934" spans="3:13" ht="15.75" customHeight="1" x14ac:dyDescent="0.15">
      <c r="C934" s="44"/>
      <c r="D934" s="44"/>
      <c r="E934" s="44"/>
      <c r="J934" s="155"/>
      <c r="K934" s="155"/>
      <c r="L934" s="155"/>
      <c r="M934" s="75"/>
    </row>
    <row r="935" spans="3:13" ht="15.75" customHeight="1" x14ac:dyDescent="0.15">
      <c r="C935" s="44"/>
      <c r="D935" s="44"/>
      <c r="E935" s="44"/>
      <c r="J935" s="155"/>
      <c r="K935" s="155"/>
      <c r="L935" s="155"/>
      <c r="M935" s="75"/>
    </row>
    <row r="936" spans="3:13" ht="15.75" customHeight="1" x14ac:dyDescent="0.15">
      <c r="C936" s="44"/>
      <c r="D936" s="44"/>
      <c r="E936" s="44"/>
      <c r="J936" s="155"/>
      <c r="K936" s="155"/>
      <c r="L936" s="155"/>
      <c r="M936" s="75"/>
    </row>
    <row r="937" spans="3:13" ht="15.75" customHeight="1" x14ac:dyDescent="0.15">
      <c r="C937" s="44"/>
      <c r="D937" s="44"/>
      <c r="E937" s="44"/>
      <c r="J937" s="155"/>
      <c r="K937" s="155"/>
      <c r="L937" s="155"/>
      <c r="M937" s="75"/>
    </row>
    <row r="938" spans="3:13" ht="15.75" customHeight="1" x14ac:dyDescent="0.15">
      <c r="C938" s="44"/>
      <c r="D938" s="44"/>
      <c r="E938" s="44"/>
      <c r="J938" s="155"/>
      <c r="K938" s="155"/>
      <c r="L938" s="155"/>
      <c r="M938" s="75"/>
    </row>
    <row r="939" spans="3:13" ht="15.75" customHeight="1" x14ac:dyDescent="0.15">
      <c r="C939" s="44"/>
      <c r="D939" s="44"/>
      <c r="E939" s="44"/>
      <c r="J939" s="155"/>
      <c r="K939" s="155"/>
      <c r="L939" s="155"/>
      <c r="M939" s="75"/>
    </row>
    <row r="940" spans="3:13" ht="15.75" customHeight="1" x14ac:dyDescent="0.15">
      <c r="C940" s="44"/>
      <c r="D940" s="44"/>
      <c r="E940" s="44"/>
      <c r="J940" s="155"/>
      <c r="K940" s="155"/>
      <c r="L940" s="155"/>
      <c r="M940" s="75"/>
    </row>
    <row r="941" spans="3:13" ht="15.75" customHeight="1" x14ac:dyDescent="0.15">
      <c r="C941" s="44"/>
      <c r="D941" s="44"/>
      <c r="E941" s="44"/>
      <c r="J941" s="155"/>
      <c r="K941" s="155"/>
      <c r="L941" s="155"/>
      <c r="M941" s="75"/>
    </row>
    <row r="942" spans="3:13" ht="15.75" customHeight="1" x14ac:dyDescent="0.15">
      <c r="C942" s="44"/>
      <c r="D942" s="44"/>
      <c r="E942" s="44"/>
      <c r="J942" s="155"/>
      <c r="K942" s="155"/>
      <c r="L942" s="155"/>
      <c r="M942" s="75"/>
    </row>
    <row r="943" spans="3:13" ht="15.75" customHeight="1" x14ac:dyDescent="0.15">
      <c r="C943" s="44"/>
      <c r="D943" s="44"/>
      <c r="E943" s="44"/>
      <c r="J943" s="155"/>
      <c r="K943" s="155"/>
      <c r="L943" s="155"/>
      <c r="M943" s="75"/>
    </row>
    <row r="944" spans="3:13" ht="15.75" customHeight="1" x14ac:dyDescent="0.15">
      <c r="C944" s="44"/>
      <c r="D944" s="44"/>
      <c r="E944" s="44"/>
      <c r="J944" s="155"/>
      <c r="K944" s="155"/>
      <c r="L944" s="155"/>
      <c r="M944" s="75"/>
    </row>
    <row r="945" spans="3:13" ht="15.75" customHeight="1" x14ac:dyDescent="0.15">
      <c r="C945" s="44"/>
      <c r="D945" s="44"/>
      <c r="E945" s="44"/>
      <c r="J945" s="155"/>
      <c r="K945" s="155"/>
      <c r="L945" s="155"/>
      <c r="M945" s="75"/>
    </row>
    <row r="946" spans="3:13" ht="15.75" customHeight="1" x14ac:dyDescent="0.15">
      <c r="C946" s="44"/>
      <c r="D946" s="44"/>
      <c r="E946" s="44"/>
      <c r="J946" s="155"/>
      <c r="K946" s="155"/>
      <c r="L946" s="155"/>
      <c r="M946" s="75"/>
    </row>
    <row r="947" spans="3:13" ht="15.75" customHeight="1" x14ac:dyDescent="0.15">
      <c r="C947" s="44"/>
      <c r="D947" s="44"/>
      <c r="E947" s="44"/>
      <c r="J947" s="155"/>
      <c r="K947" s="155"/>
      <c r="L947" s="155"/>
      <c r="M947" s="75"/>
    </row>
    <row r="948" spans="3:13" ht="15.75" customHeight="1" x14ac:dyDescent="0.15">
      <c r="C948" s="44"/>
      <c r="D948" s="44"/>
      <c r="E948" s="44"/>
      <c r="J948" s="155"/>
      <c r="K948" s="155"/>
      <c r="L948" s="155"/>
      <c r="M948" s="75"/>
    </row>
    <row r="949" spans="3:13" ht="15.75" customHeight="1" x14ac:dyDescent="0.15">
      <c r="C949" s="44"/>
      <c r="D949" s="44"/>
      <c r="E949" s="44"/>
      <c r="J949" s="155"/>
      <c r="K949" s="155"/>
      <c r="L949" s="155"/>
      <c r="M949" s="75"/>
    </row>
    <row r="950" spans="3:13" ht="15.75" customHeight="1" x14ac:dyDescent="0.15">
      <c r="C950" s="44"/>
      <c r="D950" s="44"/>
      <c r="E950" s="44"/>
      <c r="J950" s="155"/>
      <c r="K950" s="155"/>
      <c r="L950" s="155"/>
      <c r="M950" s="75"/>
    </row>
    <row r="951" spans="3:13" ht="15.75" customHeight="1" x14ac:dyDescent="0.15">
      <c r="C951" s="44"/>
      <c r="D951" s="44"/>
      <c r="E951" s="44"/>
      <c r="J951" s="155"/>
      <c r="K951" s="155"/>
      <c r="L951" s="155"/>
      <c r="M951" s="75"/>
    </row>
    <row r="952" spans="3:13" ht="15.75" customHeight="1" x14ac:dyDescent="0.15">
      <c r="C952" s="44"/>
      <c r="D952" s="44"/>
      <c r="E952" s="44"/>
      <c r="J952" s="155"/>
      <c r="K952" s="155"/>
      <c r="L952" s="155"/>
      <c r="M952" s="75"/>
    </row>
    <row r="953" spans="3:13" ht="15.75" customHeight="1" x14ac:dyDescent="0.15">
      <c r="C953" s="44"/>
      <c r="D953" s="44"/>
      <c r="E953" s="44"/>
      <c r="J953" s="155"/>
      <c r="K953" s="155"/>
      <c r="L953" s="155"/>
      <c r="M953" s="75"/>
    </row>
    <row r="954" spans="3:13" ht="15.75" customHeight="1" x14ac:dyDescent="0.15">
      <c r="C954" s="44"/>
      <c r="D954" s="44"/>
      <c r="E954" s="44"/>
      <c r="J954" s="155"/>
      <c r="K954" s="155"/>
      <c r="L954" s="155"/>
      <c r="M954" s="75"/>
    </row>
    <row r="955" spans="3:13" ht="15.75" customHeight="1" x14ac:dyDescent="0.15">
      <c r="C955" s="44"/>
      <c r="D955" s="44"/>
      <c r="E955" s="44"/>
      <c r="J955" s="155"/>
      <c r="K955" s="155"/>
      <c r="L955" s="155"/>
      <c r="M955" s="75"/>
    </row>
    <row r="956" spans="3:13" ht="15.75" customHeight="1" x14ac:dyDescent="0.15">
      <c r="C956" s="44"/>
      <c r="D956" s="44"/>
      <c r="E956" s="44"/>
      <c r="J956" s="155"/>
      <c r="K956" s="155"/>
      <c r="L956" s="155"/>
      <c r="M956" s="75"/>
    </row>
    <row r="957" spans="3:13" ht="15.75" customHeight="1" x14ac:dyDescent="0.15">
      <c r="C957" s="44"/>
      <c r="D957" s="44"/>
      <c r="E957" s="44"/>
      <c r="J957" s="155"/>
      <c r="K957" s="155"/>
      <c r="L957" s="155"/>
      <c r="M957" s="75"/>
    </row>
    <row r="958" spans="3:13" ht="15.75" customHeight="1" x14ac:dyDescent="0.15">
      <c r="C958" s="44"/>
      <c r="D958" s="44"/>
      <c r="E958" s="44"/>
      <c r="J958" s="155"/>
      <c r="K958" s="155"/>
      <c r="L958" s="155"/>
      <c r="M958" s="75"/>
    </row>
    <row r="959" spans="3:13" ht="15.75" customHeight="1" x14ac:dyDescent="0.15">
      <c r="C959" s="44"/>
      <c r="D959" s="44"/>
      <c r="E959" s="44"/>
      <c r="J959" s="155"/>
      <c r="K959" s="155"/>
      <c r="L959" s="155"/>
      <c r="M959" s="75"/>
    </row>
    <row r="960" spans="3:13" ht="15.75" customHeight="1" x14ac:dyDescent="0.15">
      <c r="C960" s="44"/>
      <c r="D960" s="44"/>
      <c r="E960" s="44"/>
      <c r="J960" s="155"/>
      <c r="K960" s="155"/>
      <c r="L960" s="155"/>
      <c r="M960" s="75"/>
    </row>
    <row r="961" spans="3:13" ht="15.75" customHeight="1" x14ac:dyDescent="0.15">
      <c r="C961" s="44"/>
      <c r="D961" s="44"/>
      <c r="E961" s="44"/>
      <c r="J961" s="155"/>
      <c r="K961" s="155"/>
      <c r="L961" s="155"/>
      <c r="M961" s="75"/>
    </row>
    <row r="962" spans="3:13" ht="15.75" customHeight="1" x14ac:dyDescent="0.15">
      <c r="C962" s="44"/>
      <c r="D962" s="44"/>
      <c r="E962" s="44"/>
      <c r="J962" s="155"/>
      <c r="K962" s="155"/>
      <c r="L962" s="155"/>
      <c r="M962" s="75"/>
    </row>
    <row r="963" spans="3:13" ht="15.75" customHeight="1" x14ac:dyDescent="0.15">
      <c r="C963" s="44"/>
      <c r="D963" s="44"/>
      <c r="E963" s="44"/>
      <c r="J963" s="155"/>
      <c r="K963" s="155"/>
      <c r="L963" s="155"/>
      <c r="M963" s="75"/>
    </row>
    <row r="964" spans="3:13" ht="15.75" customHeight="1" x14ac:dyDescent="0.15">
      <c r="C964" s="44"/>
      <c r="D964" s="44"/>
      <c r="E964" s="44"/>
      <c r="J964" s="155"/>
      <c r="K964" s="155"/>
      <c r="L964" s="155"/>
      <c r="M964" s="75"/>
    </row>
    <row r="965" spans="3:13" ht="15.75" customHeight="1" x14ac:dyDescent="0.15">
      <c r="C965" s="44"/>
      <c r="D965" s="44"/>
      <c r="E965" s="44"/>
      <c r="J965" s="155"/>
      <c r="K965" s="155"/>
      <c r="L965" s="155"/>
      <c r="M965" s="75"/>
    </row>
    <row r="966" spans="3:13" ht="15.75" customHeight="1" x14ac:dyDescent="0.15">
      <c r="C966" s="44"/>
      <c r="D966" s="44"/>
      <c r="E966" s="44"/>
      <c r="J966" s="155"/>
      <c r="K966" s="155"/>
      <c r="L966" s="155"/>
      <c r="M966" s="75"/>
    </row>
    <row r="967" spans="3:13" ht="15.75" customHeight="1" x14ac:dyDescent="0.15">
      <c r="C967" s="44"/>
      <c r="D967" s="44"/>
      <c r="E967" s="44"/>
      <c r="J967" s="155"/>
      <c r="K967" s="155"/>
      <c r="L967" s="155"/>
      <c r="M967" s="75"/>
    </row>
    <row r="968" spans="3:13" ht="15.75" customHeight="1" x14ac:dyDescent="0.15">
      <c r="C968" s="44"/>
      <c r="D968" s="44"/>
      <c r="E968" s="44"/>
      <c r="J968" s="155"/>
      <c r="K968" s="155"/>
      <c r="L968" s="155"/>
      <c r="M968" s="75"/>
    </row>
    <row r="969" spans="3:13" ht="15.75" customHeight="1" x14ac:dyDescent="0.15">
      <c r="C969" s="44"/>
      <c r="D969" s="44"/>
      <c r="E969" s="44"/>
      <c r="J969" s="155"/>
      <c r="K969" s="155"/>
      <c r="L969" s="155"/>
      <c r="M969" s="75"/>
    </row>
    <row r="970" spans="3:13" ht="15.75" customHeight="1" x14ac:dyDescent="0.15">
      <c r="C970" s="44"/>
      <c r="D970" s="44"/>
      <c r="E970" s="44"/>
      <c r="J970" s="155"/>
      <c r="K970" s="155"/>
      <c r="L970" s="155"/>
      <c r="M970" s="75"/>
    </row>
    <row r="971" spans="3:13" ht="15.75" customHeight="1" x14ac:dyDescent="0.15">
      <c r="C971" s="44"/>
      <c r="D971" s="44"/>
      <c r="E971" s="44"/>
      <c r="J971" s="155"/>
      <c r="K971" s="155"/>
      <c r="L971" s="155"/>
      <c r="M971" s="75"/>
    </row>
    <row r="972" spans="3:13" ht="15.75" customHeight="1" x14ac:dyDescent="0.15">
      <c r="C972" s="44"/>
      <c r="D972" s="44"/>
      <c r="E972" s="44"/>
      <c r="J972" s="155"/>
      <c r="K972" s="155"/>
      <c r="L972" s="155"/>
      <c r="M972" s="75"/>
    </row>
    <row r="973" spans="3:13" ht="15.75" customHeight="1" x14ac:dyDescent="0.15">
      <c r="C973" s="44"/>
      <c r="D973" s="44"/>
      <c r="E973" s="44"/>
      <c r="J973" s="155"/>
      <c r="K973" s="155"/>
      <c r="L973" s="155"/>
      <c r="M973" s="75"/>
    </row>
    <row r="974" spans="3:13" ht="15.75" customHeight="1" x14ac:dyDescent="0.15">
      <c r="C974" s="44"/>
      <c r="D974" s="44"/>
      <c r="E974" s="44"/>
      <c r="J974" s="155"/>
      <c r="K974" s="155"/>
      <c r="L974" s="155"/>
      <c r="M974" s="75"/>
    </row>
    <row r="975" spans="3:13" ht="15.75" customHeight="1" x14ac:dyDescent="0.15">
      <c r="C975" s="44"/>
      <c r="D975" s="44"/>
      <c r="E975" s="44"/>
      <c r="J975" s="155"/>
      <c r="K975" s="155"/>
      <c r="L975" s="155"/>
      <c r="M975" s="75"/>
    </row>
    <row r="976" spans="3:13" ht="15.75" customHeight="1" x14ac:dyDescent="0.15">
      <c r="C976" s="44"/>
      <c r="D976" s="44"/>
      <c r="E976" s="44"/>
      <c r="J976" s="155"/>
      <c r="K976" s="155"/>
      <c r="L976" s="155"/>
      <c r="M976" s="75"/>
    </row>
    <row r="977" spans="3:13" ht="15.75" customHeight="1" x14ac:dyDescent="0.15">
      <c r="C977" s="44"/>
      <c r="D977" s="44"/>
      <c r="E977" s="44"/>
      <c r="J977" s="155"/>
      <c r="K977" s="155"/>
      <c r="L977" s="155"/>
      <c r="M977" s="75"/>
    </row>
    <row r="978" spans="3:13" ht="15.75" customHeight="1" x14ac:dyDescent="0.15">
      <c r="C978" s="44"/>
      <c r="D978" s="44"/>
      <c r="E978" s="44"/>
      <c r="J978" s="155"/>
      <c r="K978" s="155"/>
      <c r="L978" s="155"/>
      <c r="M978" s="75"/>
    </row>
    <row r="979" spans="3:13" ht="15.75" customHeight="1" x14ac:dyDescent="0.15">
      <c r="C979" s="44"/>
      <c r="D979" s="44"/>
      <c r="E979" s="44"/>
      <c r="J979" s="155"/>
      <c r="K979" s="155"/>
      <c r="L979" s="155"/>
      <c r="M979" s="75"/>
    </row>
    <row r="980" spans="3:13" ht="15.75" customHeight="1" x14ac:dyDescent="0.15">
      <c r="C980" s="44"/>
      <c r="D980" s="44"/>
      <c r="E980" s="44"/>
      <c r="J980" s="155"/>
      <c r="K980" s="155"/>
      <c r="L980" s="155"/>
      <c r="M980" s="75"/>
    </row>
    <row r="981" spans="3:13" ht="15.75" customHeight="1" x14ac:dyDescent="0.15">
      <c r="C981" s="44"/>
      <c r="D981" s="44"/>
      <c r="E981" s="44"/>
      <c r="J981" s="155"/>
      <c r="K981" s="155"/>
      <c r="L981" s="155"/>
      <c r="M981" s="75"/>
    </row>
    <row r="982" spans="3:13" ht="15.75" customHeight="1" x14ac:dyDescent="0.15">
      <c r="C982" s="44"/>
      <c r="D982" s="44"/>
      <c r="E982" s="44"/>
      <c r="J982" s="155"/>
      <c r="K982" s="155"/>
      <c r="L982" s="155"/>
      <c r="M982" s="75"/>
    </row>
    <row r="983" spans="3:13" ht="15.75" customHeight="1" x14ac:dyDescent="0.15">
      <c r="C983" s="44"/>
      <c r="D983" s="44"/>
      <c r="E983" s="44"/>
      <c r="J983" s="155"/>
      <c r="K983" s="155"/>
      <c r="L983" s="155"/>
      <c r="M983" s="75"/>
    </row>
    <row r="984" spans="3:13" ht="15.75" customHeight="1" x14ac:dyDescent="0.15">
      <c r="C984" s="44"/>
      <c r="D984" s="44"/>
      <c r="E984" s="44"/>
      <c r="J984" s="155"/>
      <c r="K984" s="155"/>
      <c r="L984" s="155"/>
      <c r="M984" s="75"/>
    </row>
    <row r="985" spans="3:13" ht="15.75" customHeight="1" x14ac:dyDescent="0.15">
      <c r="C985" s="44"/>
      <c r="D985" s="44"/>
      <c r="E985" s="44"/>
      <c r="J985" s="155"/>
      <c r="K985" s="155"/>
      <c r="L985" s="155"/>
      <c r="M985" s="75"/>
    </row>
    <row r="986" spans="3:13" ht="15.75" customHeight="1" x14ac:dyDescent="0.15">
      <c r="C986" s="44"/>
      <c r="D986" s="44"/>
      <c r="E986" s="44"/>
      <c r="J986" s="155"/>
      <c r="K986" s="155"/>
      <c r="L986" s="155"/>
      <c r="M986" s="75"/>
    </row>
    <row r="987" spans="3:13" ht="15.75" customHeight="1" x14ac:dyDescent="0.15">
      <c r="C987" s="44"/>
      <c r="D987" s="44"/>
      <c r="E987" s="44"/>
      <c r="J987" s="155"/>
      <c r="K987" s="155"/>
      <c r="L987" s="155"/>
      <c r="M987" s="75"/>
    </row>
    <row r="988" spans="3:13" ht="15.75" customHeight="1" x14ac:dyDescent="0.15">
      <c r="C988" s="44"/>
      <c r="D988" s="44"/>
      <c r="E988" s="44"/>
      <c r="J988" s="155"/>
      <c r="K988" s="155"/>
      <c r="L988" s="155"/>
      <c r="M988" s="75"/>
    </row>
    <row r="989" spans="3:13" ht="15.75" customHeight="1" x14ac:dyDescent="0.15">
      <c r="C989" s="44"/>
      <c r="D989" s="44"/>
      <c r="E989" s="44"/>
      <c r="J989" s="155"/>
      <c r="K989" s="155"/>
      <c r="L989" s="155"/>
      <c r="M989" s="75"/>
    </row>
    <row r="990" spans="3:13" ht="15.75" customHeight="1" x14ac:dyDescent="0.15">
      <c r="C990" s="44"/>
      <c r="D990" s="44"/>
      <c r="E990" s="44"/>
      <c r="J990" s="155"/>
      <c r="K990" s="155"/>
      <c r="L990" s="155"/>
      <c r="M990" s="75"/>
    </row>
    <row r="991" spans="3:13" ht="15.75" customHeight="1" x14ac:dyDescent="0.15">
      <c r="C991" s="44"/>
      <c r="D991" s="44"/>
      <c r="E991" s="44"/>
      <c r="J991" s="155"/>
      <c r="K991" s="155"/>
      <c r="L991" s="155"/>
      <c r="M991" s="75"/>
    </row>
    <row r="992" spans="3:13" ht="15.75" customHeight="1" x14ac:dyDescent="0.15">
      <c r="C992" s="44"/>
      <c r="D992" s="44"/>
      <c r="E992" s="44"/>
      <c r="J992" s="155"/>
      <c r="K992" s="155"/>
      <c r="L992" s="155"/>
      <c r="M992" s="75"/>
    </row>
    <row r="993" spans="3:13" ht="15.75" customHeight="1" x14ac:dyDescent="0.15">
      <c r="C993" s="44"/>
      <c r="D993" s="44"/>
      <c r="E993" s="44"/>
      <c r="J993" s="155"/>
      <c r="K993" s="155"/>
      <c r="L993" s="155"/>
      <c r="M993" s="75"/>
    </row>
    <row r="994" spans="3:13" ht="15.75" customHeight="1" x14ac:dyDescent="0.15">
      <c r="C994" s="44"/>
      <c r="D994" s="44"/>
      <c r="E994" s="44"/>
      <c r="J994" s="155"/>
      <c r="K994" s="155"/>
      <c r="L994" s="155"/>
      <c r="M994" s="75"/>
    </row>
    <row r="995" spans="3:13" ht="15.75" customHeight="1" x14ac:dyDescent="0.15">
      <c r="C995" s="44"/>
      <c r="D995" s="44"/>
      <c r="E995" s="44"/>
      <c r="J995" s="155"/>
      <c r="K995" s="155"/>
      <c r="L995" s="155"/>
      <c r="M995" s="75"/>
    </row>
    <row r="996" spans="3:13" ht="15.75" customHeight="1" x14ac:dyDescent="0.15">
      <c r="C996" s="44"/>
      <c r="D996" s="44"/>
      <c r="E996" s="44"/>
      <c r="J996" s="155"/>
      <c r="K996" s="155"/>
      <c r="L996" s="155"/>
      <c r="M996" s="75"/>
    </row>
    <row r="997" spans="3:13" ht="15.75" customHeight="1" x14ac:dyDescent="0.15">
      <c r="C997" s="44"/>
      <c r="D997" s="44"/>
      <c r="E997" s="44"/>
      <c r="J997" s="155"/>
      <c r="K997" s="155"/>
      <c r="L997" s="155"/>
      <c r="M997" s="75"/>
    </row>
    <row r="998" spans="3:13" ht="15.75" customHeight="1" x14ac:dyDescent="0.15">
      <c r="C998" s="44"/>
      <c r="D998" s="44"/>
      <c r="E998" s="44"/>
      <c r="J998" s="155"/>
      <c r="K998" s="155"/>
      <c r="L998" s="155"/>
      <c r="M998" s="75"/>
    </row>
    <row r="999" spans="3:13" ht="15.75" customHeight="1" x14ac:dyDescent="0.15">
      <c r="C999" s="44"/>
      <c r="D999" s="44"/>
      <c r="E999" s="44"/>
      <c r="J999" s="155"/>
      <c r="K999" s="155"/>
      <c r="L999" s="155"/>
      <c r="M999" s="75"/>
    </row>
    <row r="1000" spans="3:13" ht="15.75" customHeight="1" x14ac:dyDescent="0.15">
      <c r="C1000" s="44"/>
      <c r="D1000" s="44"/>
      <c r="E1000" s="44"/>
      <c r="J1000" s="155"/>
      <c r="K1000" s="155"/>
      <c r="L1000" s="155"/>
      <c r="M1000" s="75"/>
    </row>
  </sheetData>
  <autoFilter ref="A1:Z1000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266"/>
  <sheetViews>
    <sheetView workbookViewId="0"/>
  </sheetViews>
  <sheetFormatPr baseColWidth="10" defaultColWidth="12.6640625" defaultRowHeight="15.75" customHeight="1" x14ac:dyDescent="0.15"/>
  <sheetData>
    <row r="1" spans="1:6" x14ac:dyDescent="0.2">
      <c r="A1" s="169" t="s">
        <v>917</v>
      </c>
      <c r="B1" s="169" t="s">
        <v>918</v>
      </c>
      <c r="C1" s="169" t="s">
        <v>919</v>
      </c>
      <c r="D1" s="169" t="s">
        <v>920</v>
      </c>
      <c r="E1" s="169" t="s">
        <v>921</v>
      </c>
      <c r="F1" s="169" t="s">
        <v>116</v>
      </c>
    </row>
    <row r="2" spans="1:6" x14ac:dyDescent="0.2">
      <c r="A2" s="170" t="s">
        <v>922</v>
      </c>
      <c r="B2" s="171">
        <v>1950</v>
      </c>
      <c r="C2" s="172" t="s">
        <v>923</v>
      </c>
      <c r="D2" s="170" t="s">
        <v>924</v>
      </c>
      <c r="E2" s="171">
        <v>1</v>
      </c>
      <c r="F2" s="170" t="s">
        <v>925</v>
      </c>
    </row>
    <row r="3" spans="1:6" x14ac:dyDescent="0.2">
      <c r="A3" s="170" t="s">
        <v>683</v>
      </c>
      <c r="B3" s="171">
        <v>2000</v>
      </c>
      <c r="C3" s="172" t="s">
        <v>926</v>
      </c>
      <c r="D3" s="170" t="s">
        <v>924</v>
      </c>
      <c r="E3" s="171">
        <v>1</v>
      </c>
      <c r="F3" s="170" t="s">
        <v>925</v>
      </c>
    </row>
    <row r="4" spans="1:6" x14ac:dyDescent="0.2">
      <c r="A4" s="170" t="s">
        <v>927</v>
      </c>
      <c r="B4" s="171">
        <v>1990</v>
      </c>
      <c r="C4" s="172" t="s">
        <v>928</v>
      </c>
      <c r="D4" s="170" t="s">
        <v>924</v>
      </c>
      <c r="E4" s="171">
        <v>1</v>
      </c>
      <c r="F4" s="170" t="s">
        <v>925</v>
      </c>
    </row>
    <row r="5" spans="1:6" x14ac:dyDescent="0.2">
      <c r="A5" s="170" t="s">
        <v>731</v>
      </c>
      <c r="B5" s="171">
        <v>1990</v>
      </c>
      <c r="C5" s="172" t="s">
        <v>929</v>
      </c>
      <c r="D5" s="170" t="s">
        <v>924</v>
      </c>
      <c r="E5" s="171">
        <v>1</v>
      </c>
      <c r="F5" s="170" t="s">
        <v>925</v>
      </c>
    </row>
    <row r="6" spans="1:6" x14ac:dyDescent="0.2">
      <c r="A6" s="170" t="s">
        <v>930</v>
      </c>
      <c r="B6" s="171">
        <v>6290</v>
      </c>
      <c r="C6" s="172" t="s">
        <v>931</v>
      </c>
      <c r="D6" s="170" t="s">
        <v>924</v>
      </c>
      <c r="E6" s="171">
        <v>1</v>
      </c>
      <c r="F6" s="170" t="s">
        <v>925</v>
      </c>
    </row>
    <row r="7" spans="1:6" x14ac:dyDescent="0.2">
      <c r="A7" s="170" t="s">
        <v>828</v>
      </c>
      <c r="B7" s="171">
        <v>1450</v>
      </c>
      <c r="C7" s="172" t="s">
        <v>932</v>
      </c>
      <c r="D7" s="170" t="s">
        <v>924</v>
      </c>
      <c r="E7" s="171">
        <v>1</v>
      </c>
      <c r="F7" s="170" t="s">
        <v>925</v>
      </c>
    </row>
    <row r="8" spans="1:6" x14ac:dyDescent="0.2">
      <c r="A8" s="170" t="s">
        <v>933</v>
      </c>
      <c r="B8" s="171">
        <v>2490</v>
      </c>
      <c r="C8" s="172" t="s">
        <v>934</v>
      </c>
      <c r="D8" s="170" t="s">
        <v>924</v>
      </c>
      <c r="E8" s="171">
        <v>1</v>
      </c>
      <c r="F8" s="170" t="s">
        <v>925</v>
      </c>
    </row>
    <row r="9" spans="1:6" x14ac:dyDescent="0.2">
      <c r="A9" s="170" t="s">
        <v>602</v>
      </c>
      <c r="B9" s="171">
        <v>2590</v>
      </c>
      <c r="C9" s="172" t="s">
        <v>935</v>
      </c>
      <c r="D9" s="170" t="s">
        <v>924</v>
      </c>
      <c r="E9" s="171">
        <v>300</v>
      </c>
      <c r="F9" s="170" t="s">
        <v>936</v>
      </c>
    </row>
    <row r="10" spans="1:6" x14ac:dyDescent="0.2">
      <c r="A10" s="170" t="s">
        <v>937</v>
      </c>
      <c r="B10" s="171">
        <v>2790</v>
      </c>
      <c r="C10" s="172" t="s">
        <v>938</v>
      </c>
      <c r="D10" s="170" t="s">
        <v>924</v>
      </c>
      <c r="E10" s="171">
        <v>1</v>
      </c>
      <c r="F10" s="170" t="s">
        <v>925</v>
      </c>
    </row>
    <row r="11" spans="1:6" x14ac:dyDescent="0.2">
      <c r="A11" s="170" t="s">
        <v>939</v>
      </c>
      <c r="B11" s="171">
        <v>3590</v>
      </c>
      <c r="C11" s="172" t="s">
        <v>940</v>
      </c>
      <c r="D11" s="170" t="s">
        <v>924</v>
      </c>
      <c r="E11" s="171">
        <v>2</v>
      </c>
      <c r="F11" s="170" t="s">
        <v>925</v>
      </c>
    </row>
    <row r="12" spans="1:6" x14ac:dyDescent="0.2">
      <c r="A12" s="170" t="s">
        <v>690</v>
      </c>
      <c r="B12" s="171">
        <v>2890</v>
      </c>
      <c r="C12" s="172" t="s">
        <v>941</v>
      </c>
      <c r="D12" s="170" t="s">
        <v>924</v>
      </c>
      <c r="E12" s="171">
        <v>1</v>
      </c>
      <c r="F12" s="170" t="s">
        <v>925</v>
      </c>
    </row>
    <row r="13" spans="1:6" x14ac:dyDescent="0.2">
      <c r="A13" s="170" t="s">
        <v>942</v>
      </c>
      <c r="B13" s="171">
        <v>4190</v>
      </c>
      <c r="C13" s="172" t="s">
        <v>943</v>
      </c>
      <c r="D13" s="170" t="s">
        <v>924</v>
      </c>
      <c r="E13" s="171">
        <v>1</v>
      </c>
      <c r="F13" s="170" t="s">
        <v>925</v>
      </c>
    </row>
    <row r="14" spans="1:6" x14ac:dyDescent="0.2">
      <c r="A14" s="170" t="s">
        <v>751</v>
      </c>
      <c r="B14" s="171">
        <v>4990</v>
      </c>
      <c r="C14" s="172" t="s">
        <v>944</v>
      </c>
      <c r="D14" s="170" t="s">
        <v>924</v>
      </c>
      <c r="E14" s="171">
        <v>1</v>
      </c>
      <c r="F14" s="170" t="s">
        <v>925</v>
      </c>
    </row>
    <row r="15" spans="1:6" x14ac:dyDescent="0.2">
      <c r="A15" s="170" t="s">
        <v>792</v>
      </c>
      <c r="B15" s="171">
        <v>1790</v>
      </c>
      <c r="C15" s="172" t="s">
        <v>945</v>
      </c>
      <c r="D15" s="170" t="s">
        <v>924</v>
      </c>
      <c r="E15" s="171">
        <v>1</v>
      </c>
      <c r="F15" s="170" t="s">
        <v>925</v>
      </c>
    </row>
    <row r="16" spans="1:6" x14ac:dyDescent="0.2">
      <c r="A16" s="170" t="s">
        <v>624</v>
      </c>
      <c r="B16" s="171">
        <v>2590</v>
      </c>
      <c r="C16" s="172" t="s">
        <v>946</v>
      </c>
      <c r="D16" s="170" t="s">
        <v>924</v>
      </c>
      <c r="E16" s="171">
        <v>1</v>
      </c>
      <c r="F16" s="170" t="s">
        <v>925</v>
      </c>
    </row>
    <row r="17" spans="1:6" x14ac:dyDescent="0.2">
      <c r="A17" s="170" t="s">
        <v>947</v>
      </c>
      <c r="B17" s="171">
        <v>5990</v>
      </c>
      <c r="C17" s="172" t="s">
        <v>948</v>
      </c>
      <c r="D17" s="170" t="s">
        <v>924</v>
      </c>
      <c r="E17" s="171">
        <v>1</v>
      </c>
      <c r="F17" s="170" t="s">
        <v>925</v>
      </c>
    </row>
    <row r="18" spans="1:6" x14ac:dyDescent="0.2">
      <c r="A18" s="170" t="s">
        <v>949</v>
      </c>
      <c r="B18" s="171">
        <v>2490</v>
      </c>
      <c r="C18" s="172" t="s">
        <v>950</v>
      </c>
      <c r="D18" s="170" t="s">
        <v>924</v>
      </c>
      <c r="E18" s="171">
        <v>1</v>
      </c>
      <c r="F18" s="170" t="s">
        <v>925</v>
      </c>
    </row>
    <row r="19" spans="1:6" x14ac:dyDescent="0.2">
      <c r="A19" s="170" t="s">
        <v>819</v>
      </c>
      <c r="B19" s="171">
        <v>2590</v>
      </c>
      <c r="C19" s="172" t="s">
        <v>951</v>
      </c>
      <c r="D19" s="170" t="s">
        <v>924</v>
      </c>
      <c r="E19" s="171">
        <v>1</v>
      </c>
      <c r="F19" s="170" t="s">
        <v>952</v>
      </c>
    </row>
    <row r="20" spans="1:6" x14ac:dyDescent="0.2">
      <c r="A20" s="170" t="s">
        <v>684</v>
      </c>
      <c r="B20" s="171">
        <v>2490</v>
      </c>
      <c r="C20" s="172" t="s">
        <v>953</v>
      </c>
      <c r="D20" s="170" t="s">
        <v>924</v>
      </c>
      <c r="E20" s="171">
        <v>1</v>
      </c>
      <c r="F20" s="170" t="s">
        <v>925</v>
      </c>
    </row>
    <row r="21" spans="1:6" x14ac:dyDescent="0.2">
      <c r="A21" s="170" t="s">
        <v>833</v>
      </c>
      <c r="B21" s="171">
        <v>2150</v>
      </c>
      <c r="C21" s="172" t="s">
        <v>954</v>
      </c>
      <c r="D21" s="170" t="s">
        <v>924</v>
      </c>
      <c r="E21" s="171">
        <v>1</v>
      </c>
      <c r="F21" s="170" t="s">
        <v>925</v>
      </c>
    </row>
    <row r="22" spans="1:6" x14ac:dyDescent="0.2">
      <c r="A22" s="170" t="s">
        <v>955</v>
      </c>
      <c r="B22" s="171">
        <v>2190</v>
      </c>
      <c r="C22" s="172" t="s">
        <v>956</v>
      </c>
      <c r="D22" s="170" t="s">
        <v>924</v>
      </c>
      <c r="E22" s="171" t="s">
        <v>957</v>
      </c>
      <c r="F22" s="170" t="s">
        <v>925</v>
      </c>
    </row>
    <row r="23" spans="1:6" x14ac:dyDescent="0.2">
      <c r="A23" s="170" t="s">
        <v>720</v>
      </c>
      <c r="B23" s="171">
        <v>1990</v>
      </c>
      <c r="C23" s="172" t="s">
        <v>958</v>
      </c>
      <c r="D23" s="170" t="s">
        <v>924</v>
      </c>
      <c r="E23" s="171">
        <v>1</v>
      </c>
      <c r="F23" s="170" t="s">
        <v>925</v>
      </c>
    </row>
    <row r="24" spans="1:6" x14ac:dyDescent="0.2">
      <c r="A24" s="170" t="s">
        <v>780</v>
      </c>
      <c r="B24" s="171">
        <v>3290</v>
      </c>
      <c r="C24" s="172" t="s">
        <v>959</v>
      </c>
      <c r="D24" s="170" t="s">
        <v>924</v>
      </c>
      <c r="E24" s="171">
        <v>1</v>
      </c>
      <c r="F24" s="170" t="s">
        <v>925</v>
      </c>
    </row>
    <row r="25" spans="1:6" x14ac:dyDescent="0.2">
      <c r="A25" s="170" t="s">
        <v>469</v>
      </c>
      <c r="B25" s="171">
        <v>2390</v>
      </c>
      <c r="C25" s="172" t="s">
        <v>960</v>
      </c>
      <c r="D25" s="170" t="s">
        <v>924</v>
      </c>
      <c r="E25" s="171">
        <v>125</v>
      </c>
      <c r="F25" s="170" t="s">
        <v>936</v>
      </c>
    </row>
    <row r="26" spans="1:6" x14ac:dyDescent="0.2">
      <c r="A26" s="170" t="s">
        <v>961</v>
      </c>
      <c r="B26" s="171">
        <v>2490</v>
      </c>
      <c r="C26" s="172" t="s">
        <v>962</v>
      </c>
      <c r="D26" s="170" t="s">
        <v>924</v>
      </c>
      <c r="E26" s="171">
        <v>1</v>
      </c>
      <c r="F26" s="170" t="s">
        <v>925</v>
      </c>
    </row>
    <row r="27" spans="1:6" x14ac:dyDescent="0.2">
      <c r="A27" s="170" t="s">
        <v>669</v>
      </c>
      <c r="B27" s="171">
        <v>3650</v>
      </c>
      <c r="C27" s="172" t="s">
        <v>963</v>
      </c>
      <c r="D27" s="170" t="s">
        <v>924</v>
      </c>
      <c r="E27" s="171">
        <v>1</v>
      </c>
      <c r="F27" s="170" t="s">
        <v>925</v>
      </c>
    </row>
    <row r="28" spans="1:6" x14ac:dyDescent="0.2">
      <c r="A28" s="170" t="s">
        <v>661</v>
      </c>
      <c r="B28" s="171">
        <v>1950</v>
      </c>
      <c r="C28" s="172" t="s">
        <v>964</v>
      </c>
      <c r="D28" s="170" t="s">
        <v>924</v>
      </c>
      <c r="E28" s="171">
        <v>1</v>
      </c>
      <c r="F28" s="170" t="s">
        <v>925</v>
      </c>
    </row>
    <row r="29" spans="1:6" x14ac:dyDescent="0.2">
      <c r="A29" s="170" t="s">
        <v>965</v>
      </c>
      <c r="B29" s="171">
        <v>2150</v>
      </c>
      <c r="C29" s="172" t="s">
        <v>966</v>
      </c>
      <c r="D29" s="170" t="s">
        <v>924</v>
      </c>
      <c r="E29" s="171">
        <v>1</v>
      </c>
      <c r="F29" s="170" t="s">
        <v>925</v>
      </c>
    </row>
    <row r="30" spans="1:6" x14ac:dyDescent="0.2">
      <c r="A30" s="170" t="s">
        <v>967</v>
      </c>
      <c r="B30" s="171">
        <v>3190</v>
      </c>
      <c r="C30" s="172" t="s">
        <v>968</v>
      </c>
      <c r="D30" s="170" t="s">
        <v>924</v>
      </c>
      <c r="E30" s="171">
        <v>500</v>
      </c>
      <c r="F30" s="170" t="s">
        <v>936</v>
      </c>
    </row>
    <row r="31" spans="1:6" x14ac:dyDescent="0.2">
      <c r="A31" s="170" t="s">
        <v>969</v>
      </c>
      <c r="B31" s="171">
        <v>4090</v>
      </c>
      <c r="C31" s="172" t="s">
        <v>970</v>
      </c>
      <c r="D31" s="170" t="s">
        <v>924</v>
      </c>
      <c r="E31" s="171">
        <v>300</v>
      </c>
      <c r="F31" s="170" t="s">
        <v>936</v>
      </c>
    </row>
    <row r="32" spans="1:6" x14ac:dyDescent="0.2">
      <c r="A32" s="170" t="s">
        <v>971</v>
      </c>
      <c r="B32" s="171">
        <v>4490</v>
      </c>
      <c r="C32" s="172" t="s">
        <v>972</v>
      </c>
      <c r="D32" s="170" t="s">
        <v>924</v>
      </c>
      <c r="E32" s="171">
        <v>1</v>
      </c>
      <c r="F32" s="170" t="s">
        <v>925</v>
      </c>
    </row>
    <row r="33" spans="1:6" x14ac:dyDescent="0.2">
      <c r="A33" s="170" t="s">
        <v>973</v>
      </c>
      <c r="B33" s="171">
        <v>2790</v>
      </c>
      <c r="C33" s="172" t="s">
        <v>974</v>
      </c>
      <c r="D33" s="170" t="s">
        <v>924</v>
      </c>
      <c r="E33" s="171">
        <v>500</v>
      </c>
      <c r="F33" s="170" t="s">
        <v>936</v>
      </c>
    </row>
    <row r="34" spans="1:6" x14ac:dyDescent="0.2">
      <c r="A34" s="170" t="s">
        <v>975</v>
      </c>
      <c r="B34" s="171">
        <v>1450</v>
      </c>
      <c r="C34" s="172" t="s">
        <v>976</v>
      </c>
      <c r="D34" s="170" t="s">
        <v>924</v>
      </c>
      <c r="E34" s="171">
        <v>1</v>
      </c>
      <c r="F34" s="170" t="s">
        <v>925</v>
      </c>
    </row>
    <row r="35" spans="1:6" x14ac:dyDescent="0.2">
      <c r="A35" s="170" t="s">
        <v>977</v>
      </c>
      <c r="B35" s="171">
        <v>4990</v>
      </c>
      <c r="C35" s="172" t="s">
        <v>978</v>
      </c>
      <c r="D35" s="170" t="s">
        <v>924</v>
      </c>
      <c r="E35" s="171" t="s">
        <v>957</v>
      </c>
      <c r="F35" s="170" t="s">
        <v>925</v>
      </c>
    </row>
    <row r="36" spans="1:6" x14ac:dyDescent="0.2">
      <c r="A36" s="170" t="s">
        <v>979</v>
      </c>
      <c r="B36" s="171">
        <v>2150</v>
      </c>
      <c r="C36" s="172" t="s">
        <v>980</v>
      </c>
      <c r="D36" s="170" t="s">
        <v>924</v>
      </c>
      <c r="E36" s="171">
        <v>1</v>
      </c>
      <c r="F36" s="170" t="s">
        <v>925</v>
      </c>
    </row>
    <row r="37" spans="1:6" x14ac:dyDescent="0.2">
      <c r="A37" s="170" t="s">
        <v>981</v>
      </c>
      <c r="B37" s="171">
        <v>2000</v>
      </c>
      <c r="C37" s="172" t="s">
        <v>982</v>
      </c>
      <c r="D37" s="170" t="s">
        <v>924</v>
      </c>
      <c r="E37" s="171">
        <v>1</v>
      </c>
      <c r="F37" s="170" t="s">
        <v>925</v>
      </c>
    </row>
    <row r="38" spans="1:6" x14ac:dyDescent="0.2">
      <c r="A38" s="170" t="s">
        <v>983</v>
      </c>
      <c r="B38" s="171">
        <v>1990</v>
      </c>
      <c r="C38" s="172" t="s">
        <v>984</v>
      </c>
      <c r="D38" s="170" t="s">
        <v>924</v>
      </c>
      <c r="E38" s="171">
        <v>900</v>
      </c>
      <c r="F38" s="170" t="s">
        <v>936</v>
      </c>
    </row>
    <row r="39" spans="1:6" x14ac:dyDescent="0.2">
      <c r="A39" s="170" t="s">
        <v>985</v>
      </c>
      <c r="B39" s="171">
        <v>1990</v>
      </c>
      <c r="C39" s="172" t="s">
        <v>986</v>
      </c>
      <c r="D39" s="170" t="s">
        <v>924</v>
      </c>
      <c r="E39" s="171">
        <v>70</v>
      </c>
      <c r="F39" s="170" t="s">
        <v>936</v>
      </c>
    </row>
    <row r="40" spans="1:6" x14ac:dyDescent="0.2">
      <c r="A40" s="170" t="s">
        <v>892</v>
      </c>
      <c r="B40" s="171">
        <v>2890</v>
      </c>
      <c r="C40" s="172" t="s">
        <v>987</v>
      </c>
      <c r="D40" s="170" t="s">
        <v>924</v>
      </c>
      <c r="E40" s="171">
        <v>1</v>
      </c>
      <c r="F40" s="170" t="s">
        <v>925</v>
      </c>
    </row>
    <row r="41" spans="1:6" x14ac:dyDescent="0.2">
      <c r="A41" s="170" t="s">
        <v>988</v>
      </c>
      <c r="B41" s="171">
        <v>3290</v>
      </c>
      <c r="C41" s="172" t="s">
        <v>989</v>
      </c>
      <c r="D41" s="170" t="s">
        <v>924</v>
      </c>
      <c r="E41" s="171">
        <v>1</v>
      </c>
      <c r="F41" s="170" t="s">
        <v>925</v>
      </c>
    </row>
    <row r="42" spans="1:6" x14ac:dyDescent="0.2">
      <c r="A42" s="170" t="s">
        <v>990</v>
      </c>
      <c r="B42" s="171">
        <v>2490</v>
      </c>
      <c r="C42" s="172" t="s">
        <v>991</v>
      </c>
      <c r="D42" s="170" t="s">
        <v>924</v>
      </c>
      <c r="E42" s="171">
        <v>1</v>
      </c>
      <c r="F42" s="170" t="s">
        <v>925</v>
      </c>
    </row>
    <row r="43" spans="1:6" x14ac:dyDescent="0.2">
      <c r="A43" s="170" t="s">
        <v>992</v>
      </c>
      <c r="B43" s="171">
        <v>1990</v>
      </c>
      <c r="C43" s="172" t="s">
        <v>993</v>
      </c>
      <c r="D43" s="170" t="s">
        <v>924</v>
      </c>
      <c r="E43" s="171">
        <v>1</v>
      </c>
      <c r="F43" s="170" t="s">
        <v>925</v>
      </c>
    </row>
    <row r="44" spans="1:6" x14ac:dyDescent="0.2">
      <c r="A44" s="170" t="s">
        <v>994</v>
      </c>
      <c r="B44" s="171">
        <v>3590</v>
      </c>
      <c r="C44" s="172" t="s">
        <v>995</v>
      </c>
      <c r="D44" s="170" t="s">
        <v>924</v>
      </c>
      <c r="E44" s="171">
        <v>2</v>
      </c>
      <c r="F44" s="170" t="s">
        <v>925</v>
      </c>
    </row>
    <row r="45" spans="1:6" x14ac:dyDescent="0.2">
      <c r="A45" s="170" t="s">
        <v>996</v>
      </c>
      <c r="B45" s="171">
        <v>4490</v>
      </c>
      <c r="C45" s="172" t="s">
        <v>997</v>
      </c>
      <c r="D45" s="170" t="s">
        <v>924</v>
      </c>
      <c r="E45" s="171">
        <v>1</v>
      </c>
      <c r="F45" s="170" t="s">
        <v>925</v>
      </c>
    </row>
    <row r="46" spans="1:6" x14ac:dyDescent="0.2">
      <c r="A46" s="170" t="s">
        <v>726</v>
      </c>
      <c r="B46" s="171">
        <v>1890</v>
      </c>
      <c r="C46" s="172" t="s">
        <v>998</v>
      </c>
      <c r="D46" s="170" t="s">
        <v>924</v>
      </c>
      <c r="E46" s="171">
        <v>1</v>
      </c>
      <c r="F46" s="170" t="s">
        <v>925</v>
      </c>
    </row>
    <row r="47" spans="1:6" x14ac:dyDescent="0.2">
      <c r="A47" s="170" t="s">
        <v>999</v>
      </c>
      <c r="B47" s="171">
        <v>4990</v>
      </c>
      <c r="C47" s="172" t="s">
        <v>1000</v>
      </c>
      <c r="D47" s="170" t="s">
        <v>924</v>
      </c>
      <c r="E47" s="171">
        <v>1</v>
      </c>
      <c r="F47" s="170" t="s">
        <v>925</v>
      </c>
    </row>
    <row r="48" spans="1:6" x14ac:dyDescent="0.2">
      <c r="A48" s="170" t="s">
        <v>1001</v>
      </c>
      <c r="B48" s="171">
        <v>3990</v>
      </c>
      <c r="C48" s="172" t="s">
        <v>1002</v>
      </c>
      <c r="D48" s="170" t="s">
        <v>924</v>
      </c>
      <c r="E48" s="171">
        <v>500</v>
      </c>
      <c r="F48" s="170" t="s">
        <v>936</v>
      </c>
    </row>
    <row r="49" spans="1:6" x14ac:dyDescent="0.2">
      <c r="A49" s="170" t="s">
        <v>1003</v>
      </c>
      <c r="B49" s="171">
        <v>2150</v>
      </c>
      <c r="C49" s="172" t="s">
        <v>1004</v>
      </c>
      <c r="D49" s="170" t="s">
        <v>924</v>
      </c>
      <c r="E49" s="171">
        <v>1</v>
      </c>
      <c r="F49" s="170" t="s">
        <v>925</v>
      </c>
    </row>
    <row r="50" spans="1:6" x14ac:dyDescent="0.2">
      <c r="A50" s="170" t="s">
        <v>1005</v>
      </c>
      <c r="B50" s="171">
        <v>3850</v>
      </c>
      <c r="C50" s="172" t="s">
        <v>1006</v>
      </c>
      <c r="D50" s="170" t="s">
        <v>924</v>
      </c>
      <c r="E50" s="171">
        <v>400</v>
      </c>
      <c r="F50" s="170" t="s">
        <v>936</v>
      </c>
    </row>
    <row r="51" spans="1:6" x14ac:dyDescent="0.2">
      <c r="A51" s="170" t="s">
        <v>1007</v>
      </c>
      <c r="B51" s="171">
        <v>5150</v>
      </c>
      <c r="C51" s="172" t="s">
        <v>1008</v>
      </c>
      <c r="D51" s="170" t="s">
        <v>924</v>
      </c>
      <c r="E51" s="171">
        <v>1</v>
      </c>
      <c r="F51" s="170" t="s">
        <v>925</v>
      </c>
    </row>
    <row r="52" spans="1:6" x14ac:dyDescent="0.2">
      <c r="A52" s="170" t="s">
        <v>1009</v>
      </c>
      <c r="B52" s="171">
        <v>10290</v>
      </c>
      <c r="C52" s="172" t="s">
        <v>1010</v>
      </c>
      <c r="D52" s="170" t="s">
        <v>924</v>
      </c>
      <c r="E52" s="171">
        <v>1</v>
      </c>
      <c r="F52" s="170" t="s">
        <v>925</v>
      </c>
    </row>
    <row r="53" spans="1:6" x14ac:dyDescent="0.2">
      <c r="A53" s="170" t="s">
        <v>1011</v>
      </c>
      <c r="B53" s="171">
        <v>2690</v>
      </c>
      <c r="C53" s="172" t="s">
        <v>1012</v>
      </c>
      <c r="D53" s="170" t="s">
        <v>924</v>
      </c>
      <c r="E53" s="171">
        <v>125</v>
      </c>
      <c r="F53" s="170" t="s">
        <v>936</v>
      </c>
    </row>
    <row r="54" spans="1:6" x14ac:dyDescent="0.2">
      <c r="A54" s="170" t="s">
        <v>1013</v>
      </c>
      <c r="B54" s="171">
        <v>4150</v>
      </c>
      <c r="C54" s="172" t="s">
        <v>1014</v>
      </c>
      <c r="D54" s="170" t="s">
        <v>924</v>
      </c>
      <c r="E54" s="171">
        <v>500</v>
      </c>
      <c r="F54" s="170" t="s">
        <v>936</v>
      </c>
    </row>
    <row r="55" spans="1:6" x14ac:dyDescent="0.2">
      <c r="A55" s="170" t="s">
        <v>1015</v>
      </c>
      <c r="B55" s="171">
        <v>1990</v>
      </c>
      <c r="C55" s="172" t="s">
        <v>1016</v>
      </c>
      <c r="D55" s="170" t="s">
        <v>924</v>
      </c>
      <c r="E55" s="171">
        <v>200</v>
      </c>
      <c r="F55" s="170" t="s">
        <v>936</v>
      </c>
    </row>
    <row r="56" spans="1:6" x14ac:dyDescent="0.2">
      <c r="A56" s="170" t="s">
        <v>741</v>
      </c>
      <c r="B56" s="171">
        <v>2690</v>
      </c>
      <c r="C56" s="172" t="s">
        <v>1017</v>
      </c>
      <c r="D56" s="170" t="s">
        <v>924</v>
      </c>
      <c r="E56" s="171">
        <v>1</v>
      </c>
      <c r="F56" s="170" t="s">
        <v>925</v>
      </c>
    </row>
    <row r="57" spans="1:6" x14ac:dyDescent="0.2">
      <c r="A57" s="170" t="s">
        <v>681</v>
      </c>
      <c r="B57" s="171">
        <v>2590</v>
      </c>
      <c r="C57" s="172" t="s">
        <v>1018</v>
      </c>
      <c r="D57" s="170" t="s">
        <v>924</v>
      </c>
      <c r="E57" s="171">
        <v>1</v>
      </c>
      <c r="F57" s="170" t="s">
        <v>925</v>
      </c>
    </row>
    <row r="58" spans="1:6" x14ac:dyDescent="0.2">
      <c r="A58" s="170" t="s">
        <v>1019</v>
      </c>
      <c r="B58" s="171">
        <v>3390</v>
      </c>
      <c r="C58" s="172" t="s">
        <v>1020</v>
      </c>
      <c r="D58" s="170" t="s">
        <v>924</v>
      </c>
      <c r="E58" s="171">
        <v>250</v>
      </c>
      <c r="F58" s="170" t="s">
        <v>936</v>
      </c>
    </row>
    <row r="59" spans="1:6" x14ac:dyDescent="0.2">
      <c r="A59" s="170" t="s">
        <v>1021</v>
      </c>
      <c r="B59" s="171">
        <v>3850</v>
      </c>
      <c r="C59" s="172" t="s">
        <v>1022</v>
      </c>
      <c r="D59" s="170" t="s">
        <v>924</v>
      </c>
      <c r="E59" s="171">
        <v>400</v>
      </c>
      <c r="F59" s="170" t="s">
        <v>936</v>
      </c>
    </row>
    <row r="60" spans="1:6" x14ac:dyDescent="0.2">
      <c r="A60" s="170" t="s">
        <v>1023</v>
      </c>
      <c r="B60" s="171">
        <v>3390</v>
      </c>
      <c r="C60" s="172" t="s">
        <v>1024</v>
      </c>
      <c r="D60" s="170" t="s">
        <v>924</v>
      </c>
      <c r="E60" s="171">
        <v>250</v>
      </c>
      <c r="F60" s="170" t="s">
        <v>936</v>
      </c>
    </row>
    <row r="61" spans="1:6" x14ac:dyDescent="0.2">
      <c r="A61" s="170" t="s">
        <v>1025</v>
      </c>
      <c r="B61" s="171">
        <v>2190</v>
      </c>
      <c r="C61" s="172" t="s">
        <v>1026</v>
      </c>
      <c r="D61" s="170" t="s">
        <v>924</v>
      </c>
      <c r="E61" s="171">
        <v>500</v>
      </c>
      <c r="F61" s="170" t="s">
        <v>936</v>
      </c>
    </row>
    <row r="62" spans="1:6" x14ac:dyDescent="0.2">
      <c r="A62" s="170" t="s">
        <v>922</v>
      </c>
      <c r="B62" s="171">
        <v>1990</v>
      </c>
      <c r="C62" s="172" t="s">
        <v>1027</v>
      </c>
      <c r="D62" s="170" t="s">
        <v>924</v>
      </c>
      <c r="E62" s="171">
        <v>1</v>
      </c>
      <c r="F62" s="170" t="s">
        <v>925</v>
      </c>
    </row>
    <row r="63" spans="1:6" x14ac:dyDescent="0.2">
      <c r="A63" s="170" t="s">
        <v>1028</v>
      </c>
      <c r="B63" s="171">
        <v>5990</v>
      </c>
      <c r="C63" s="172" t="s">
        <v>1029</v>
      </c>
      <c r="D63" s="170" t="s">
        <v>924</v>
      </c>
      <c r="E63" s="171">
        <v>1</v>
      </c>
      <c r="F63" s="170" t="s">
        <v>925</v>
      </c>
    </row>
    <row r="64" spans="1:6" x14ac:dyDescent="0.2">
      <c r="A64" s="170" t="s">
        <v>1030</v>
      </c>
      <c r="B64" s="171">
        <v>2490</v>
      </c>
      <c r="C64" s="172" t="s">
        <v>1031</v>
      </c>
      <c r="D64" s="170" t="s">
        <v>924</v>
      </c>
      <c r="E64" s="171">
        <v>1</v>
      </c>
      <c r="F64" s="170" t="s">
        <v>925</v>
      </c>
    </row>
    <row r="65" spans="1:6" x14ac:dyDescent="0.2">
      <c r="A65" s="170" t="s">
        <v>1032</v>
      </c>
      <c r="B65" s="171">
        <v>2590</v>
      </c>
      <c r="C65" s="172" t="s">
        <v>1033</v>
      </c>
      <c r="D65" s="170" t="s">
        <v>924</v>
      </c>
      <c r="E65" s="171">
        <v>300</v>
      </c>
      <c r="F65" s="170" t="s">
        <v>936</v>
      </c>
    </row>
    <row r="66" spans="1:6" x14ac:dyDescent="0.2">
      <c r="A66" s="170" t="s">
        <v>1034</v>
      </c>
      <c r="B66" s="171">
        <v>1000</v>
      </c>
      <c r="C66" s="172" t="s">
        <v>1035</v>
      </c>
      <c r="D66" s="170" t="s">
        <v>924</v>
      </c>
      <c r="E66" s="171">
        <v>4</v>
      </c>
      <c r="F66" s="170" t="s">
        <v>952</v>
      </c>
    </row>
    <row r="67" spans="1:6" x14ac:dyDescent="0.2">
      <c r="A67" s="170" t="s">
        <v>1036</v>
      </c>
      <c r="B67" s="171">
        <v>2390</v>
      </c>
      <c r="C67" s="172" t="s">
        <v>1037</v>
      </c>
      <c r="D67" s="170" t="s">
        <v>924</v>
      </c>
      <c r="E67" s="171">
        <v>1</v>
      </c>
      <c r="F67" s="170" t="s">
        <v>925</v>
      </c>
    </row>
    <row r="68" spans="1:6" x14ac:dyDescent="0.2">
      <c r="A68" s="170" t="s">
        <v>1038</v>
      </c>
      <c r="B68" s="171">
        <v>3850</v>
      </c>
      <c r="C68" s="172" t="s">
        <v>1039</v>
      </c>
      <c r="D68" s="170" t="s">
        <v>924</v>
      </c>
      <c r="E68" s="171">
        <v>400</v>
      </c>
      <c r="F68" s="170" t="s">
        <v>936</v>
      </c>
    </row>
    <row r="69" spans="1:6" x14ac:dyDescent="0.2">
      <c r="A69" s="170" t="s">
        <v>1040</v>
      </c>
      <c r="B69" s="171">
        <v>1990</v>
      </c>
      <c r="C69" s="172" t="s">
        <v>1041</v>
      </c>
      <c r="D69" s="170" t="s">
        <v>924</v>
      </c>
      <c r="E69" s="171">
        <v>1</v>
      </c>
      <c r="F69" s="170" t="s">
        <v>925</v>
      </c>
    </row>
    <row r="70" spans="1:6" x14ac:dyDescent="0.2">
      <c r="A70" s="170" t="s">
        <v>1042</v>
      </c>
      <c r="B70" s="171">
        <v>2490</v>
      </c>
      <c r="C70" s="172" t="s">
        <v>1043</v>
      </c>
      <c r="D70" s="170" t="s">
        <v>924</v>
      </c>
      <c r="E70" s="171">
        <v>1</v>
      </c>
      <c r="F70" s="170" t="s">
        <v>925</v>
      </c>
    </row>
    <row r="71" spans="1:6" x14ac:dyDescent="0.2">
      <c r="A71" s="170" t="s">
        <v>1044</v>
      </c>
      <c r="B71" s="171">
        <v>7790</v>
      </c>
      <c r="C71" s="172" t="s">
        <v>1045</v>
      </c>
      <c r="D71" s="170" t="s">
        <v>924</v>
      </c>
      <c r="E71" s="171">
        <v>3</v>
      </c>
      <c r="F71" s="170" t="s">
        <v>925</v>
      </c>
    </row>
    <row r="72" spans="1:6" x14ac:dyDescent="0.2">
      <c r="A72" s="170" t="s">
        <v>1046</v>
      </c>
      <c r="B72" s="171">
        <v>5990</v>
      </c>
      <c r="C72" s="172" t="s">
        <v>1047</v>
      </c>
      <c r="D72" s="170" t="s">
        <v>924</v>
      </c>
      <c r="E72" s="171">
        <v>1</v>
      </c>
      <c r="F72" s="170" t="s">
        <v>925</v>
      </c>
    </row>
    <row r="73" spans="1:6" x14ac:dyDescent="0.2">
      <c r="A73" s="170" t="s">
        <v>1048</v>
      </c>
      <c r="B73" s="171">
        <v>1990</v>
      </c>
      <c r="C73" s="172" t="s">
        <v>1049</v>
      </c>
      <c r="D73" s="170" t="s">
        <v>924</v>
      </c>
      <c r="E73" s="171">
        <v>70</v>
      </c>
      <c r="F73" s="170" t="s">
        <v>936</v>
      </c>
    </row>
    <row r="74" spans="1:6" x14ac:dyDescent="0.2">
      <c r="A74" s="170" t="s">
        <v>1050</v>
      </c>
      <c r="B74" s="171">
        <v>1290</v>
      </c>
      <c r="C74" s="172" t="s">
        <v>1051</v>
      </c>
      <c r="D74" s="170" t="s">
        <v>924</v>
      </c>
      <c r="E74" s="171">
        <v>1</v>
      </c>
      <c r="F74" s="170" t="s">
        <v>952</v>
      </c>
    </row>
    <row r="75" spans="1:6" x14ac:dyDescent="0.2">
      <c r="A75" s="170" t="s">
        <v>1052</v>
      </c>
      <c r="B75" s="171">
        <v>1190</v>
      </c>
      <c r="C75" s="172" t="s">
        <v>1053</v>
      </c>
      <c r="D75" s="170" t="s">
        <v>924</v>
      </c>
      <c r="E75" s="171">
        <v>1</v>
      </c>
      <c r="F75" s="170" t="s">
        <v>925</v>
      </c>
    </row>
    <row r="76" spans="1:6" x14ac:dyDescent="0.2">
      <c r="A76" s="170" t="s">
        <v>1054</v>
      </c>
      <c r="B76" s="171">
        <v>5990</v>
      </c>
      <c r="C76" s="172" t="s">
        <v>1055</v>
      </c>
      <c r="D76" s="170" t="s">
        <v>924</v>
      </c>
      <c r="E76" s="171">
        <v>1</v>
      </c>
      <c r="F76" s="170" t="s">
        <v>925</v>
      </c>
    </row>
    <row r="77" spans="1:6" x14ac:dyDescent="0.2">
      <c r="A77" s="170" t="s">
        <v>1056</v>
      </c>
      <c r="B77" s="171">
        <v>1990</v>
      </c>
      <c r="C77" s="172" t="s">
        <v>1057</v>
      </c>
      <c r="D77" s="170" t="s">
        <v>924</v>
      </c>
      <c r="E77" s="171">
        <v>1</v>
      </c>
      <c r="F77" s="170" t="s">
        <v>925</v>
      </c>
    </row>
    <row r="78" spans="1:6" x14ac:dyDescent="0.2">
      <c r="A78" s="170" t="s">
        <v>1058</v>
      </c>
      <c r="B78" s="171">
        <v>1290</v>
      </c>
      <c r="C78" s="172" t="s">
        <v>1059</v>
      </c>
      <c r="D78" s="170" t="s">
        <v>924</v>
      </c>
      <c r="E78" s="171">
        <v>1</v>
      </c>
      <c r="F78" s="170" t="s">
        <v>925</v>
      </c>
    </row>
    <row r="79" spans="1:6" x14ac:dyDescent="0.2">
      <c r="A79" s="170" t="s">
        <v>1060</v>
      </c>
      <c r="B79" s="171">
        <v>3390</v>
      </c>
      <c r="C79" s="172" t="s">
        <v>1061</v>
      </c>
      <c r="D79" s="170" t="s">
        <v>924</v>
      </c>
      <c r="E79" s="171">
        <v>250</v>
      </c>
      <c r="F79" s="170" t="s">
        <v>936</v>
      </c>
    </row>
    <row r="80" spans="1:6" x14ac:dyDescent="0.2">
      <c r="A80" s="170" t="s">
        <v>1062</v>
      </c>
      <c r="B80" s="171">
        <v>3290</v>
      </c>
      <c r="C80" s="172" t="s">
        <v>1063</v>
      </c>
      <c r="D80" s="170" t="s">
        <v>1064</v>
      </c>
      <c r="E80" s="171">
        <v>340</v>
      </c>
      <c r="F80" s="170" t="s">
        <v>936</v>
      </c>
    </row>
    <row r="81" spans="1:6" x14ac:dyDescent="0.2">
      <c r="A81" s="170" t="s">
        <v>1065</v>
      </c>
      <c r="B81" s="171">
        <v>3000</v>
      </c>
      <c r="C81" s="172" t="s">
        <v>1066</v>
      </c>
      <c r="D81" s="170" t="s">
        <v>1064</v>
      </c>
      <c r="E81" s="171">
        <v>1</v>
      </c>
      <c r="F81" s="170" t="s">
        <v>952</v>
      </c>
    </row>
    <row r="82" spans="1:6" x14ac:dyDescent="0.2">
      <c r="A82" s="170" t="s">
        <v>560</v>
      </c>
      <c r="B82" s="171">
        <v>690</v>
      </c>
      <c r="C82" s="172" t="s">
        <v>1067</v>
      </c>
      <c r="D82" s="170" t="s">
        <v>1064</v>
      </c>
      <c r="E82" s="171">
        <v>20</v>
      </c>
      <c r="F82" s="170" t="s">
        <v>936</v>
      </c>
    </row>
    <row r="83" spans="1:6" x14ac:dyDescent="0.2">
      <c r="A83" s="170" t="s">
        <v>1068</v>
      </c>
      <c r="B83" s="171">
        <v>2590</v>
      </c>
      <c r="C83" s="172" t="s">
        <v>1069</v>
      </c>
      <c r="D83" s="170" t="s">
        <v>1064</v>
      </c>
      <c r="E83" s="171">
        <v>2</v>
      </c>
      <c r="F83" s="170" t="s">
        <v>925</v>
      </c>
    </row>
    <row r="84" spans="1:6" x14ac:dyDescent="0.2">
      <c r="A84" s="170" t="s">
        <v>881</v>
      </c>
      <c r="B84" s="171">
        <v>1990</v>
      </c>
      <c r="C84" s="172" t="s">
        <v>1070</v>
      </c>
      <c r="D84" s="170" t="s">
        <v>1064</v>
      </c>
      <c r="E84" s="171">
        <v>1</v>
      </c>
      <c r="F84" s="170" t="s">
        <v>925</v>
      </c>
    </row>
    <row r="85" spans="1:6" x14ac:dyDescent="0.2">
      <c r="A85" s="170" t="s">
        <v>1071</v>
      </c>
      <c r="B85" s="171">
        <v>790</v>
      </c>
      <c r="C85" s="172" t="s">
        <v>1072</v>
      </c>
      <c r="D85" s="170" t="s">
        <v>1064</v>
      </c>
      <c r="E85" s="171">
        <v>1</v>
      </c>
      <c r="F85" s="170" t="s">
        <v>952</v>
      </c>
    </row>
    <row r="86" spans="1:6" x14ac:dyDescent="0.2">
      <c r="A86" s="170" t="s">
        <v>1073</v>
      </c>
      <c r="B86" s="171">
        <v>1990</v>
      </c>
      <c r="C86" s="172" t="s">
        <v>1074</v>
      </c>
      <c r="D86" s="170" t="s">
        <v>1064</v>
      </c>
      <c r="E86" s="171">
        <v>1</v>
      </c>
      <c r="F86" s="170" t="s">
        <v>925</v>
      </c>
    </row>
    <row r="87" spans="1:6" x14ac:dyDescent="0.2">
      <c r="A87" s="170" t="s">
        <v>1075</v>
      </c>
      <c r="B87" s="171">
        <v>1000</v>
      </c>
      <c r="C87" s="172" t="s">
        <v>1076</v>
      </c>
      <c r="D87" s="170" t="s">
        <v>1064</v>
      </c>
      <c r="E87" s="171">
        <v>100</v>
      </c>
      <c r="F87" s="170" t="s">
        <v>936</v>
      </c>
    </row>
    <row r="88" spans="1:6" x14ac:dyDescent="0.2">
      <c r="A88" s="170" t="s">
        <v>542</v>
      </c>
      <c r="B88" s="171">
        <v>1590</v>
      </c>
      <c r="C88" s="172" t="s">
        <v>1077</v>
      </c>
      <c r="D88" s="170" t="s">
        <v>1064</v>
      </c>
      <c r="E88" s="171">
        <v>200</v>
      </c>
      <c r="F88" s="170" t="s">
        <v>936</v>
      </c>
    </row>
    <row r="89" spans="1:6" x14ac:dyDescent="0.2">
      <c r="A89" s="170" t="s">
        <v>1078</v>
      </c>
      <c r="B89" s="171">
        <v>1890</v>
      </c>
      <c r="C89" s="172" t="s">
        <v>1079</v>
      </c>
      <c r="D89" s="170" t="s">
        <v>1064</v>
      </c>
      <c r="E89" s="171">
        <v>200</v>
      </c>
      <c r="F89" s="170" t="s">
        <v>936</v>
      </c>
    </row>
    <row r="90" spans="1:6" x14ac:dyDescent="0.2">
      <c r="A90" s="170" t="s">
        <v>1080</v>
      </c>
      <c r="B90" s="171">
        <v>1690</v>
      </c>
      <c r="C90" s="172" t="s">
        <v>1081</v>
      </c>
      <c r="D90" s="170" t="s">
        <v>1064</v>
      </c>
      <c r="E90" s="171">
        <v>1</v>
      </c>
      <c r="F90" s="170" t="s">
        <v>925</v>
      </c>
    </row>
    <row r="91" spans="1:6" x14ac:dyDescent="0.2">
      <c r="A91" s="170" t="s">
        <v>498</v>
      </c>
      <c r="B91" s="171">
        <v>1590</v>
      </c>
      <c r="C91" s="172" t="s">
        <v>1082</v>
      </c>
      <c r="D91" s="170" t="s">
        <v>1064</v>
      </c>
      <c r="E91" s="171">
        <v>1</v>
      </c>
      <c r="F91" s="170" t="s">
        <v>952</v>
      </c>
    </row>
    <row r="92" spans="1:6" x14ac:dyDescent="0.2">
      <c r="A92" s="170" t="s">
        <v>444</v>
      </c>
      <c r="B92" s="171">
        <v>790</v>
      </c>
      <c r="C92" s="172" t="s">
        <v>1083</v>
      </c>
      <c r="D92" s="170" t="s">
        <v>1064</v>
      </c>
      <c r="E92" s="171">
        <v>1</v>
      </c>
      <c r="F92" s="170" t="s">
        <v>952</v>
      </c>
    </row>
    <row r="93" spans="1:6" x14ac:dyDescent="0.2">
      <c r="A93" s="170" t="s">
        <v>418</v>
      </c>
      <c r="B93" s="171">
        <v>1490</v>
      </c>
      <c r="C93" s="172" t="s">
        <v>1084</v>
      </c>
      <c r="D93" s="170" t="s">
        <v>1064</v>
      </c>
      <c r="E93" s="171">
        <v>500</v>
      </c>
      <c r="F93" s="170" t="s">
        <v>936</v>
      </c>
    </row>
    <row r="94" spans="1:6" x14ac:dyDescent="0.2">
      <c r="A94" s="170" t="s">
        <v>852</v>
      </c>
      <c r="B94" s="171">
        <v>1590</v>
      </c>
      <c r="C94" s="172" t="s">
        <v>1085</v>
      </c>
      <c r="D94" s="170" t="s">
        <v>1064</v>
      </c>
      <c r="E94" s="171">
        <v>1</v>
      </c>
      <c r="F94" s="170" t="s">
        <v>952</v>
      </c>
    </row>
    <row r="95" spans="1:6" x14ac:dyDescent="0.2">
      <c r="A95" s="170" t="s">
        <v>1086</v>
      </c>
      <c r="B95" s="171">
        <v>1790</v>
      </c>
      <c r="C95" s="172" t="s">
        <v>1087</v>
      </c>
      <c r="D95" s="170" t="s">
        <v>1064</v>
      </c>
      <c r="E95" s="171">
        <v>300</v>
      </c>
      <c r="F95" s="170" t="s">
        <v>936</v>
      </c>
    </row>
    <row r="96" spans="1:6" x14ac:dyDescent="0.2">
      <c r="A96" s="170" t="s">
        <v>1088</v>
      </c>
      <c r="B96" s="171">
        <v>1890</v>
      </c>
      <c r="C96" s="172" t="s">
        <v>1089</v>
      </c>
      <c r="D96" s="170" t="s">
        <v>1064</v>
      </c>
      <c r="E96" s="171">
        <v>200</v>
      </c>
      <c r="F96" s="170" t="s">
        <v>936</v>
      </c>
    </row>
    <row r="97" spans="1:6" x14ac:dyDescent="0.2">
      <c r="A97" s="170" t="s">
        <v>914</v>
      </c>
      <c r="B97" s="171">
        <v>790</v>
      </c>
      <c r="C97" s="172" t="s">
        <v>1090</v>
      </c>
      <c r="D97" s="170" t="s">
        <v>1064</v>
      </c>
      <c r="E97" s="171">
        <v>1</v>
      </c>
      <c r="F97" s="170" t="s">
        <v>952</v>
      </c>
    </row>
    <row r="98" spans="1:6" x14ac:dyDescent="0.2">
      <c r="A98" s="170" t="s">
        <v>809</v>
      </c>
      <c r="B98" s="171">
        <v>1690</v>
      </c>
      <c r="C98" s="172" t="s">
        <v>1091</v>
      </c>
      <c r="D98" s="170" t="s">
        <v>1064</v>
      </c>
      <c r="E98" s="171">
        <v>1</v>
      </c>
      <c r="F98" s="170" t="s">
        <v>952</v>
      </c>
    </row>
    <row r="99" spans="1:6" x14ac:dyDescent="0.2">
      <c r="A99" s="170" t="s">
        <v>786</v>
      </c>
      <c r="B99" s="171">
        <v>720</v>
      </c>
      <c r="C99" s="172" t="s">
        <v>1092</v>
      </c>
      <c r="D99" s="170" t="s">
        <v>1064</v>
      </c>
      <c r="E99" s="171">
        <v>1</v>
      </c>
      <c r="F99" s="170" t="s">
        <v>952</v>
      </c>
    </row>
    <row r="100" spans="1:6" x14ac:dyDescent="0.2">
      <c r="A100" s="170" t="s">
        <v>633</v>
      </c>
      <c r="B100" s="171">
        <v>1290</v>
      </c>
      <c r="C100" s="172" t="s">
        <v>1093</v>
      </c>
      <c r="D100" s="170" t="s">
        <v>1064</v>
      </c>
      <c r="E100" s="171">
        <v>1</v>
      </c>
      <c r="F100" s="170" t="s">
        <v>952</v>
      </c>
    </row>
    <row r="101" spans="1:6" x14ac:dyDescent="0.2">
      <c r="A101" s="170" t="s">
        <v>869</v>
      </c>
      <c r="B101" s="171">
        <v>1890</v>
      </c>
      <c r="C101" s="172" t="s">
        <v>1094</v>
      </c>
      <c r="D101" s="170" t="s">
        <v>1064</v>
      </c>
      <c r="E101" s="171">
        <v>250</v>
      </c>
      <c r="F101" s="170" t="s">
        <v>936</v>
      </c>
    </row>
    <row r="102" spans="1:6" x14ac:dyDescent="0.2">
      <c r="A102" s="170" t="s">
        <v>760</v>
      </c>
      <c r="B102" s="171">
        <v>1590</v>
      </c>
      <c r="C102" s="172" t="s">
        <v>1095</v>
      </c>
      <c r="D102" s="170" t="s">
        <v>1064</v>
      </c>
      <c r="E102" s="171">
        <v>1</v>
      </c>
      <c r="F102" s="170" t="s">
        <v>925</v>
      </c>
    </row>
    <row r="103" spans="1:6" x14ac:dyDescent="0.2">
      <c r="A103" s="170" t="s">
        <v>510</v>
      </c>
      <c r="B103" s="171">
        <v>3090</v>
      </c>
      <c r="C103" s="172" t="s">
        <v>1096</v>
      </c>
      <c r="D103" s="170" t="s">
        <v>1064</v>
      </c>
      <c r="E103" s="171">
        <v>1</v>
      </c>
      <c r="F103" s="170" t="s">
        <v>925</v>
      </c>
    </row>
    <row r="104" spans="1:6" x14ac:dyDescent="0.2">
      <c r="A104" s="170" t="s">
        <v>644</v>
      </c>
      <c r="B104" s="171">
        <v>1290</v>
      </c>
      <c r="C104" s="172" t="s">
        <v>1097</v>
      </c>
      <c r="D104" s="170" t="s">
        <v>1064</v>
      </c>
      <c r="E104" s="171">
        <v>1</v>
      </c>
      <c r="F104" s="170" t="s">
        <v>952</v>
      </c>
    </row>
    <row r="105" spans="1:6" x14ac:dyDescent="0.2">
      <c r="A105" s="170" t="s">
        <v>1098</v>
      </c>
      <c r="B105" s="171">
        <v>2490</v>
      </c>
      <c r="C105" s="172" t="s">
        <v>1099</v>
      </c>
      <c r="D105" s="170" t="s">
        <v>1064</v>
      </c>
      <c r="E105" s="171">
        <v>2</v>
      </c>
      <c r="F105" s="170" t="s">
        <v>925</v>
      </c>
    </row>
    <row r="106" spans="1:6" x14ac:dyDescent="0.2">
      <c r="A106" s="170" t="s">
        <v>527</v>
      </c>
      <c r="B106" s="171">
        <v>1990</v>
      </c>
      <c r="C106" s="172" t="s">
        <v>1100</v>
      </c>
      <c r="D106" s="170" t="s">
        <v>1064</v>
      </c>
      <c r="E106" s="171">
        <v>1</v>
      </c>
      <c r="F106" s="170" t="s">
        <v>925</v>
      </c>
    </row>
    <row r="107" spans="1:6" x14ac:dyDescent="0.2">
      <c r="A107" s="170" t="s">
        <v>534</v>
      </c>
      <c r="B107" s="171">
        <v>1550</v>
      </c>
      <c r="C107" s="172" t="s">
        <v>1101</v>
      </c>
      <c r="D107" s="170" t="s">
        <v>1064</v>
      </c>
      <c r="E107" s="171">
        <v>6</v>
      </c>
      <c r="F107" s="170" t="s">
        <v>952</v>
      </c>
    </row>
    <row r="108" spans="1:6" x14ac:dyDescent="0.2">
      <c r="A108" s="170" t="s">
        <v>1102</v>
      </c>
      <c r="B108" s="171">
        <v>1590</v>
      </c>
      <c r="C108" s="172" t="s">
        <v>1103</v>
      </c>
      <c r="D108" s="170" t="s">
        <v>1064</v>
      </c>
      <c r="E108" s="171">
        <v>500</v>
      </c>
      <c r="F108" s="170" t="s">
        <v>936</v>
      </c>
    </row>
    <row r="109" spans="1:6" x14ac:dyDescent="0.2">
      <c r="A109" s="170" t="s">
        <v>813</v>
      </c>
      <c r="B109" s="171">
        <v>950</v>
      </c>
      <c r="C109" s="172" t="s">
        <v>1104</v>
      </c>
      <c r="D109" s="170" t="s">
        <v>1064</v>
      </c>
      <c r="E109" s="171">
        <v>1</v>
      </c>
      <c r="F109" s="170" t="s">
        <v>952</v>
      </c>
    </row>
    <row r="110" spans="1:6" x14ac:dyDescent="0.2">
      <c r="A110" s="170" t="s">
        <v>462</v>
      </c>
      <c r="B110" s="171">
        <v>1000</v>
      </c>
      <c r="C110" s="172" t="s">
        <v>1105</v>
      </c>
      <c r="D110" s="170" t="s">
        <v>1064</v>
      </c>
      <c r="E110" s="171">
        <v>1</v>
      </c>
      <c r="F110" s="170" t="s">
        <v>952</v>
      </c>
    </row>
    <row r="111" spans="1:6" x14ac:dyDescent="0.2">
      <c r="A111" s="170" t="s">
        <v>432</v>
      </c>
      <c r="B111" s="171">
        <v>1090</v>
      </c>
      <c r="C111" s="172" t="s">
        <v>1106</v>
      </c>
      <c r="D111" s="170" t="s">
        <v>1064</v>
      </c>
      <c r="E111" s="171">
        <v>3</v>
      </c>
      <c r="F111" s="170" t="s">
        <v>952</v>
      </c>
    </row>
    <row r="112" spans="1:6" x14ac:dyDescent="0.2">
      <c r="A112" s="170" t="s">
        <v>908</v>
      </c>
      <c r="B112" s="171">
        <v>1990</v>
      </c>
      <c r="C112" s="172" t="s">
        <v>1107</v>
      </c>
      <c r="D112" s="170" t="s">
        <v>1064</v>
      </c>
      <c r="E112" s="171">
        <v>1</v>
      </c>
      <c r="F112" s="170" t="s">
        <v>952</v>
      </c>
    </row>
    <row r="113" spans="1:6" x14ac:dyDescent="0.2">
      <c r="A113" s="170" t="s">
        <v>1108</v>
      </c>
      <c r="B113" s="171">
        <v>3990</v>
      </c>
      <c r="C113" s="172" t="s">
        <v>1109</v>
      </c>
      <c r="D113" s="170" t="s">
        <v>1064</v>
      </c>
      <c r="E113" s="171">
        <v>500</v>
      </c>
      <c r="F113" s="170" t="s">
        <v>936</v>
      </c>
    </row>
    <row r="114" spans="1:6" x14ac:dyDescent="0.2">
      <c r="A114" s="170" t="s">
        <v>1110</v>
      </c>
      <c r="B114" s="171">
        <v>1990</v>
      </c>
      <c r="C114" s="172" t="s">
        <v>1111</v>
      </c>
      <c r="D114" s="170" t="s">
        <v>1064</v>
      </c>
      <c r="E114" s="171">
        <v>500</v>
      </c>
      <c r="F114" s="170" t="s">
        <v>936</v>
      </c>
    </row>
    <row r="115" spans="1:6" x14ac:dyDescent="0.2">
      <c r="A115" s="170" t="s">
        <v>901</v>
      </c>
      <c r="B115" s="171">
        <v>1190</v>
      </c>
      <c r="C115" s="172" t="s">
        <v>1112</v>
      </c>
      <c r="D115" s="170" t="s">
        <v>1064</v>
      </c>
      <c r="E115" s="171">
        <v>1</v>
      </c>
      <c r="F115" s="170" t="s">
        <v>925</v>
      </c>
    </row>
    <row r="116" spans="1:6" x14ac:dyDescent="0.2">
      <c r="A116" s="170" t="s">
        <v>1113</v>
      </c>
      <c r="B116" s="171">
        <v>6190</v>
      </c>
      <c r="C116" s="172" t="s">
        <v>1114</v>
      </c>
      <c r="D116" s="170" t="s">
        <v>1064</v>
      </c>
      <c r="E116" s="171">
        <v>5</v>
      </c>
      <c r="F116" s="170" t="s">
        <v>925</v>
      </c>
    </row>
    <row r="117" spans="1:6" x14ac:dyDescent="0.2">
      <c r="A117" s="170" t="s">
        <v>1115</v>
      </c>
      <c r="B117" s="171">
        <v>1690</v>
      </c>
      <c r="C117" s="172" t="s">
        <v>1116</v>
      </c>
      <c r="D117" s="170" t="s">
        <v>1064</v>
      </c>
      <c r="E117" s="171">
        <v>650</v>
      </c>
      <c r="F117" s="170" t="s">
        <v>936</v>
      </c>
    </row>
    <row r="118" spans="1:6" x14ac:dyDescent="0.2">
      <c r="A118" s="170" t="s">
        <v>491</v>
      </c>
      <c r="B118" s="171">
        <v>1390</v>
      </c>
      <c r="C118" s="172" t="s">
        <v>1117</v>
      </c>
      <c r="D118" s="170" t="s">
        <v>1064</v>
      </c>
      <c r="E118" s="171">
        <v>5</v>
      </c>
      <c r="F118" s="170" t="s">
        <v>952</v>
      </c>
    </row>
    <row r="119" spans="1:6" x14ac:dyDescent="0.2">
      <c r="A119" s="170" t="s">
        <v>1118</v>
      </c>
      <c r="B119" s="171">
        <v>1690</v>
      </c>
      <c r="C119" s="172" t="s">
        <v>1119</v>
      </c>
      <c r="D119" s="170" t="s">
        <v>1064</v>
      </c>
      <c r="E119" s="171">
        <v>250</v>
      </c>
      <c r="F119" s="170" t="s">
        <v>936</v>
      </c>
    </row>
    <row r="120" spans="1:6" x14ac:dyDescent="0.2">
      <c r="A120" s="170" t="s">
        <v>653</v>
      </c>
      <c r="B120" s="171">
        <v>1590</v>
      </c>
      <c r="C120" s="172" t="s">
        <v>1120</v>
      </c>
      <c r="D120" s="170" t="s">
        <v>1064</v>
      </c>
      <c r="E120" s="171">
        <v>1</v>
      </c>
      <c r="F120" s="170" t="s">
        <v>952</v>
      </c>
    </row>
    <row r="121" spans="1:6" x14ac:dyDescent="0.2">
      <c r="A121" s="170" t="s">
        <v>584</v>
      </c>
      <c r="B121" s="171">
        <v>1590</v>
      </c>
      <c r="C121" s="172" t="s">
        <v>1121</v>
      </c>
      <c r="D121" s="170" t="s">
        <v>1064</v>
      </c>
      <c r="E121" s="171">
        <v>1</v>
      </c>
      <c r="F121" s="170" t="s">
        <v>952</v>
      </c>
    </row>
    <row r="122" spans="1:6" x14ac:dyDescent="0.2">
      <c r="A122" s="170" t="s">
        <v>439</v>
      </c>
      <c r="B122" s="171">
        <v>1590</v>
      </c>
      <c r="C122" s="172" t="s">
        <v>1122</v>
      </c>
      <c r="D122" s="170" t="s">
        <v>1064</v>
      </c>
      <c r="E122" s="171">
        <v>1</v>
      </c>
      <c r="F122" s="170" t="s">
        <v>952</v>
      </c>
    </row>
    <row r="123" spans="1:6" x14ac:dyDescent="0.2">
      <c r="A123" s="170" t="s">
        <v>1123</v>
      </c>
      <c r="B123" s="171">
        <v>3150</v>
      </c>
      <c r="C123" s="172" t="s">
        <v>1124</v>
      </c>
      <c r="D123" s="170" t="s">
        <v>1064</v>
      </c>
      <c r="E123" s="171">
        <v>500</v>
      </c>
      <c r="F123" s="170" t="s">
        <v>936</v>
      </c>
    </row>
    <row r="124" spans="1:6" x14ac:dyDescent="0.2">
      <c r="A124" s="170" t="s">
        <v>479</v>
      </c>
      <c r="B124" s="171">
        <v>790</v>
      </c>
      <c r="C124" s="172" t="s">
        <v>1125</v>
      </c>
      <c r="D124" s="170" t="s">
        <v>1064</v>
      </c>
      <c r="E124" s="171">
        <v>1</v>
      </c>
      <c r="F124" s="170" t="s">
        <v>952</v>
      </c>
    </row>
    <row r="125" spans="1:6" x14ac:dyDescent="0.2">
      <c r="A125" s="170" t="s">
        <v>1126</v>
      </c>
      <c r="B125" s="171">
        <v>1990</v>
      </c>
      <c r="C125" s="172" t="s">
        <v>1127</v>
      </c>
      <c r="D125" s="170" t="s">
        <v>1064</v>
      </c>
      <c r="E125" s="171">
        <v>500</v>
      </c>
      <c r="F125" s="170" t="s">
        <v>936</v>
      </c>
    </row>
    <row r="126" spans="1:6" x14ac:dyDescent="0.2">
      <c r="A126" s="170" t="s">
        <v>520</v>
      </c>
      <c r="B126" s="171">
        <v>1550</v>
      </c>
      <c r="C126" s="172" t="s">
        <v>1128</v>
      </c>
      <c r="D126" s="170" t="s">
        <v>1064</v>
      </c>
      <c r="E126" s="171">
        <v>1</v>
      </c>
      <c r="F126" s="170" t="s">
        <v>925</v>
      </c>
    </row>
    <row r="127" spans="1:6" x14ac:dyDescent="0.2">
      <c r="A127" s="170" t="s">
        <v>618</v>
      </c>
      <c r="B127" s="171">
        <v>1490</v>
      </c>
      <c r="C127" s="172" t="s">
        <v>1129</v>
      </c>
      <c r="D127" s="170" t="s">
        <v>1064</v>
      </c>
      <c r="E127" s="171">
        <v>120</v>
      </c>
      <c r="F127" s="170" t="s">
        <v>936</v>
      </c>
    </row>
    <row r="128" spans="1:6" x14ac:dyDescent="0.2">
      <c r="A128" s="170" t="s">
        <v>1130</v>
      </c>
      <c r="B128" s="171">
        <v>1590</v>
      </c>
      <c r="C128" s="172" t="s">
        <v>1131</v>
      </c>
      <c r="D128" s="170" t="s">
        <v>1064</v>
      </c>
      <c r="E128" s="171">
        <v>3</v>
      </c>
      <c r="F128" s="170" t="s">
        <v>952</v>
      </c>
    </row>
    <row r="129" spans="1:6" x14ac:dyDescent="0.2">
      <c r="A129" s="170" t="s">
        <v>1132</v>
      </c>
      <c r="B129" s="171">
        <v>3190</v>
      </c>
      <c r="C129" s="172" t="s">
        <v>1133</v>
      </c>
      <c r="D129" s="170" t="s">
        <v>1064</v>
      </c>
      <c r="E129" s="171">
        <v>1</v>
      </c>
      <c r="F129" s="170" t="s">
        <v>952</v>
      </c>
    </row>
    <row r="130" spans="1:6" x14ac:dyDescent="0.2">
      <c r="A130" s="170" t="s">
        <v>857</v>
      </c>
      <c r="B130" s="171">
        <v>1590</v>
      </c>
      <c r="C130" s="172" t="s">
        <v>1134</v>
      </c>
      <c r="D130" s="170" t="s">
        <v>1064</v>
      </c>
      <c r="E130" s="171">
        <v>1</v>
      </c>
      <c r="F130" s="170" t="s">
        <v>952</v>
      </c>
    </row>
    <row r="131" spans="1:6" x14ac:dyDescent="0.2">
      <c r="A131" s="170" t="s">
        <v>657</v>
      </c>
      <c r="B131" s="171">
        <v>1290</v>
      </c>
      <c r="C131" s="172" t="s">
        <v>1135</v>
      </c>
      <c r="D131" s="170" t="s">
        <v>1064</v>
      </c>
      <c r="E131" s="171">
        <v>1</v>
      </c>
      <c r="F131" s="170" t="s">
        <v>952</v>
      </c>
    </row>
    <row r="132" spans="1:6" x14ac:dyDescent="0.2">
      <c r="A132" s="170" t="s">
        <v>638</v>
      </c>
      <c r="B132" s="171">
        <v>2490</v>
      </c>
      <c r="C132" s="172" t="s">
        <v>1136</v>
      </c>
      <c r="D132" s="170" t="s">
        <v>1064</v>
      </c>
      <c r="E132" s="171">
        <v>2</v>
      </c>
      <c r="F132" s="170" t="s">
        <v>952</v>
      </c>
    </row>
    <row r="133" spans="1:6" x14ac:dyDescent="0.2">
      <c r="A133" s="170" t="s">
        <v>650</v>
      </c>
      <c r="B133" s="171">
        <v>1290</v>
      </c>
      <c r="C133" s="172" t="s">
        <v>1137</v>
      </c>
      <c r="D133" s="170" t="s">
        <v>1064</v>
      </c>
      <c r="E133" s="171">
        <v>1</v>
      </c>
      <c r="F133" s="170" t="s">
        <v>952</v>
      </c>
    </row>
    <row r="134" spans="1:6" x14ac:dyDescent="0.2">
      <c r="A134" s="170" t="s">
        <v>1138</v>
      </c>
      <c r="B134" s="171">
        <v>1950</v>
      </c>
      <c r="C134" s="172" t="s">
        <v>1139</v>
      </c>
      <c r="D134" s="170" t="s">
        <v>1064</v>
      </c>
      <c r="E134" s="171">
        <v>500</v>
      </c>
      <c r="F134" s="170" t="s">
        <v>936</v>
      </c>
    </row>
    <row r="135" spans="1:6" x14ac:dyDescent="0.2">
      <c r="A135" s="170" t="s">
        <v>1140</v>
      </c>
      <c r="B135" s="171">
        <v>1590</v>
      </c>
      <c r="C135" s="172" t="s">
        <v>1141</v>
      </c>
      <c r="D135" s="170" t="s">
        <v>1064</v>
      </c>
      <c r="E135" s="171">
        <v>500</v>
      </c>
      <c r="F135" s="170" t="s">
        <v>936</v>
      </c>
    </row>
    <row r="136" spans="1:6" x14ac:dyDescent="0.2">
      <c r="A136" s="170" t="s">
        <v>1142</v>
      </c>
      <c r="B136" s="171">
        <v>1990</v>
      </c>
      <c r="C136" s="172" t="s">
        <v>1143</v>
      </c>
      <c r="D136" s="170" t="s">
        <v>1064</v>
      </c>
      <c r="E136" s="171">
        <v>650</v>
      </c>
      <c r="F136" s="170" t="s">
        <v>936</v>
      </c>
    </row>
    <row r="137" spans="1:6" x14ac:dyDescent="0.2">
      <c r="A137" s="170" t="s">
        <v>1144</v>
      </c>
      <c r="B137" s="171">
        <v>1990</v>
      </c>
      <c r="C137" s="172" t="s">
        <v>1145</v>
      </c>
      <c r="D137" s="170" t="s">
        <v>1064</v>
      </c>
      <c r="E137" s="171">
        <v>200</v>
      </c>
      <c r="F137" s="170" t="s">
        <v>936</v>
      </c>
    </row>
    <row r="138" spans="1:6" x14ac:dyDescent="0.2">
      <c r="A138" s="170" t="s">
        <v>1146</v>
      </c>
      <c r="B138" s="171">
        <v>2590</v>
      </c>
      <c r="C138" s="172" t="s">
        <v>1147</v>
      </c>
      <c r="D138" s="170" t="s">
        <v>1064</v>
      </c>
      <c r="E138" s="171">
        <v>1</v>
      </c>
      <c r="F138" s="170" t="s">
        <v>925</v>
      </c>
    </row>
    <row r="139" spans="1:6" x14ac:dyDescent="0.2">
      <c r="A139" s="170" t="s">
        <v>1148</v>
      </c>
      <c r="B139" s="171">
        <v>1590</v>
      </c>
      <c r="C139" s="172" t="s">
        <v>1149</v>
      </c>
      <c r="D139" s="170" t="s">
        <v>1064</v>
      </c>
      <c r="E139" s="171">
        <v>1</v>
      </c>
      <c r="F139" s="170" t="s">
        <v>952</v>
      </c>
    </row>
    <row r="140" spans="1:6" x14ac:dyDescent="0.2">
      <c r="A140" s="170" t="s">
        <v>553</v>
      </c>
      <c r="B140" s="171">
        <v>3590</v>
      </c>
      <c r="C140" s="172" t="s">
        <v>1150</v>
      </c>
      <c r="D140" s="170" t="s">
        <v>1064</v>
      </c>
      <c r="E140" s="171">
        <v>4</v>
      </c>
      <c r="F140" s="170" t="s">
        <v>952</v>
      </c>
    </row>
    <row r="141" spans="1:6" x14ac:dyDescent="0.2">
      <c r="A141" s="170" t="s">
        <v>498</v>
      </c>
      <c r="B141" s="171">
        <v>1090</v>
      </c>
      <c r="C141" s="172" t="s">
        <v>1151</v>
      </c>
      <c r="D141" s="170" t="s">
        <v>1064</v>
      </c>
      <c r="E141" s="171">
        <v>1</v>
      </c>
      <c r="F141" s="170" t="s">
        <v>952</v>
      </c>
    </row>
    <row r="142" spans="1:6" x14ac:dyDescent="0.2">
      <c r="A142" s="170" t="s">
        <v>1152</v>
      </c>
      <c r="B142" s="171">
        <v>2890</v>
      </c>
      <c r="C142" s="172" t="s">
        <v>1153</v>
      </c>
      <c r="D142" s="170" t="s">
        <v>1064</v>
      </c>
      <c r="E142" s="171">
        <v>420</v>
      </c>
      <c r="F142" s="170" t="s">
        <v>936</v>
      </c>
    </row>
    <row r="143" spans="1:6" x14ac:dyDescent="0.2">
      <c r="A143" s="170" t="s">
        <v>426</v>
      </c>
      <c r="B143" s="171">
        <v>5390</v>
      </c>
      <c r="C143" s="172" t="s">
        <v>1154</v>
      </c>
      <c r="D143" s="170" t="s">
        <v>1064</v>
      </c>
      <c r="E143" s="171">
        <v>1</v>
      </c>
      <c r="F143" s="170" t="s">
        <v>925</v>
      </c>
    </row>
    <row r="144" spans="1:6" x14ac:dyDescent="0.2">
      <c r="A144" s="170" t="s">
        <v>805</v>
      </c>
      <c r="B144" s="171">
        <v>1690</v>
      </c>
      <c r="C144" s="172" t="s">
        <v>1155</v>
      </c>
      <c r="D144" s="170" t="s">
        <v>1064</v>
      </c>
      <c r="E144" s="171">
        <v>1</v>
      </c>
      <c r="F144" s="170" t="s">
        <v>952</v>
      </c>
    </row>
    <row r="145" spans="1:6" x14ac:dyDescent="0.2">
      <c r="A145" s="170" t="s">
        <v>1156</v>
      </c>
      <c r="B145" s="171">
        <v>990</v>
      </c>
      <c r="C145" s="172" t="s">
        <v>1157</v>
      </c>
      <c r="D145" s="170" t="s">
        <v>1064</v>
      </c>
      <c r="E145" s="171">
        <v>280</v>
      </c>
      <c r="F145" s="170" t="s">
        <v>936</v>
      </c>
    </row>
    <row r="146" spans="1:6" x14ac:dyDescent="0.2">
      <c r="A146" s="170" t="s">
        <v>503</v>
      </c>
      <c r="B146" s="171">
        <v>3190</v>
      </c>
      <c r="C146" s="172" t="s">
        <v>1158</v>
      </c>
      <c r="D146" s="170" t="s">
        <v>1064</v>
      </c>
      <c r="E146" s="171">
        <v>500</v>
      </c>
      <c r="F146" s="170" t="s">
        <v>936</v>
      </c>
    </row>
    <row r="147" spans="1:6" x14ac:dyDescent="0.2">
      <c r="A147" s="170" t="s">
        <v>1159</v>
      </c>
      <c r="B147" s="171">
        <v>2990</v>
      </c>
      <c r="C147" s="172" t="s">
        <v>1160</v>
      </c>
      <c r="D147" s="170" t="s">
        <v>1064</v>
      </c>
      <c r="E147" s="171" t="s">
        <v>957</v>
      </c>
      <c r="F147" s="170" t="s">
        <v>925</v>
      </c>
    </row>
    <row r="148" spans="1:6" x14ac:dyDescent="0.2">
      <c r="A148" s="170" t="s">
        <v>798</v>
      </c>
      <c r="B148" s="171">
        <v>630</v>
      </c>
      <c r="C148" s="172" t="s">
        <v>1161</v>
      </c>
      <c r="D148" s="170" t="s">
        <v>1064</v>
      </c>
      <c r="E148" s="171">
        <v>120</v>
      </c>
      <c r="F148" s="170" t="s">
        <v>936</v>
      </c>
    </row>
    <row r="149" spans="1:6" x14ac:dyDescent="0.2">
      <c r="A149" s="170" t="s">
        <v>1162</v>
      </c>
      <c r="B149" s="171">
        <v>2290</v>
      </c>
      <c r="C149" s="172" t="s">
        <v>1163</v>
      </c>
      <c r="D149" s="170" t="s">
        <v>1064</v>
      </c>
      <c r="E149" s="171">
        <v>150</v>
      </c>
      <c r="F149" s="170" t="s">
        <v>936</v>
      </c>
    </row>
    <row r="150" spans="1:6" x14ac:dyDescent="0.2">
      <c r="A150" s="170" t="s">
        <v>567</v>
      </c>
      <c r="B150" s="171">
        <v>1390</v>
      </c>
      <c r="C150" s="172" t="s">
        <v>1164</v>
      </c>
      <c r="D150" s="170" t="s">
        <v>1064</v>
      </c>
      <c r="E150" s="171">
        <v>60</v>
      </c>
      <c r="F150" s="170" t="s">
        <v>936</v>
      </c>
    </row>
    <row r="151" spans="1:6" x14ac:dyDescent="0.2">
      <c r="A151" s="170" t="s">
        <v>1165</v>
      </c>
      <c r="B151" s="171">
        <v>2290</v>
      </c>
      <c r="C151" s="172" t="s">
        <v>1166</v>
      </c>
      <c r="D151" s="170" t="s">
        <v>1064</v>
      </c>
      <c r="E151" s="171">
        <v>1</v>
      </c>
      <c r="F151" s="170" t="s">
        <v>952</v>
      </c>
    </row>
    <row r="152" spans="1:6" x14ac:dyDescent="0.2">
      <c r="A152" s="170" t="s">
        <v>1167</v>
      </c>
      <c r="B152" s="171">
        <v>990</v>
      </c>
      <c r="C152" s="172" t="s">
        <v>1168</v>
      </c>
      <c r="D152" s="170" t="s">
        <v>1064</v>
      </c>
      <c r="E152" s="171">
        <v>50</v>
      </c>
      <c r="F152" s="170" t="s">
        <v>936</v>
      </c>
    </row>
    <row r="153" spans="1:6" x14ac:dyDescent="0.2">
      <c r="A153" s="170" t="s">
        <v>1169</v>
      </c>
      <c r="B153" s="171">
        <v>1190</v>
      </c>
      <c r="C153" s="172" t="s">
        <v>1170</v>
      </c>
      <c r="D153" s="170" t="s">
        <v>1064</v>
      </c>
      <c r="E153" s="171">
        <v>1</v>
      </c>
      <c r="F153" s="170" t="s">
        <v>952</v>
      </c>
    </row>
    <row r="154" spans="1:6" x14ac:dyDescent="0.2">
      <c r="A154" s="170" t="s">
        <v>1171</v>
      </c>
      <c r="B154" s="171">
        <v>2990</v>
      </c>
      <c r="C154" s="172" t="s">
        <v>1172</v>
      </c>
      <c r="D154" s="170" t="s">
        <v>1064</v>
      </c>
      <c r="E154" s="171">
        <v>150</v>
      </c>
      <c r="F154" s="170" t="s">
        <v>936</v>
      </c>
    </row>
    <row r="155" spans="1:6" x14ac:dyDescent="0.2">
      <c r="A155" s="170" t="s">
        <v>1173</v>
      </c>
      <c r="B155" s="171">
        <v>1090</v>
      </c>
      <c r="C155" s="172" t="s">
        <v>1174</v>
      </c>
      <c r="D155" s="170" t="s">
        <v>1064</v>
      </c>
      <c r="E155" s="171">
        <v>180</v>
      </c>
      <c r="F155" s="170" t="s">
        <v>936</v>
      </c>
    </row>
    <row r="156" spans="1:6" x14ac:dyDescent="0.2">
      <c r="A156" s="170" t="s">
        <v>1175</v>
      </c>
      <c r="B156" s="171">
        <v>1890</v>
      </c>
      <c r="C156" s="172" t="s">
        <v>1176</v>
      </c>
      <c r="D156" s="170" t="s">
        <v>1064</v>
      </c>
      <c r="E156" s="171">
        <v>150</v>
      </c>
      <c r="F156" s="170" t="s">
        <v>936</v>
      </c>
    </row>
    <row r="157" spans="1:6" x14ac:dyDescent="0.2">
      <c r="A157" s="170" t="s">
        <v>1177</v>
      </c>
      <c r="B157" s="171">
        <v>2990</v>
      </c>
      <c r="C157" s="172" t="s">
        <v>1178</v>
      </c>
      <c r="D157" s="170" t="s">
        <v>1064</v>
      </c>
      <c r="E157" s="171">
        <v>1</v>
      </c>
      <c r="F157" s="170" t="s">
        <v>952</v>
      </c>
    </row>
    <row r="158" spans="1:6" x14ac:dyDescent="0.2">
      <c r="A158" s="170" t="s">
        <v>1179</v>
      </c>
      <c r="B158" s="171">
        <v>1090</v>
      </c>
      <c r="C158" s="172" t="s">
        <v>1180</v>
      </c>
      <c r="D158" s="170" t="s">
        <v>1064</v>
      </c>
      <c r="E158" s="171">
        <v>180</v>
      </c>
      <c r="F158" s="170" t="s">
        <v>936</v>
      </c>
    </row>
    <row r="159" spans="1:6" x14ac:dyDescent="0.2">
      <c r="A159" s="170" t="s">
        <v>1181</v>
      </c>
      <c r="B159" s="171">
        <v>5990</v>
      </c>
      <c r="C159" s="172" t="s">
        <v>1182</v>
      </c>
      <c r="D159" s="170" t="s">
        <v>1064</v>
      </c>
      <c r="E159" s="171">
        <v>1</v>
      </c>
      <c r="F159" s="170" t="s">
        <v>925</v>
      </c>
    </row>
    <row r="160" spans="1:6" x14ac:dyDescent="0.2">
      <c r="A160" s="170" t="s">
        <v>861</v>
      </c>
      <c r="B160" s="171">
        <v>1690</v>
      </c>
      <c r="C160" s="172" t="s">
        <v>1183</v>
      </c>
      <c r="D160" s="170" t="s">
        <v>1064</v>
      </c>
      <c r="E160" s="171">
        <v>200</v>
      </c>
      <c r="F160" s="170" t="s">
        <v>936</v>
      </c>
    </row>
    <row r="161" spans="1:6" x14ac:dyDescent="0.2">
      <c r="A161" s="170" t="s">
        <v>1184</v>
      </c>
      <c r="B161" s="171">
        <v>1290</v>
      </c>
      <c r="C161" s="172" t="s">
        <v>1185</v>
      </c>
      <c r="D161" s="170" t="s">
        <v>1064</v>
      </c>
      <c r="E161" s="171">
        <v>1</v>
      </c>
      <c r="F161" s="170" t="s">
        <v>952</v>
      </c>
    </row>
    <row r="162" spans="1:6" x14ac:dyDescent="0.2">
      <c r="A162" s="170" t="s">
        <v>1186</v>
      </c>
      <c r="B162" s="171">
        <v>1050</v>
      </c>
      <c r="C162" s="172" t="s">
        <v>1187</v>
      </c>
      <c r="D162" s="170" t="s">
        <v>1064</v>
      </c>
      <c r="E162" s="171">
        <v>250</v>
      </c>
      <c r="F162" s="170" t="s">
        <v>936</v>
      </c>
    </row>
    <row r="163" spans="1:6" x14ac:dyDescent="0.2">
      <c r="A163" s="170" t="s">
        <v>1188</v>
      </c>
      <c r="B163" s="171">
        <v>1390</v>
      </c>
      <c r="C163" s="172" t="s">
        <v>1189</v>
      </c>
      <c r="D163" s="170" t="s">
        <v>1064</v>
      </c>
      <c r="E163" s="171">
        <v>150</v>
      </c>
      <c r="F163" s="170" t="s">
        <v>936</v>
      </c>
    </row>
    <row r="164" spans="1:6" x14ac:dyDescent="0.2">
      <c r="A164" s="170" t="s">
        <v>1190</v>
      </c>
      <c r="B164" s="171">
        <v>890</v>
      </c>
      <c r="C164" s="172" t="s">
        <v>1191</v>
      </c>
      <c r="D164" s="170" t="s">
        <v>1064</v>
      </c>
      <c r="E164" s="171">
        <v>1</v>
      </c>
      <c r="F164" s="170" t="s">
        <v>952</v>
      </c>
    </row>
    <row r="165" spans="1:6" x14ac:dyDescent="0.2">
      <c r="A165" s="170" t="s">
        <v>1192</v>
      </c>
      <c r="B165" s="171">
        <v>1190</v>
      </c>
      <c r="C165" s="172" t="s">
        <v>1193</v>
      </c>
      <c r="D165" s="170" t="s">
        <v>1064</v>
      </c>
      <c r="E165" s="171">
        <v>125</v>
      </c>
      <c r="F165" s="170" t="s">
        <v>936</v>
      </c>
    </row>
    <row r="166" spans="1:6" x14ac:dyDescent="0.2">
      <c r="A166" s="170" t="s">
        <v>1194</v>
      </c>
      <c r="B166" s="171">
        <v>1690</v>
      </c>
      <c r="C166" s="172" t="s">
        <v>1195</v>
      </c>
      <c r="D166" s="170" t="s">
        <v>1064</v>
      </c>
      <c r="E166" s="171">
        <v>3</v>
      </c>
      <c r="F166" s="170" t="s">
        <v>952</v>
      </c>
    </row>
    <row r="167" spans="1:6" x14ac:dyDescent="0.2">
      <c r="A167" s="170" t="s">
        <v>1196</v>
      </c>
      <c r="B167" s="171">
        <v>2490</v>
      </c>
      <c r="C167" s="172" t="s">
        <v>1197</v>
      </c>
      <c r="D167" s="170" t="s">
        <v>1064</v>
      </c>
      <c r="E167" s="171">
        <v>2</v>
      </c>
      <c r="F167" s="170" t="s">
        <v>952</v>
      </c>
    </row>
    <row r="168" spans="1:6" x14ac:dyDescent="0.2">
      <c r="A168" s="170" t="s">
        <v>1198</v>
      </c>
      <c r="B168" s="171">
        <v>2490</v>
      </c>
      <c r="C168" s="172" t="s">
        <v>1199</v>
      </c>
      <c r="D168" s="170" t="s">
        <v>1064</v>
      </c>
      <c r="E168" s="171">
        <v>1</v>
      </c>
      <c r="F168" s="170" t="s">
        <v>925</v>
      </c>
    </row>
    <row r="169" spans="1:6" x14ac:dyDescent="0.2">
      <c r="A169" s="170" t="s">
        <v>1200</v>
      </c>
      <c r="B169" s="171">
        <v>1390</v>
      </c>
      <c r="C169" s="172" t="s">
        <v>1201</v>
      </c>
      <c r="D169" s="170" t="s">
        <v>1064</v>
      </c>
      <c r="E169" s="171">
        <v>60</v>
      </c>
      <c r="F169" s="170" t="s">
        <v>936</v>
      </c>
    </row>
    <row r="170" spans="1:6" x14ac:dyDescent="0.2">
      <c r="A170" s="170" t="s">
        <v>1202</v>
      </c>
      <c r="B170" s="171">
        <v>1590</v>
      </c>
      <c r="C170" s="172" t="s">
        <v>1203</v>
      </c>
      <c r="D170" s="170" t="s">
        <v>1064</v>
      </c>
      <c r="E170" s="171">
        <v>1</v>
      </c>
      <c r="F170" s="170" t="s">
        <v>952</v>
      </c>
    </row>
    <row r="171" spans="1:6" x14ac:dyDescent="0.2">
      <c r="A171" s="170" t="s">
        <v>1204</v>
      </c>
      <c r="B171" s="171">
        <v>2490</v>
      </c>
      <c r="C171" s="172" t="s">
        <v>1205</v>
      </c>
      <c r="D171" s="170" t="s">
        <v>1064</v>
      </c>
      <c r="E171" s="171">
        <v>150</v>
      </c>
      <c r="F171" s="170" t="s">
        <v>936</v>
      </c>
    </row>
    <row r="172" spans="1:6" x14ac:dyDescent="0.2">
      <c r="A172" s="170" t="s">
        <v>1206</v>
      </c>
      <c r="B172" s="171">
        <v>1090</v>
      </c>
      <c r="C172" s="172" t="s">
        <v>1207</v>
      </c>
      <c r="D172" s="170" t="s">
        <v>1064</v>
      </c>
      <c r="E172" s="171">
        <v>180</v>
      </c>
      <c r="F172" s="170" t="s">
        <v>936</v>
      </c>
    </row>
    <row r="173" spans="1:6" x14ac:dyDescent="0.2">
      <c r="A173" s="170" t="s">
        <v>1208</v>
      </c>
      <c r="B173" s="171">
        <v>1250</v>
      </c>
      <c r="C173" s="172" t="s">
        <v>1209</v>
      </c>
      <c r="D173" s="170" t="s">
        <v>1064</v>
      </c>
      <c r="E173" s="171">
        <v>200</v>
      </c>
      <c r="F173" s="170" t="s">
        <v>936</v>
      </c>
    </row>
    <row r="174" spans="1:6" x14ac:dyDescent="0.2">
      <c r="A174" s="170" t="s">
        <v>1210</v>
      </c>
      <c r="B174" s="171">
        <v>1250</v>
      </c>
      <c r="C174" s="172" t="s">
        <v>1211</v>
      </c>
      <c r="D174" s="170" t="s">
        <v>1064</v>
      </c>
      <c r="E174" s="171">
        <v>300</v>
      </c>
      <c r="F174" s="170" t="s">
        <v>936</v>
      </c>
    </row>
    <row r="175" spans="1:6" x14ac:dyDescent="0.2">
      <c r="A175" s="170" t="s">
        <v>1212</v>
      </c>
      <c r="B175" s="171">
        <v>1250</v>
      </c>
      <c r="C175" s="172" t="s">
        <v>1213</v>
      </c>
      <c r="D175" s="170" t="s">
        <v>1064</v>
      </c>
      <c r="E175" s="171">
        <v>300</v>
      </c>
      <c r="F175" s="170" t="s">
        <v>936</v>
      </c>
    </row>
    <row r="176" spans="1:6" x14ac:dyDescent="0.2">
      <c r="A176" s="170" t="s">
        <v>1214</v>
      </c>
      <c r="B176" s="171">
        <v>1250</v>
      </c>
      <c r="C176" s="172" t="s">
        <v>1215</v>
      </c>
      <c r="D176" s="170" t="s">
        <v>1064</v>
      </c>
      <c r="E176" s="171">
        <v>300</v>
      </c>
      <c r="F176" s="170" t="s">
        <v>936</v>
      </c>
    </row>
    <row r="177" spans="1:6" x14ac:dyDescent="0.2">
      <c r="A177" s="170" t="s">
        <v>1216</v>
      </c>
      <c r="B177" s="171">
        <v>3990</v>
      </c>
      <c r="C177" s="172" t="s">
        <v>1217</v>
      </c>
      <c r="D177" s="170" t="s">
        <v>1064</v>
      </c>
      <c r="E177" s="171">
        <v>454</v>
      </c>
      <c r="F177" s="170" t="s">
        <v>936</v>
      </c>
    </row>
    <row r="178" spans="1:6" x14ac:dyDescent="0.2">
      <c r="A178" s="170" t="s">
        <v>1218</v>
      </c>
      <c r="B178" s="171">
        <v>1890</v>
      </c>
      <c r="C178" s="172" t="s">
        <v>1219</v>
      </c>
      <c r="D178" s="170" t="s">
        <v>1064</v>
      </c>
      <c r="E178" s="171">
        <v>150</v>
      </c>
      <c r="F178" s="170" t="s">
        <v>936</v>
      </c>
    </row>
    <row r="179" spans="1:6" x14ac:dyDescent="0.2">
      <c r="A179" s="170" t="s">
        <v>1220</v>
      </c>
      <c r="B179" s="171">
        <v>5890</v>
      </c>
      <c r="C179" s="172" t="s">
        <v>1221</v>
      </c>
      <c r="D179" s="170" t="s">
        <v>1064</v>
      </c>
      <c r="E179" s="171">
        <v>400</v>
      </c>
      <c r="F179" s="170" t="s">
        <v>936</v>
      </c>
    </row>
    <row r="180" spans="1:6" x14ac:dyDescent="0.2">
      <c r="A180" s="170" t="s">
        <v>1222</v>
      </c>
      <c r="B180" s="171">
        <v>5890</v>
      </c>
      <c r="C180" s="172" t="s">
        <v>1223</v>
      </c>
      <c r="D180" s="170" t="s">
        <v>1064</v>
      </c>
      <c r="E180" s="171">
        <v>400</v>
      </c>
      <c r="F180" s="170" t="s">
        <v>936</v>
      </c>
    </row>
    <row r="181" spans="1:6" x14ac:dyDescent="0.2">
      <c r="A181" s="170" t="s">
        <v>1224</v>
      </c>
      <c r="B181" s="171">
        <v>2190</v>
      </c>
      <c r="C181" s="172" t="s">
        <v>1225</v>
      </c>
      <c r="D181" s="170" t="s">
        <v>1064</v>
      </c>
      <c r="E181" s="171">
        <v>150</v>
      </c>
      <c r="F181" s="170" t="s">
        <v>936</v>
      </c>
    </row>
    <row r="182" spans="1:6" x14ac:dyDescent="0.2">
      <c r="A182" s="170" t="s">
        <v>1226</v>
      </c>
      <c r="B182" s="171">
        <v>2290</v>
      </c>
      <c r="C182" s="172" t="s">
        <v>1227</v>
      </c>
      <c r="D182" s="170" t="s">
        <v>1064</v>
      </c>
      <c r="E182" s="171">
        <v>150</v>
      </c>
      <c r="F182" s="170" t="s">
        <v>936</v>
      </c>
    </row>
    <row r="183" spans="1:6" x14ac:dyDescent="0.2">
      <c r="A183" s="170" t="s">
        <v>1228</v>
      </c>
      <c r="B183" s="171">
        <v>1990</v>
      </c>
      <c r="C183" s="172" t="s">
        <v>1229</v>
      </c>
      <c r="D183" s="170" t="s">
        <v>1064</v>
      </c>
      <c r="E183" s="171">
        <v>200</v>
      </c>
      <c r="F183" s="170" t="s">
        <v>936</v>
      </c>
    </row>
    <row r="184" spans="1:6" x14ac:dyDescent="0.2">
      <c r="A184" s="170" t="s">
        <v>1230</v>
      </c>
      <c r="B184" s="171">
        <v>5890</v>
      </c>
      <c r="C184" s="172" t="s">
        <v>1231</v>
      </c>
      <c r="D184" s="170" t="s">
        <v>1064</v>
      </c>
      <c r="E184" s="171">
        <v>400</v>
      </c>
      <c r="F184" s="170" t="s">
        <v>936</v>
      </c>
    </row>
    <row r="185" spans="1:6" x14ac:dyDescent="0.2">
      <c r="A185" s="170" t="s">
        <v>1232</v>
      </c>
      <c r="B185" s="171">
        <v>7190</v>
      </c>
      <c r="C185" s="172" t="s">
        <v>1233</v>
      </c>
      <c r="D185" s="170" t="s">
        <v>1064</v>
      </c>
      <c r="E185" s="171">
        <v>400</v>
      </c>
      <c r="F185" s="170" t="s">
        <v>936</v>
      </c>
    </row>
    <row r="186" spans="1:6" x14ac:dyDescent="0.2">
      <c r="A186" s="170" t="s">
        <v>1234</v>
      </c>
      <c r="B186" s="171">
        <v>2390</v>
      </c>
      <c r="C186" s="172" t="s">
        <v>1235</v>
      </c>
      <c r="D186" s="170" t="s">
        <v>1064</v>
      </c>
      <c r="E186" s="171">
        <v>150</v>
      </c>
      <c r="F186" s="170" t="s">
        <v>936</v>
      </c>
    </row>
    <row r="187" spans="1:6" x14ac:dyDescent="0.2">
      <c r="A187" s="170" t="s">
        <v>1236</v>
      </c>
      <c r="B187" s="171">
        <v>4190</v>
      </c>
      <c r="C187" s="172" t="s">
        <v>1237</v>
      </c>
      <c r="D187" s="170" t="s">
        <v>1064</v>
      </c>
      <c r="E187" s="171">
        <v>500</v>
      </c>
      <c r="F187" s="170" t="s">
        <v>936</v>
      </c>
    </row>
    <row r="188" spans="1:6" x14ac:dyDescent="0.2">
      <c r="A188" s="170" t="s">
        <v>1238</v>
      </c>
      <c r="B188" s="171">
        <v>3790</v>
      </c>
      <c r="C188" s="172" t="s">
        <v>1239</v>
      </c>
      <c r="D188" s="170" t="s">
        <v>1064</v>
      </c>
      <c r="E188" s="171">
        <v>300</v>
      </c>
      <c r="F188" s="170" t="s">
        <v>936</v>
      </c>
    </row>
    <row r="189" spans="1:6" x14ac:dyDescent="0.2">
      <c r="A189" s="170" t="s">
        <v>1240</v>
      </c>
      <c r="B189" s="171">
        <v>2590</v>
      </c>
      <c r="C189" s="172" t="s">
        <v>1241</v>
      </c>
      <c r="D189" s="170" t="s">
        <v>1064</v>
      </c>
      <c r="E189" s="171">
        <v>1</v>
      </c>
      <c r="F189" s="170" t="s">
        <v>952</v>
      </c>
    </row>
    <row r="190" spans="1:6" x14ac:dyDescent="0.2">
      <c r="A190" s="170" t="s">
        <v>1242</v>
      </c>
      <c r="B190" s="171">
        <v>2590</v>
      </c>
      <c r="C190" s="172" t="s">
        <v>1243</v>
      </c>
      <c r="D190" s="170" t="s">
        <v>1064</v>
      </c>
      <c r="E190" s="171">
        <v>1</v>
      </c>
      <c r="F190" s="170" t="s">
        <v>952</v>
      </c>
    </row>
    <row r="191" spans="1:6" x14ac:dyDescent="0.2">
      <c r="A191" s="170" t="s">
        <v>1244</v>
      </c>
      <c r="B191" s="171">
        <v>1350</v>
      </c>
      <c r="C191" s="172" t="s">
        <v>1245</v>
      </c>
      <c r="D191" s="170" t="s">
        <v>1064</v>
      </c>
      <c r="E191" s="171">
        <v>30</v>
      </c>
      <c r="F191" s="170" t="s">
        <v>936</v>
      </c>
    </row>
    <row r="192" spans="1:6" x14ac:dyDescent="0.2">
      <c r="A192" s="170" t="s">
        <v>1246</v>
      </c>
      <c r="B192" s="171">
        <v>2190</v>
      </c>
      <c r="C192" s="172" t="s">
        <v>1247</v>
      </c>
      <c r="D192" s="170" t="s">
        <v>1064</v>
      </c>
      <c r="E192" s="171">
        <v>500</v>
      </c>
      <c r="F192" s="170" t="s">
        <v>936</v>
      </c>
    </row>
    <row r="193" spans="1:6" x14ac:dyDescent="0.2">
      <c r="A193" s="170" t="s">
        <v>1248</v>
      </c>
      <c r="B193" s="171">
        <v>1890</v>
      </c>
      <c r="C193" s="172" t="s">
        <v>1249</v>
      </c>
      <c r="D193" s="170" t="s">
        <v>1064</v>
      </c>
      <c r="E193" s="171">
        <v>80</v>
      </c>
      <c r="F193" s="170" t="s">
        <v>936</v>
      </c>
    </row>
    <row r="194" spans="1:6" x14ac:dyDescent="0.2">
      <c r="A194" s="170" t="s">
        <v>1250</v>
      </c>
      <c r="B194" s="171">
        <v>1650</v>
      </c>
      <c r="C194" s="172" t="s">
        <v>1251</v>
      </c>
      <c r="D194" s="170" t="s">
        <v>1064</v>
      </c>
      <c r="E194" s="171">
        <v>1</v>
      </c>
      <c r="F194" s="170" t="s">
        <v>925</v>
      </c>
    </row>
    <row r="195" spans="1:6" x14ac:dyDescent="0.2">
      <c r="A195" s="170" t="s">
        <v>1252</v>
      </c>
      <c r="B195" s="171">
        <v>1490</v>
      </c>
      <c r="C195" s="172" t="s">
        <v>1253</v>
      </c>
      <c r="D195" s="170" t="s">
        <v>1064</v>
      </c>
      <c r="E195" s="171">
        <v>250</v>
      </c>
      <c r="F195" s="170" t="s">
        <v>936</v>
      </c>
    </row>
    <row r="196" spans="1:6" x14ac:dyDescent="0.2">
      <c r="A196" s="170" t="s">
        <v>1254</v>
      </c>
      <c r="B196" s="171">
        <v>2390</v>
      </c>
      <c r="C196" s="172" t="s">
        <v>1255</v>
      </c>
      <c r="D196" s="170" t="s">
        <v>1064</v>
      </c>
      <c r="E196" s="171">
        <v>200</v>
      </c>
      <c r="F196" s="170" t="s">
        <v>936</v>
      </c>
    </row>
    <row r="197" spans="1:6" x14ac:dyDescent="0.2">
      <c r="A197" s="170" t="s">
        <v>1256</v>
      </c>
      <c r="B197" s="171">
        <v>2390</v>
      </c>
      <c r="C197" s="172" t="s">
        <v>1257</v>
      </c>
      <c r="D197" s="170" t="s">
        <v>1064</v>
      </c>
      <c r="E197" s="171">
        <v>600</v>
      </c>
      <c r="F197" s="170" t="s">
        <v>936</v>
      </c>
    </row>
    <row r="198" spans="1:6" x14ac:dyDescent="0.2">
      <c r="A198" s="170" t="s">
        <v>1258</v>
      </c>
      <c r="B198" s="171">
        <v>2290</v>
      </c>
      <c r="C198" s="172" t="s">
        <v>1259</v>
      </c>
      <c r="D198" s="170" t="s">
        <v>1064</v>
      </c>
      <c r="E198" s="171">
        <v>80</v>
      </c>
      <c r="F198" s="170" t="s">
        <v>936</v>
      </c>
    </row>
    <row r="199" spans="1:6" x14ac:dyDescent="0.2">
      <c r="A199" s="170" t="s">
        <v>877</v>
      </c>
      <c r="B199" s="171">
        <v>2690</v>
      </c>
      <c r="C199" s="172" t="s">
        <v>1260</v>
      </c>
      <c r="D199" s="170" t="s">
        <v>1064</v>
      </c>
      <c r="E199" s="171">
        <v>100</v>
      </c>
      <c r="F199" s="170" t="s">
        <v>936</v>
      </c>
    </row>
    <row r="200" spans="1:6" x14ac:dyDescent="0.2">
      <c r="A200" s="170" t="s">
        <v>1261</v>
      </c>
      <c r="B200" s="171">
        <v>1890</v>
      </c>
      <c r="C200" s="172" t="s">
        <v>1262</v>
      </c>
      <c r="D200" s="170" t="s">
        <v>1064</v>
      </c>
      <c r="E200" s="171">
        <v>100</v>
      </c>
      <c r="F200" s="170" t="s">
        <v>936</v>
      </c>
    </row>
    <row r="201" spans="1:6" x14ac:dyDescent="0.2">
      <c r="A201" s="170" t="s">
        <v>1263</v>
      </c>
      <c r="B201" s="171">
        <v>1990</v>
      </c>
      <c r="C201" s="172" t="s">
        <v>1264</v>
      </c>
      <c r="D201" s="170" t="s">
        <v>1064</v>
      </c>
      <c r="E201" s="171">
        <v>200</v>
      </c>
      <c r="F201" s="170" t="s">
        <v>936</v>
      </c>
    </row>
    <row r="202" spans="1:6" x14ac:dyDescent="0.2">
      <c r="A202" s="170" t="s">
        <v>1265</v>
      </c>
      <c r="B202" s="171">
        <v>3890</v>
      </c>
      <c r="C202" s="172" t="s">
        <v>1266</v>
      </c>
      <c r="D202" s="170" t="s">
        <v>1064</v>
      </c>
      <c r="E202" s="171">
        <v>400</v>
      </c>
      <c r="F202" s="170" t="s">
        <v>936</v>
      </c>
    </row>
    <row r="203" spans="1:6" x14ac:dyDescent="0.2">
      <c r="A203" s="170" t="s">
        <v>1267</v>
      </c>
      <c r="B203" s="171">
        <v>1950</v>
      </c>
      <c r="C203" s="172" t="s">
        <v>1268</v>
      </c>
      <c r="D203" s="170" t="s">
        <v>1064</v>
      </c>
      <c r="E203" s="171">
        <v>700</v>
      </c>
      <c r="F203" s="170" t="s">
        <v>936</v>
      </c>
    </row>
    <row r="204" spans="1:6" x14ac:dyDescent="0.2">
      <c r="A204" s="170" t="s">
        <v>1269</v>
      </c>
      <c r="B204" s="171">
        <v>1590</v>
      </c>
      <c r="C204" s="172" t="s">
        <v>1270</v>
      </c>
      <c r="D204" s="170" t="s">
        <v>1064</v>
      </c>
      <c r="E204" s="171">
        <v>30</v>
      </c>
      <c r="F204" s="170" t="s">
        <v>936</v>
      </c>
    </row>
    <row r="205" spans="1:6" x14ac:dyDescent="0.2">
      <c r="A205" s="170" t="s">
        <v>1271</v>
      </c>
      <c r="B205" s="171">
        <v>1490</v>
      </c>
      <c r="C205" s="172" t="s">
        <v>1272</v>
      </c>
      <c r="D205" s="170" t="s">
        <v>1064</v>
      </c>
      <c r="E205" s="171">
        <v>400</v>
      </c>
      <c r="F205" s="170" t="s">
        <v>936</v>
      </c>
    </row>
    <row r="206" spans="1:6" x14ac:dyDescent="0.2">
      <c r="A206" s="170" t="s">
        <v>1273</v>
      </c>
      <c r="B206" s="171">
        <v>1490</v>
      </c>
      <c r="C206" s="172" t="s">
        <v>1274</v>
      </c>
      <c r="D206" s="170" t="s">
        <v>1064</v>
      </c>
      <c r="E206" s="171">
        <v>250</v>
      </c>
      <c r="F206" s="170" t="s">
        <v>936</v>
      </c>
    </row>
    <row r="207" spans="1:6" x14ac:dyDescent="0.2">
      <c r="A207" s="170" t="s">
        <v>1275</v>
      </c>
      <c r="B207" s="171">
        <v>1790</v>
      </c>
      <c r="C207" s="172" t="s">
        <v>1276</v>
      </c>
      <c r="D207" s="170" t="s">
        <v>1064</v>
      </c>
      <c r="E207" s="171">
        <v>200</v>
      </c>
      <c r="F207" s="170" t="s">
        <v>936</v>
      </c>
    </row>
    <row r="208" spans="1:6" x14ac:dyDescent="0.2">
      <c r="A208" s="170" t="s">
        <v>1277</v>
      </c>
      <c r="B208" s="171">
        <v>1890</v>
      </c>
      <c r="C208" s="172" t="s">
        <v>1278</v>
      </c>
      <c r="D208" s="170" t="s">
        <v>1064</v>
      </c>
      <c r="E208" s="171">
        <v>200</v>
      </c>
      <c r="F208" s="170" t="s">
        <v>936</v>
      </c>
    </row>
    <row r="209" spans="1:6" x14ac:dyDescent="0.2">
      <c r="A209" s="170" t="s">
        <v>1279</v>
      </c>
      <c r="B209" s="171">
        <v>2290</v>
      </c>
      <c r="C209" s="172" t="s">
        <v>1280</v>
      </c>
      <c r="D209" s="170" t="s">
        <v>1064</v>
      </c>
      <c r="E209" s="171">
        <v>1</v>
      </c>
      <c r="F209" s="170" t="s">
        <v>952</v>
      </c>
    </row>
    <row r="210" spans="1:6" x14ac:dyDescent="0.2">
      <c r="A210" s="170" t="s">
        <v>1281</v>
      </c>
      <c r="B210" s="171">
        <v>2390</v>
      </c>
      <c r="C210" s="172" t="s">
        <v>1282</v>
      </c>
      <c r="D210" s="170" t="s">
        <v>1064</v>
      </c>
      <c r="E210" s="171">
        <v>250</v>
      </c>
      <c r="F210" s="170" t="s">
        <v>936</v>
      </c>
    </row>
    <row r="211" spans="1:6" x14ac:dyDescent="0.2">
      <c r="A211" s="170" t="s">
        <v>1283</v>
      </c>
      <c r="B211" s="171">
        <v>2990</v>
      </c>
      <c r="C211" s="172" t="s">
        <v>1284</v>
      </c>
      <c r="D211" s="170" t="s">
        <v>1064</v>
      </c>
      <c r="E211" s="171">
        <v>300</v>
      </c>
      <c r="F211" s="170" t="s">
        <v>936</v>
      </c>
    </row>
    <row r="212" spans="1:6" x14ac:dyDescent="0.2">
      <c r="A212" s="170" t="s">
        <v>1285</v>
      </c>
      <c r="B212" s="171">
        <v>2790</v>
      </c>
      <c r="C212" s="172" t="s">
        <v>1286</v>
      </c>
      <c r="D212" s="170" t="s">
        <v>1064</v>
      </c>
      <c r="E212" s="171">
        <v>300</v>
      </c>
      <c r="F212" s="170" t="s">
        <v>936</v>
      </c>
    </row>
    <row r="213" spans="1:6" x14ac:dyDescent="0.2">
      <c r="A213" s="170" t="s">
        <v>1287</v>
      </c>
      <c r="B213" s="171">
        <v>1590</v>
      </c>
      <c r="C213" s="172" t="s">
        <v>1288</v>
      </c>
      <c r="D213" s="170" t="s">
        <v>1064</v>
      </c>
      <c r="E213" s="171">
        <v>500</v>
      </c>
      <c r="F213" s="170" t="s">
        <v>936</v>
      </c>
    </row>
    <row r="214" spans="1:6" x14ac:dyDescent="0.2">
      <c r="A214" s="170" t="s">
        <v>1289</v>
      </c>
      <c r="B214" s="171">
        <v>1790</v>
      </c>
      <c r="C214" s="172" t="s">
        <v>1290</v>
      </c>
      <c r="D214" s="170" t="s">
        <v>1064</v>
      </c>
      <c r="E214" s="171">
        <v>300</v>
      </c>
      <c r="F214" s="170" t="s">
        <v>936</v>
      </c>
    </row>
    <row r="215" spans="1:6" x14ac:dyDescent="0.2">
      <c r="A215" s="170" t="s">
        <v>1291</v>
      </c>
      <c r="B215" s="171">
        <v>990</v>
      </c>
      <c r="C215" s="172" t="s">
        <v>1292</v>
      </c>
      <c r="D215" s="170" t="s">
        <v>1064</v>
      </c>
      <c r="E215" s="171">
        <v>1</v>
      </c>
      <c r="F215" s="170" t="s">
        <v>952</v>
      </c>
    </row>
    <row r="216" spans="1:6" x14ac:dyDescent="0.2">
      <c r="A216" s="170" t="s">
        <v>845</v>
      </c>
      <c r="B216" s="171">
        <v>1350</v>
      </c>
      <c r="C216" s="172" t="s">
        <v>1293</v>
      </c>
      <c r="D216" s="170" t="s">
        <v>1064</v>
      </c>
      <c r="E216" s="171">
        <v>8</v>
      </c>
      <c r="F216" s="170" t="s">
        <v>952</v>
      </c>
    </row>
    <row r="217" spans="1:6" x14ac:dyDescent="0.2">
      <c r="A217" s="170" t="s">
        <v>885</v>
      </c>
      <c r="B217" s="171">
        <v>2290</v>
      </c>
      <c r="C217" s="172" t="s">
        <v>1294</v>
      </c>
      <c r="D217" s="170" t="s">
        <v>1064</v>
      </c>
      <c r="E217" s="171">
        <v>1</v>
      </c>
      <c r="F217" s="170" t="s">
        <v>925</v>
      </c>
    </row>
    <row r="218" spans="1:6" x14ac:dyDescent="0.2">
      <c r="A218" s="170" t="s">
        <v>1295</v>
      </c>
      <c r="B218" s="171">
        <v>1650</v>
      </c>
      <c r="C218" s="172" t="s">
        <v>1296</v>
      </c>
      <c r="D218" s="170" t="s">
        <v>1064</v>
      </c>
      <c r="E218" s="171">
        <v>200</v>
      </c>
      <c r="F218" s="170" t="s">
        <v>936</v>
      </c>
    </row>
    <row r="219" spans="1:6" x14ac:dyDescent="0.2">
      <c r="A219" s="170" t="s">
        <v>457</v>
      </c>
      <c r="B219" s="171">
        <v>2790</v>
      </c>
      <c r="C219" s="172" t="s">
        <v>1297</v>
      </c>
      <c r="D219" s="170" t="s">
        <v>1064</v>
      </c>
      <c r="E219" s="171">
        <v>1</v>
      </c>
      <c r="F219" s="170" t="s">
        <v>952</v>
      </c>
    </row>
    <row r="220" spans="1:6" x14ac:dyDescent="0.2">
      <c r="A220" s="170" t="s">
        <v>1298</v>
      </c>
      <c r="B220" s="171">
        <v>2490</v>
      </c>
      <c r="C220" s="172" t="s">
        <v>1299</v>
      </c>
      <c r="D220" s="170" t="s">
        <v>1064</v>
      </c>
      <c r="E220" s="171">
        <v>500</v>
      </c>
      <c r="F220" s="170" t="s">
        <v>936</v>
      </c>
    </row>
    <row r="221" spans="1:6" x14ac:dyDescent="0.2">
      <c r="A221" s="170" t="s">
        <v>1300</v>
      </c>
      <c r="B221" s="171">
        <v>2590</v>
      </c>
      <c r="C221" s="172" t="s">
        <v>1301</v>
      </c>
      <c r="D221" s="170" t="s">
        <v>1064</v>
      </c>
      <c r="E221" s="171">
        <v>300</v>
      </c>
      <c r="F221" s="170" t="s">
        <v>936</v>
      </c>
    </row>
    <row r="222" spans="1:6" x14ac:dyDescent="0.2">
      <c r="A222" s="170" t="s">
        <v>1302</v>
      </c>
      <c r="B222" s="171">
        <v>990</v>
      </c>
      <c r="C222" s="172" t="s">
        <v>1303</v>
      </c>
      <c r="D222" s="170" t="s">
        <v>1064</v>
      </c>
      <c r="E222" s="171">
        <v>250</v>
      </c>
      <c r="F222" s="170" t="s">
        <v>936</v>
      </c>
    </row>
    <row r="223" spans="1:6" x14ac:dyDescent="0.2">
      <c r="A223" s="170" t="s">
        <v>735</v>
      </c>
      <c r="B223" s="171">
        <v>990</v>
      </c>
      <c r="C223" s="172" t="s">
        <v>1304</v>
      </c>
      <c r="D223" s="170" t="s">
        <v>1064</v>
      </c>
      <c r="E223" s="171">
        <v>1</v>
      </c>
      <c r="F223" s="170" t="s">
        <v>952</v>
      </c>
    </row>
    <row r="224" spans="1:6" x14ac:dyDescent="0.2">
      <c r="A224" s="170" t="s">
        <v>1305</v>
      </c>
      <c r="B224" s="171">
        <v>3990</v>
      </c>
      <c r="C224" s="172" t="s">
        <v>1306</v>
      </c>
      <c r="D224" s="170" t="s">
        <v>1064</v>
      </c>
      <c r="E224" s="171">
        <v>500</v>
      </c>
      <c r="F224" s="170" t="s">
        <v>936</v>
      </c>
    </row>
    <row r="225" spans="1:6" x14ac:dyDescent="0.2">
      <c r="A225" s="170" t="s">
        <v>1307</v>
      </c>
      <c r="B225" s="171">
        <v>2790</v>
      </c>
      <c r="C225" s="172" t="s">
        <v>1308</v>
      </c>
      <c r="D225" s="170" t="s">
        <v>1064</v>
      </c>
      <c r="E225" s="171">
        <v>300</v>
      </c>
      <c r="F225" s="170" t="s">
        <v>936</v>
      </c>
    </row>
    <row r="226" spans="1:6" x14ac:dyDescent="0.2">
      <c r="A226" s="170" t="s">
        <v>1309</v>
      </c>
      <c r="B226" s="171">
        <v>3790</v>
      </c>
      <c r="C226" s="172" t="s">
        <v>1310</v>
      </c>
      <c r="D226" s="170" t="s">
        <v>1064</v>
      </c>
      <c r="E226" s="171">
        <v>350</v>
      </c>
      <c r="F226" s="170" t="s">
        <v>936</v>
      </c>
    </row>
    <row r="227" spans="1:6" x14ac:dyDescent="0.2">
      <c r="A227" s="170" t="s">
        <v>1311</v>
      </c>
      <c r="B227" s="171">
        <v>1790</v>
      </c>
      <c r="C227" s="172" t="s">
        <v>1312</v>
      </c>
      <c r="D227" s="170" t="s">
        <v>1064</v>
      </c>
      <c r="E227" s="171">
        <v>300</v>
      </c>
      <c r="F227" s="170" t="s">
        <v>936</v>
      </c>
    </row>
    <row r="228" spans="1:6" x14ac:dyDescent="0.2">
      <c r="A228" s="170" t="s">
        <v>1313</v>
      </c>
      <c r="B228" s="171">
        <v>1490</v>
      </c>
      <c r="C228" s="172" t="s">
        <v>1314</v>
      </c>
      <c r="D228" s="170" t="s">
        <v>1064</v>
      </c>
      <c r="E228" s="171">
        <v>300</v>
      </c>
      <c r="F228" s="170" t="s">
        <v>936</v>
      </c>
    </row>
    <row r="229" spans="1:6" x14ac:dyDescent="0.2">
      <c r="A229" s="170" t="s">
        <v>1315</v>
      </c>
      <c r="B229" s="171">
        <v>1890</v>
      </c>
      <c r="C229" s="172" t="s">
        <v>1316</v>
      </c>
      <c r="D229" s="170" t="s">
        <v>1064</v>
      </c>
      <c r="E229" s="171">
        <v>80</v>
      </c>
      <c r="F229" s="170" t="s">
        <v>936</v>
      </c>
    </row>
    <row r="230" spans="1:6" x14ac:dyDescent="0.2">
      <c r="A230" s="170" t="s">
        <v>1317</v>
      </c>
      <c r="B230" s="171">
        <v>2490</v>
      </c>
      <c r="C230" s="172" t="s">
        <v>1318</v>
      </c>
      <c r="D230" s="170" t="s">
        <v>1064</v>
      </c>
      <c r="E230" s="171">
        <v>1</v>
      </c>
      <c r="F230" s="170" t="s">
        <v>925</v>
      </c>
    </row>
    <row r="231" spans="1:6" x14ac:dyDescent="0.2">
      <c r="A231" s="170" t="s">
        <v>1319</v>
      </c>
      <c r="B231" s="171">
        <v>1890</v>
      </c>
      <c r="C231" s="172" t="s">
        <v>1320</v>
      </c>
      <c r="D231" s="170" t="s">
        <v>1064</v>
      </c>
      <c r="E231" s="171">
        <v>60</v>
      </c>
      <c r="F231" s="170" t="s">
        <v>936</v>
      </c>
    </row>
    <row r="232" spans="1:6" x14ac:dyDescent="0.2">
      <c r="A232" s="170" t="s">
        <v>1321</v>
      </c>
      <c r="B232" s="171">
        <v>1390</v>
      </c>
      <c r="C232" s="172" t="s">
        <v>1322</v>
      </c>
      <c r="D232" s="170" t="s">
        <v>1064</v>
      </c>
      <c r="E232" s="171">
        <v>150</v>
      </c>
      <c r="F232" s="170" t="s">
        <v>936</v>
      </c>
    </row>
    <row r="233" spans="1:6" x14ac:dyDescent="0.2">
      <c r="A233" s="170" t="s">
        <v>1323</v>
      </c>
      <c r="B233" s="171">
        <v>2890</v>
      </c>
      <c r="C233" s="172" t="s">
        <v>1324</v>
      </c>
      <c r="D233" s="170" t="s">
        <v>1064</v>
      </c>
      <c r="E233" s="171">
        <v>300</v>
      </c>
      <c r="F233" s="170" t="s">
        <v>936</v>
      </c>
    </row>
    <row r="234" spans="1:6" x14ac:dyDescent="0.2">
      <c r="A234" s="170" t="s">
        <v>1325</v>
      </c>
      <c r="B234" s="171">
        <v>1690</v>
      </c>
      <c r="C234" s="172" t="s">
        <v>1326</v>
      </c>
      <c r="D234" s="170" t="s">
        <v>1064</v>
      </c>
      <c r="E234" s="171">
        <v>200</v>
      </c>
      <c r="F234" s="170" t="s">
        <v>936</v>
      </c>
    </row>
    <row r="235" spans="1:6" x14ac:dyDescent="0.2">
      <c r="A235" s="170" t="s">
        <v>1327</v>
      </c>
      <c r="B235" s="171">
        <v>1390</v>
      </c>
      <c r="C235" s="172" t="s">
        <v>1328</v>
      </c>
      <c r="D235" s="170" t="s">
        <v>1064</v>
      </c>
      <c r="E235" s="171">
        <v>150</v>
      </c>
      <c r="F235" s="170" t="s">
        <v>936</v>
      </c>
    </row>
    <row r="236" spans="1:6" x14ac:dyDescent="0.2">
      <c r="A236" s="170" t="s">
        <v>1329</v>
      </c>
      <c r="B236" s="171">
        <v>990</v>
      </c>
      <c r="C236" s="172" t="s">
        <v>1330</v>
      </c>
      <c r="D236" s="170" t="s">
        <v>1064</v>
      </c>
      <c r="E236" s="171">
        <v>30</v>
      </c>
      <c r="F236" s="170" t="s">
        <v>936</v>
      </c>
    </row>
    <row r="237" spans="1:6" x14ac:dyDescent="0.2">
      <c r="A237" s="170" t="s">
        <v>1331</v>
      </c>
      <c r="B237" s="171">
        <v>2590</v>
      </c>
      <c r="C237" s="172" t="s">
        <v>1332</v>
      </c>
      <c r="D237" s="170" t="s">
        <v>1064</v>
      </c>
      <c r="E237" s="171">
        <v>1</v>
      </c>
      <c r="F237" s="170" t="s">
        <v>925</v>
      </c>
    </row>
    <row r="238" spans="1:6" x14ac:dyDescent="0.2">
      <c r="A238" s="170" t="s">
        <v>1333</v>
      </c>
      <c r="B238" s="171">
        <v>990</v>
      </c>
      <c r="C238" s="172" t="s">
        <v>1334</v>
      </c>
      <c r="D238" s="170" t="s">
        <v>1064</v>
      </c>
      <c r="E238" s="171">
        <v>1</v>
      </c>
      <c r="F238" s="170" t="s">
        <v>952</v>
      </c>
    </row>
    <row r="239" spans="1:6" x14ac:dyDescent="0.2">
      <c r="A239" s="170" t="s">
        <v>1335</v>
      </c>
      <c r="B239" s="171">
        <v>1290</v>
      </c>
      <c r="C239" s="172" t="s">
        <v>1336</v>
      </c>
      <c r="D239" s="170" t="s">
        <v>1064</v>
      </c>
      <c r="E239" s="171">
        <v>1</v>
      </c>
      <c r="F239" s="170" t="s">
        <v>952</v>
      </c>
    </row>
    <row r="240" spans="1:6" x14ac:dyDescent="0.2">
      <c r="A240" s="170" t="s">
        <v>1337</v>
      </c>
      <c r="B240" s="171">
        <v>2990</v>
      </c>
      <c r="C240" s="172" t="s">
        <v>1338</v>
      </c>
      <c r="D240" s="170" t="s">
        <v>1064</v>
      </c>
      <c r="E240" s="171">
        <v>1</v>
      </c>
      <c r="F240" s="170" t="s">
        <v>952</v>
      </c>
    </row>
    <row r="241" spans="1:6" x14ac:dyDescent="0.2">
      <c r="A241" s="170" t="s">
        <v>1339</v>
      </c>
      <c r="B241" s="171">
        <v>2090</v>
      </c>
      <c r="C241" s="172" t="s">
        <v>1340</v>
      </c>
      <c r="D241" s="170" t="s">
        <v>1064</v>
      </c>
      <c r="E241" s="171">
        <v>250</v>
      </c>
      <c r="F241" s="170" t="s">
        <v>936</v>
      </c>
    </row>
    <row r="242" spans="1:6" x14ac:dyDescent="0.2">
      <c r="A242" s="170" t="s">
        <v>1341</v>
      </c>
      <c r="B242" s="171">
        <v>2890</v>
      </c>
      <c r="C242" s="172" t="s">
        <v>1342</v>
      </c>
      <c r="D242" s="170" t="s">
        <v>1064</v>
      </c>
      <c r="E242" s="171">
        <v>250</v>
      </c>
      <c r="F242" s="170" t="s">
        <v>936</v>
      </c>
    </row>
    <row r="243" spans="1:6" x14ac:dyDescent="0.2">
      <c r="A243" s="170" t="s">
        <v>1343</v>
      </c>
      <c r="B243" s="171">
        <v>2590</v>
      </c>
      <c r="C243" s="172" t="s">
        <v>1344</v>
      </c>
      <c r="D243" s="170" t="s">
        <v>1064</v>
      </c>
      <c r="E243" s="171">
        <v>500</v>
      </c>
      <c r="F243" s="170" t="s">
        <v>936</v>
      </c>
    </row>
    <row r="244" spans="1:6" x14ac:dyDescent="0.2">
      <c r="A244" s="170" t="s">
        <v>1345</v>
      </c>
      <c r="B244" s="171">
        <v>2190</v>
      </c>
      <c r="C244" s="172" t="s">
        <v>1346</v>
      </c>
      <c r="D244" s="170" t="s">
        <v>1064</v>
      </c>
      <c r="E244" s="171">
        <v>150</v>
      </c>
      <c r="F244" s="170" t="s">
        <v>936</v>
      </c>
    </row>
    <row r="245" spans="1:6" x14ac:dyDescent="0.2">
      <c r="A245" s="170" t="s">
        <v>1347</v>
      </c>
      <c r="B245" s="171">
        <v>2290</v>
      </c>
      <c r="C245" s="172" t="s">
        <v>1348</v>
      </c>
      <c r="D245" s="170" t="s">
        <v>1064</v>
      </c>
      <c r="E245" s="171">
        <v>150</v>
      </c>
      <c r="F245" s="170" t="s">
        <v>936</v>
      </c>
    </row>
    <row r="246" spans="1:6" x14ac:dyDescent="0.2">
      <c r="A246" s="170" t="s">
        <v>595</v>
      </c>
      <c r="B246" s="171">
        <v>1990</v>
      </c>
      <c r="C246" s="172" t="s">
        <v>1349</v>
      </c>
      <c r="D246" s="170" t="s">
        <v>1064</v>
      </c>
      <c r="E246" s="171">
        <v>1</v>
      </c>
      <c r="F246" s="170" t="s">
        <v>925</v>
      </c>
    </row>
    <row r="247" spans="1:6" x14ac:dyDescent="0.2">
      <c r="A247" s="170" t="s">
        <v>1350</v>
      </c>
      <c r="B247" s="171">
        <v>2190</v>
      </c>
      <c r="C247" s="172" t="s">
        <v>1351</v>
      </c>
      <c r="D247" s="170" t="s">
        <v>1064</v>
      </c>
      <c r="E247" s="171">
        <v>600</v>
      </c>
      <c r="F247" s="170" t="s">
        <v>936</v>
      </c>
    </row>
    <row r="248" spans="1:6" x14ac:dyDescent="0.2">
      <c r="A248" s="170" t="s">
        <v>1352</v>
      </c>
      <c r="B248" s="171">
        <v>990</v>
      </c>
      <c r="C248" s="172" t="s">
        <v>1353</v>
      </c>
      <c r="D248" s="170" t="s">
        <v>1064</v>
      </c>
      <c r="E248" s="171">
        <v>1</v>
      </c>
      <c r="F248" s="170" t="s">
        <v>952</v>
      </c>
    </row>
    <row r="249" spans="1:6" x14ac:dyDescent="0.2">
      <c r="A249" s="170" t="s">
        <v>1354</v>
      </c>
      <c r="B249" s="171">
        <v>1290</v>
      </c>
      <c r="C249" s="172" t="s">
        <v>1355</v>
      </c>
      <c r="D249" s="170" t="s">
        <v>1064</v>
      </c>
      <c r="E249" s="171" t="s">
        <v>957</v>
      </c>
      <c r="F249" s="170" t="s">
        <v>925</v>
      </c>
    </row>
    <row r="250" spans="1:6" x14ac:dyDescent="0.2">
      <c r="A250" s="170" t="s">
        <v>1356</v>
      </c>
      <c r="B250" s="171">
        <v>2290</v>
      </c>
      <c r="C250" s="172" t="s">
        <v>1357</v>
      </c>
      <c r="D250" s="170" t="s">
        <v>1064</v>
      </c>
      <c r="E250" s="171">
        <v>600</v>
      </c>
      <c r="F250" s="170" t="s">
        <v>936</v>
      </c>
    </row>
    <row r="251" spans="1:6" x14ac:dyDescent="0.2">
      <c r="A251" s="170" t="s">
        <v>1358</v>
      </c>
      <c r="B251" s="171">
        <v>2190</v>
      </c>
      <c r="C251" s="172" t="s">
        <v>1359</v>
      </c>
      <c r="D251" s="170" t="s">
        <v>1064</v>
      </c>
      <c r="E251" s="171">
        <v>500</v>
      </c>
      <c r="F251" s="170" t="s">
        <v>936</v>
      </c>
    </row>
    <row r="252" spans="1:6" x14ac:dyDescent="0.2">
      <c r="A252" s="170" t="s">
        <v>1360</v>
      </c>
      <c r="B252" s="171">
        <v>1990</v>
      </c>
      <c r="C252" s="172" t="s">
        <v>1361</v>
      </c>
      <c r="D252" s="170" t="s">
        <v>1064</v>
      </c>
      <c r="E252" s="171">
        <v>1</v>
      </c>
      <c r="F252" s="170" t="s">
        <v>925</v>
      </c>
    </row>
    <row r="253" spans="1:6" x14ac:dyDescent="0.2">
      <c r="A253" s="170" t="s">
        <v>1362</v>
      </c>
      <c r="B253" s="171">
        <v>3790</v>
      </c>
      <c r="C253" s="172" t="s">
        <v>1363</v>
      </c>
      <c r="D253" s="170" t="s">
        <v>1064</v>
      </c>
      <c r="E253" s="171">
        <v>300</v>
      </c>
      <c r="F253" s="170" t="s">
        <v>936</v>
      </c>
    </row>
    <row r="254" spans="1:6" x14ac:dyDescent="0.2">
      <c r="A254" s="170" t="s">
        <v>1364</v>
      </c>
      <c r="B254" s="171">
        <v>2890</v>
      </c>
      <c r="C254" s="172" t="s">
        <v>1365</v>
      </c>
      <c r="D254" s="170" t="s">
        <v>1064</v>
      </c>
      <c r="E254" s="171">
        <v>300</v>
      </c>
      <c r="F254" s="170" t="s">
        <v>936</v>
      </c>
    </row>
    <row r="255" spans="1:6" x14ac:dyDescent="0.2">
      <c r="A255" s="170" t="s">
        <v>1366</v>
      </c>
      <c r="B255" s="171">
        <v>1250</v>
      </c>
      <c r="C255" s="172" t="s">
        <v>1367</v>
      </c>
      <c r="D255" s="170" t="s">
        <v>1064</v>
      </c>
      <c r="E255" s="171">
        <v>300</v>
      </c>
      <c r="F255" s="170" t="s">
        <v>936</v>
      </c>
    </row>
    <row r="256" spans="1:6" x14ac:dyDescent="0.2">
      <c r="A256" s="170" t="s">
        <v>484</v>
      </c>
      <c r="B256" s="171">
        <v>1690</v>
      </c>
      <c r="C256" s="172" t="s">
        <v>1368</v>
      </c>
      <c r="D256" s="170" t="s">
        <v>1064</v>
      </c>
      <c r="E256" s="171">
        <v>200</v>
      </c>
      <c r="F256" s="170" t="s">
        <v>936</v>
      </c>
    </row>
    <row r="257" spans="1:6" x14ac:dyDescent="0.2">
      <c r="A257" s="170" t="s">
        <v>1369</v>
      </c>
      <c r="B257" s="171">
        <v>1790</v>
      </c>
      <c r="C257" s="172" t="s">
        <v>1370</v>
      </c>
      <c r="D257" s="170" t="s">
        <v>1064</v>
      </c>
      <c r="E257" s="171">
        <v>50</v>
      </c>
      <c r="F257" s="170" t="s">
        <v>936</v>
      </c>
    </row>
    <row r="258" spans="1:6" x14ac:dyDescent="0.2">
      <c r="A258" s="170" t="s">
        <v>1371</v>
      </c>
      <c r="B258" s="171">
        <v>1290</v>
      </c>
      <c r="C258" s="172" t="s">
        <v>1372</v>
      </c>
      <c r="D258" s="170" t="s">
        <v>1064</v>
      </c>
      <c r="E258" s="171">
        <v>5</v>
      </c>
      <c r="F258" s="170" t="s">
        <v>952</v>
      </c>
    </row>
    <row r="259" spans="1:6" x14ac:dyDescent="0.2">
      <c r="A259" s="170" t="s">
        <v>1373</v>
      </c>
      <c r="B259" s="171">
        <v>1390</v>
      </c>
      <c r="C259" s="172" t="s">
        <v>1374</v>
      </c>
      <c r="D259" s="170" t="s">
        <v>1064</v>
      </c>
      <c r="E259" s="171">
        <v>100</v>
      </c>
      <c r="F259" s="170" t="s">
        <v>936</v>
      </c>
    </row>
    <row r="260" spans="1:6" x14ac:dyDescent="0.2">
      <c r="A260" s="170" t="s">
        <v>1375</v>
      </c>
      <c r="B260" s="171">
        <v>1790</v>
      </c>
      <c r="C260" s="172" t="s">
        <v>1376</v>
      </c>
      <c r="D260" s="170" t="s">
        <v>1064</v>
      </c>
      <c r="E260" s="171">
        <v>300</v>
      </c>
      <c r="F260" s="170" t="s">
        <v>936</v>
      </c>
    </row>
    <row r="261" spans="1:6" x14ac:dyDescent="0.2">
      <c r="A261" s="170" t="s">
        <v>1377</v>
      </c>
      <c r="B261" s="171">
        <v>990</v>
      </c>
      <c r="C261" s="172" t="s">
        <v>1378</v>
      </c>
      <c r="D261" s="170" t="s">
        <v>1064</v>
      </c>
      <c r="E261" s="171">
        <v>1</v>
      </c>
      <c r="F261" s="170" t="s">
        <v>952</v>
      </c>
    </row>
    <row r="262" spans="1:6" x14ac:dyDescent="0.2">
      <c r="A262" s="170" t="s">
        <v>1379</v>
      </c>
      <c r="B262" s="171">
        <v>1690</v>
      </c>
      <c r="C262" s="172" t="s">
        <v>1380</v>
      </c>
      <c r="D262" s="170" t="s">
        <v>1064</v>
      </c>
      <c r="E262" s="171">
        <v>100</v>
      </c>
      <c r="F262" s="170" t="s">
        <v>936</v>
      </c>
    </row>
    <row r="263" spans="1:6" x14ac:dyDescent="0.2">
      <c r="A263" s="170" t="s">
        <v>1381</v>
      </c>
      <c r="B263" s="171">
        <v>1990</v>
      </c>
      <c r="C263" s="172" t="s">
        <v>1382</v>
      </c>
      <c r="D263" s="170" t="s">
        <v>1064</v>
      </c>
      <c r="E263" s="171">
        <v>200</v>
      </c>
      <c r="F263" s="170" t="s">
        <v>936</v>
      </c>
    </row>
    <row r="264" spans="1:6" x14ac:dyDescent="0.2">
      <c r="A264" s="170" t="s">
        <v>1383</v>
      </c>
      <c r="B264" s="171">
        <v>1990</v>
      </c>
      <c r="C264" s="172" t="s">
        <v>1384</v>
      </c>
      <c r="D264" s="170" t="s">
        <v>1064</v>
      </c>
      <c r="E264" s="171">
        <v>200</v>
      </c>
      <c r="F264" s="170" t="s">
        <v>936</v>
      </c>
    </row>
    <row r="265" spans="1:6" x14ac:dyDescent="0.2">
      <c r="A265" s="170" t="s">
        <v>1385</v>
      </c>
      <c r="B265" s="171">
        <v>1490</v>
      </c>
      <c r="C265" s="172" t="s">
        <v>1386</v>
      </c>
      <c r="D265" s="170" t="s">
        <v>1064</v>
      </c>
      <c r="E265" s="171">
        <v>250</v>
      </c>
      <c r="F265" s="170" t="s">
        <v>936</v>
      </c>
    </row>
    <row r="266" spans="1:6" x14ac:dyDescent="0.2">
      <c r="A266" s="170" t="s">
        <v>1387</v>
      </c>
      <c r="B266" s="171">
        <v>1790</v>
      </c>
      <c r="C266" s="172" t="s">
        <v>1388</v>
      </c>
      <c r="D266" s="170" t="s">
        <v>1064</v>
      </c>
      <c r="E266" s="171">
        <v>60</v>
      </c>
      <c r="F266" s="170" t="s">
        <v>936</v>
      </c>
    </row>
  </sheetData>
  <hyperlinks>
    <hyperlink ref="C2" r:id="rId1" xr:uid="{00000000-0004-0000-0600-000000000000}"/>
    <hyperlink ref="C3" r:id="rId2" xr:uid="{00000000-0004-0000-0600-000001000000}"/>
    <hyperlink ref="C4" r:id="rId3" xr:uid="{00000000-0004-0000-0600-000002000000}"/>
    <hyperlink ref="C5" r:id="rId4" xr:uid="{00000000-0004-0000-0600-000003000000}"/>
    <hyperlink ref="C6" r:id="rId5" xr:uid="{00000000-0004-0000-0600-000004000000}"/>
    <hyperlink ref="C7" r:id="rId6" xr:uid="{00000000-0004-0000-0600-000005000000}"/>
    <hyperlink ref="C8" r:id="rId7" xr:uid="{00000000-0004-0000-0600-000006000000}"/>
    <hyperlink ref="C9" r:id="rId8" xr:uid="{00000000-0004-0000-0600-000007000000}"/>
    <hyperlink ref="C10" r:id="rId9" xr:uid="{00000000-0004-0000-0600-000008000000}"/>
    <hyperlink ref="C11" r:id="rId10" xr:uid="{00000000-0004-0000-0600-000009000000}"/>
    <hyperlink ref="C12" r:id="rId11" xr:uid="{00000000-0004-0000-0600-00000A000000}"/>
    <hyperlink ref="C13" r:id="rId12" xr:uid="{00000000-0004-0000-0600-00000B000000}"/>
    <hyperlink ref="C14" r:id="rId13" xr:uid="{00000000-0004-0000-0600-00000C000000}"/>
    <hyperlink ref="C15" r:id="rId14" xr:uid="{00000000-0004-0000-0600-00000D000000}"/>
    <hyperlink ref="C16" r:id="rId15" xr:uid="{00000000-0004-0000-0600-00000E000000}"/>
    <hyperlink ref="C17" r:id="rId16" xr:uid="{00000000-0004-0000-0600-00000F000000}"/>
    <hyperlink ref="C18" r:id="rId17" xr:uid="{00000000-0004-0000-0600-000010000000}"/>
    <hyperlink ref="C19" r:id="rId18" xr:uid="{00000000-0004-0000-0600-000011000000}"/>
    <hyperlink ref="C20" r:id="rId19" xr:uid="{00000000-0004-0000-0600-000012000000}"/>
    <hyperlink ref="C21" r:id="rId20" xr:uid="{00000000-0004-0000-0600-000013000000}"/>
    <hyperlink ref="C22" r:id="rId21" xr:uid="{00000000-0004-0000-0600-000014000000}"/>
    <hyperlink ref="C23" r:id="rId22" xr:uid="{00000000-0004-0000-0600-000015000000}"/>
    <hyperlink ref="C24" r:id="rId23" xr:uid="{00000000-0004-0000-0600-000016000000}"/>
    <hyperlink ref="C25" r:id="rId24" xr:uid="{00000000-0004-0000-0600-000017000000}"/>
    <hyperlink ref="C26" r:id="rId25" xr:uid="{00000000-0004-0000-0600-000018000000}"/>
    <hyperlink ref="C27" r:id="rId26" xr:uid="{00000000-0004-0000-0600-000019000000}"/>
    <hyperlink ref="C28" r:id="rId27" xr:uid="{00000000-0004-0000-0600-00001A000000}"/>
    <hyperlink ref="C29" r:id="rId28" xr:uid="{00000000-0004-0000-0600-00001B000000}"/>
    <hyperlink ref="C30" r:id="rId29" xr:uid="{00000000-0004-0000-0600-00001C000000}"/>
    <hyperlink ref="C31" r:id="rId30" xr:uid="{00000000-0004-0000-0600-00001D000000}"/>
    <hyperlink ref="C32" r:id="rId31" xr:uid="{00000000-0004-0000-0600-00001E000000}"/>
    <hyperlink ref="C33" r:id="rId32" xr:uid="{00000000-0004-0000-0600-00001F000000}"/>
    <hyperlink ref="C34" r:id="rId33" xr:uid="{00000000-0004-0000-0600-000020000000}"/>
    <hyperlink ref="C35" r:id="rId34" xr:uid="{00000000-0004-0000-0600-000021000000}"/>
    <hyperlink ref="C36" r:id="rId35" xr:uid="{00000000-0004-0000-0600-000022000000}"/>
    <hyperlink ref="C37" r:id="rId36" xr:uid="{00000000-0004-0000-0600-000023000000}"/>
    <hyperlink ref="C38" r:id="rId37" xr:uid="{00000000-0004-0000-0600-000024000000}"/>
    <hyperlink ref="C39" r:id="rId38" xr:uid="{00000000-0004-0000-0600-000025000000}"/>
    <hyperlink ref="C40" r:id="rId39" xr:uid="{00000000-0004-0000-0600-000026000000}"/>
    <hyperlink ref="C41" r:id="rId40" xr:uid="{00000000-0004-0000-0600-000027000000}"/>
    <hyperlink ref="C42" r:id="rId41" xr:uid="{00000000-0004-0000-0600-000028000000}"/>
    <hyperlink ref="C43" r:id="rId42" xr:uid="{00000000-0004-0000-0600-000029000000}"/>
    <hyperlink ref="C44" r:id="rId43" xr:uid="{00000000-0004-0000-0600-00002A000000}"/>
    <hyperlink ref="C45" r:id="rId44" xr:uid="{00000000-0004-0000-0600-00002B000000}"/>
    <hyperlink ref="C46" r:id="rId45" xr:uid="{00000000-0004-0000-0600-00002C000000}"/>
    <hyperlink ref="C47" r:id="rId46" xr:uid="{00000000-0004-0000-0600-00002D000000}"/>
    <hyperlink ref="C48" r:id="rId47" xr:uid="{00000000-0004-0000-0600-00002E000000}"/>
    <hyperlink ref="C49" r:id="rId48" xr:uid="{00000000-0004-0000-0600-00002F000000}"/>
    <hyperlink ref="C50" r:id="rId49" xr:uid="{00000000-0004-0000-0600-000030000000}"/>
    <hyperlink ref="C51" r:id="rId50" xr:uid="{00000000-0004-0000-0600-000031000000}"/>
    <hyperlink ref="C52" r:id="rId51" xr:uid="{00000000-0004-0000-0600-000032000000}"/>
    <hyperlink ref="C53" r:id="rId52" xr:uid="{00000000-0004-0000-0600-000033000000}"/>
    <hyperlink ref="C54" r:id="rId53" xr:uid="{00000000-0004-0000-0600-000034000000}"/>
    <hyperlink ref="C55" r:id="rId54" xr:uid="{00000000-0004-0000-0600-000035000000}"/>
    <hyperlink ref="C56" r:id="rId55" xr:uid="{00000000-0004-0000-0600-000036000000}"/>
    <hyperlink ref="C57" r:id="rId56" xr:uid="{00000000-0004-0000-0600-000037000000}"/>
    <hyperlink ref="C58" r:id="rId57" xr:uid="{00000000-0004-0000-0600-000038000000}"/>
    <hyperlink ref="C59" r:id="rId58" xr:uid="{00000000-0004-0000-0600-000039000000}"/>
    <hyperlink ref="C60" r:id="rId59" xr:uid="{00000000-0004-0000-0600-00003A000000}"/>
    <hyperlink ref="C61" r:id="rId60" xr:uid="{00000000-0004-0000-0600-00003B000000}"/>
    <hyperlink ref="C62" r:id="rId61" xr:uid="{00000000-0004-0000-0600-00003C000000}"/>
    <hyperlink ref="C63" r:id="rId62" xr:uid="{00000000-0004-0000-0600-00003D000000}"/>
    <hyperlink ref="C64" r:id="rId63" xr:uid="{00000000-0004-0000-0600-00003E000000}"/>
    <hyperlink ref="C65" r:id="rId64" xr:uid="{00000000-0004-0000-0600-00003F000000}"/>
    <hyperlink ref="C66" r:id="rId65" xr:uid="{00000000-0004-0000-0600-000040000000}"/>
    <hyperlink ref="C67" r:id="rId66" xr:uid="{00000000-0004-0000-0600-000041000000}"/>
    <hyperlink ref="C68" r:id="rId67" xr:uid="{00000000-0004-0000-0600-000042000000}"/>
    <hyperlink ref="C69" r:id="rId68" xr:uid="{00000000-0004-0000-0600-000043000000}"/>
    <hyperlink ref="C70" r:id="rId69" xr:uid="{00000000-0004-0000-0600-000044000000}"/>
    <hyperlink ref="C71" r:id="rId70" xr:uid="{00000000-0004-0000-0600-000045000000}"/>
    <hyperlink ref="C72" r:id="rId71" xr:uid="{00000000-0004-0000-0600-000046000000}"/>
    <hyperlink ref="C73" r:id="rId72" xr:uid="{00000000-0004-0000-0600-000047000000}"/>
    <hyperlink ref="C74" r:id="rId73" xr:uid="{00000000-0004-0000-0600-000048000000}"/>
    <hyperlink ref="C75" r:id="rId74" xr:uid="{00000000-0004-0000-0600-000049000000}"/>
    <hyperlink ref="C76" r:id="rId75" xr:uid="{00000000-0004-0000-0600-00004A000000}"/>
    <hyperlink ref="C77" r:id="rId76" xr:uid="{00000000-0004-0000-0600-00004B000000}"/>
    <hyperlink ref="C78" r:id="rId77" xr:uid="{00000000-0004-0000-0600-00004C000000}"/>
    <hyperlink ref="C79" r:id="rId78" xr:uid="{00000000-0004-0000-0600-00004D000000}"/>
    <hyperlink ref="C80" r:id="rId79" xr:uid="{00000000-0004-0000-0600-00004E000000}"/>
    <hyperlink ref="C81" r:id="rId80" xr:uid="{00000000-0004-0000-0600-00004F000000}"/>
    <hyperlink ref="C82" r:id="rId81" xr:uid="{00000000-0004-0000-0600-000050000000}"/>
    <hyperlink ref="C83" r:id="rId82" xr:uid="{00000000-0004-0000-0600-000051000000}"/>
    <hyperlink ref="C84" r:id="rId83" xr:uid="{00000000-0004-0000-0600-000052000000}"/>
    <hyperlink ref="C85" r:id="rId84" xr:uid="{00000000-0004-0000-0600-000053000000}"/>
    <hyperlink ref="C86" r:id="rId85" xr:uid="{00000000-0004-0000-0600-000054000000}"/>
    <hyperlink ref="C87" r:id="rId86" xr:uid="{00000000-0004-0000-0600-000055000000}"/>
    <hyperlink ref="C88" r:id="rId87" xr:uid="{00000000-0004-0000-0600-000056000000}"/>
    <hyperlink ref="C89" r:id="rId88" xr:uid="{00000000-0004-0000-0600-000057000000}"/>
    <hyperlink ref="C90" r:id="rId89" xr:uid="{00000000-0004-0000-0600-000058000000}"/>
    <hyperlink ref="C91" r:id="rId90" xr:uid="{00000000-0004-0000-0600-000059000000}"/>
    <hyperlink ref="C92" r:id="rId91" xr:uid="{00000000-0004-0000-0600-00005A000000}"/>
    <hyperlink ref="C93" r:id="rId92" xr:uid="{00000000-0004-0000-0600-00005B000000}"/>
    <hyperlink ref="C94" r:id="rId93" xr:uid="{00000000-0004-0000-0600-00005C000000}"/>
    <hyperlink ref="C95" r:id="rId94" xr:uid="{00000000-0004-0000-0600-00005D000000}"/>
    <hyperlink ref="C96" r:id="rId95" xr:uid="{00000000-0004-0000-0600-00005E000000}"/>
    <hyperlink ref="C97" r:id="rId96" xr:uid="{00000000-0004-0000-0600-00005F000000}"/>
    <hyperlink ref="C98" r:id="rId97" xr:uid="{00000000-0004-0000-0600-000060000000}"/>
    <hyperlink ref="C99" r:id="rId98" xr:uid="{00000000-0004-0000-0600-000061000000}"/>
    <hyperlink ref="C100" r:id="rId99" xr:uid="{00000000-0004-0000-0600-000062000000}"/>
    <hyperlink ref="C101" r:id="rId100" xr:uid="{00000000-0004-0000-0600-000063000000}"/>
    <hyperlink ref="C102" r:id="rId101" xr:uid="{00000000-0004-0000-0600-000064000000}"/>
    <hyperlink ref="C103" r:id="rId102" xr:uid="{00000000-0004-0000-0600-000065000000}"/>
    <hyperlink ref="C104" r:id="rId103" xr:uid="{00000000-0004-0000-0600-000066000000}"/>
    <hyperlink ref="C105" r:id="rId104" xr:uid="{00000000-0004-0000-0600-000067000000}"/>
    <hyperlink ref="C106" r:id="rId105" xr:uid="{00000000-0004-0000-0600-000068000000}"/>
    <hyperlink ref="C107" r:id="rId106" xr:uid="{00000000-0004-0000-0600-000069000000}"/>
    <hyperlink ref="C108" r:id="rId107" xr:uid="{00000000-0004-0000-0600-00006A000000}"/>
    <hyperlink ref="C109" r:id="rId108" xr:uid="{00000000-0004-0000-0600-00006B000000}"/>
    <hyperlink ref="C110" r:id="rId109" xr:uid="{00000000-0004-0000-0600-00006C000000}"/>
    <hyperlink ref="C111" r:id="rId110" xr:uid="{00000000-0004-0000-0600-00006D000000}"/>
    <hyperlink ref="C112" r:id="rId111" xr:uid="{00000000-0004-0000-0600-00006E000000}"/>
    <hyperlink ref="C113" r:id="rId112" xr:uid="{00000000-0004-0000-0600-00006F000000}"/>
    <hyperlink ref="C114" r:id="rId113" xr:uid="{00000000-0004-0000-0600-000070000000}"/>
    <hyperlink ref="C115" r:id="rId114" xr:uid="{00000000-0004-0000-0600-000071000000}"/>
    <hyperlink ref="C116" r:id="rId115" xr:uid="{00000000-0004-0000-0600-000072000000}"/>
    <hyperlink ref="C117" r:id="rId116" xr:uid="{00000000-0004-0000-0600-000073000000}"/>
    <hyperlink ref="C118" r:id="rId117" xr:uid="{00000000-0004-0000-0600-000074000000}"/>
    <hyperlink ref="C119" r:id="rId118" xr:uid="{00000000-0004-0000-0600-000075000000}"/>
    <hyperlink ref="C120" r:id="rId119" xr:uid="{00000000-0004-0000-0600-000076000000}"/>
    <hyperlink ref="C121" r:id="rId120" xr:uid="{00000000-0004-0000-0600-000077000000}"/>
    <hyperlink ref="C122" r:id="rId121" xr:uid="{00000000-0004-0000-0600-000078000000}"/>
    <hyperlink ref="C123" r:id="rId122" xr:uid="{00000000-0004-0000-0600-000079000000}"/>
    <hyperlink ref="C124" r:id="rId123" xr:uid="{00000000-0004-0000-0600-00007A000000}"/>
    <hyperlink ref="C125" r:id="rId124" xr:uid="{00000000-0004-0000-0600-00007B000000}"/>
    <hyperlink ref="C126" r:id="rId125" xr:uid="{00000000-0004-0000-0600-00007C000000}"/>
    <hyperlink ref="C127" r:id="rId126" xr:uid="{00000000-0004-0000-0600-00007D000000}"/>
    <hyperlink ref="C128" r:id="rId127" xr:uid="{00000000-0004-0000-0600-00007E000000}"/>
    <hyperlink ref="C129" r:id="rId128" xr:uid="{00000000-0004-0000-0600-00007F000000}"/>
    <hyperlink ref="C130" r:id="rId129" xr:uid="{00000000-0004-0000-0600-000080000000}"/>
    <hyperlink ref="C131" r:id="rId130" xr:uid="{00000000-0004-0000-0600-000081000000}"/>
    <hyperlink ref="C132" r:id="rId131" xr:uid="{00000000-0004-0000-0600-000082000000}"/>
    <hyperlink ref="C133" r:id="rId132" xr:uid="{00000000-0004-0000-0600-000083000000}"/>
    <hyperlink ref="C134" r:id="rId133" xr:uid="{00000000-0004-0000-0600-000084000000}"/>
    <hyperlink ref="C135" r:id="rId134" xr:uid="{00000000-0004-0000-0600-000085000000}"/>
    <hyperlink ref="C136" r:id="rId135" xr:uid="{00000000-0004-0000-0600-000086000000}"/>
    <hyperlink ref="C137" r:id="rId136" xr:uid="{00000000-0004-0000-0600-000087000000}"/>
    <hyperlink ref="C138" r:id="rId137" xr:uid="{00000000-0004-0000-0600-000088000000}"/>
    <hyperlink ref="C139" r:id="rId138" xr:uid="{00000000-0004-0000-0600-000089000000}"/>
    <hyperlink ref="C140" r:id="rId139" xr:uid="{00000000-0004-0000-0600-00008A000000}"/>
    <hyperlink ref="C141" r:id="rId140" xr:uid="{00000000-0004-0000-0600-00008B000000}"/>
    <hyperlink ref="C142" r:id="rId141" xr:uid="{00000000-0004-0000-0600-00008C000000}"/>
    <hyperlink ref="C143" r:id="rId142" xr:uid="{00000000-0004-0000-0600-00008D000000}"/>
    <hyperlink ref="C144" r:id="rId143" xr:uid="{00000000-0004-0000-0600-00008E000000}"/>
    <hyperlink ref="C145" r:id="rId144" xr:uid="{00000000-0004-0000-0600-00008F000000}"/>
    <hyperlink ref="C146" r:id="rId145" xr:uid="{00000000-0004-0000-0600-000090000000}"/>
    <hyperlink ref="C147" r:id="rId146" xr:uid="{00000000-0004-0000-0600-000091000000}"/>
    <hyperlink ref="C148" r:id="rId147" xr:uid="{00000000-0004-0000-0600-000092000000}"/>
    <hyperlink ref="C149" r:id="rId148" xr:uid="{00000000-0004-0000-0600-000093000000}"/>
    <hyperlink ref="C150" r:id="rId149" xr:uid="{00000000-0004-0000-0600-000094000000}"/>
    <hyperlink ref="C151" r:id="rId150" xr:uid="{00000000-0004-0000-0600-000095000000}"/>
    <hyperlink ref="C152" r:id="rId151" xr:uid="{00000000-0004-0000-0600-000096000000}"/>
    <hyperlink ref="C153" r:id="rId152" xr:uid="{00000000-0004-0000-0600-000097000000}"/>
    <hyperlink ref="C154" r:id="rId153" xr:uid="{00000000-0004-0000-0600-000098000000}"/>
    <hyperlink ref="C155" r:id="rId154" xr:uid="{00000000-0004-0000-0600-000099000000}"/>
    <hyperlink ref="C156" r:id="rId155" xr:uid="{00000000-0004-0000-0600-00009A000000}"/>
    <hyperlink ref="C157" r:id="rId156" xr:uid="{00000000-0004-0000-0600-00009B000000}"/>
    <hyperlink ref="C158" r:id="rId157" xr:uid="{00000000-0004-0000-0600-00009C000000}"/>
    <hyperlink ref="C159" r:id="rId158" xr:uid="{00000000-0004-0000-0600-00009D000000}"/>
    <hyperlink ref="C160" r:id="rId159" xr:uid="{00000000-0004-0000-0600-00009E000000}"/>
    <hyperlink ref="C161" r:id="rId160" xr:uid="{00000000-0004-0000-0600-00009F000000}"/>
    <hyperlink ref="C162" r:id="rId161" xr:uid="{00000000-0004-0000-0600-0000A0000000}"/>
    <hyperlink ref="C163" r:id="rId162" xr:uid="{00000000-0004-0000-0600-0000A1000000}"/>
    <hyperlink ref="C164" r:id="rId163" xr:uid="{00000000-0004-0000-0600-0000A2000000}"/>
    <hyperlink ref="C165" r:id="rId164" xr:uid="{00000000-0004-0000-0600-0000A3000000}"/>
    <hyperlink ref="C166" r:id="rId165" xr:uid="{00000000-0004-0000-0600-0000A4000000}"/>
    <hyperlink ref="C167" r:id="rId166" xr:uid="{00000000-0004-0000-0600-0000A5000000}"/>
    <hyperlink ref="C168" r:id="rId167" xr:uid="{00000000-0004-0000-0600-0000A6000000}"/>
    <hyperlink ref="C169" r:id="rId168" xr:uid="{00000000-0004-0000-0600-0000A7000000}"/>
    <hyperlink ref="C170" r:id="rId169" xr:uid="{00000000-0004-0000-0600-0000A8000000}"/>
    <hyperlink ref="C171" r:id="rId170" xr:uid="{00000000-0004-0000-0600-0000A9000000}"/>
    <hyperlink ref="C172" r:id="rId171" xr:uid="{00000000-0004-0000-0600-0000AA000000}"/>
    <hyperlink ref="C173" r:id="rId172" xr:uid="{00000000-0004-0000-0600-0000AB000000}"/>
    <hyperlink ref="C174" r:id="rId173" xr:uid="{00000000-0004-0000-0600-0000AC000000}"/>
    <hyperlink ref="C175" r:id="rId174" xr:uid="{00000000-0004-0000-0600-0000AD000000}"/>
    <hyperlink ref="C176" r:id="rId175" xr:uid="{00000000-0004-0000-0600-0000AE000000}"/>
    <hyperlink ref="C177" r:id="rId176" xr:uid="{00000000-0004-0000-0600-0000AF000000}"/>
    <hyperlink ref="C178" r:id="rId177" xr:uid="{00000000-0004-0000-0600-0000B0000000}"/>
    <hyperlink ref="C179" r:id="rId178" xr:uid="{00000000-0004-0000-0600-0000B1000000}"/>
    <hyperlink ref="C180" r:id="rId179" xr:uid="{00000000-0004-0000-0600-0000B2000000}"/>
    <hyperlink ref="C181" r:id="rId180" xr:uid="{00000000-0004-0000-0600-0000B3000000}"/>
    <hyperlink ref="C182" r:id="rId181" xr:uid="{00000000-0004-0000-0600-0000B4000000}"/>
    <hyperlink ref="C183" r:id="rId182" xr:uid="{00000000-0004-0000-0600-0000B5000000}"/>
    <hyperlink ref="C184" r:id="rId183" xr:uid="{00000000-0004-0000-0600-0000B6000000}"/>
    <hyperlink ref="C185" r:id="rId184" xr:uid="{00000000-0004-0000-0600-0000B7000000}"/>
    <hyperlink ref="C186" r:id="rId185" xr:uid="{00000000-0004-0000-0600-0000B8000000}"/>
    <hyperlink ref="C187" r:id="rId186" xr:uid="{00000000-0004-0000-0600-0000B9000000}"/>
    <hyperlink ref="C188" r:id="rId187" xr:uid="{00000000-0004-0000-0600-0000BA000000}"/>
    <hyperlink ref="C189" r:id="rId188" xr:uid="{00000000-0004-0000-0600-0000BB000000}"/>
    <hyperlink ref="C190" r:id="rId189" xr:uid="{00000000-0004-0000-0600-0000BC000000}"/>
    <hyperlink ref="C191" r:id="rId190" xr:uid="{00000000-0004-0000-0600-0000BD000000}"/>
    <hyperlink ref="C192" r:id="rId191" xr:uid="{00000000-0004-0000-0600-0000BE000000}"/>
    <hyperlink ref="C193" r:id="rId192" xr:uid="{00000000-0004-0000-0600-0000BF000000}"/>
    <hyperlink ref="C194" r:id="rId193" xr:uid="{00000000-0004-0000-0600-0000C0000000}"/>
    <hyperlink ref="C195" r:id="rId194" xr:uid="{00000000-0004-0000-0600-0000C1000000}"/>
    <hyperlink ref="C196" r:id="rId195" xr:uid="{00000000-0004-0000-0600-0000C2000000}"/>
    <hyperlink ref="C197" r:id="rId196" xr:uid="{00000000-0004-0000-0600-0000C3000000}"/>
    <hyperlink ref="C198" r:id="rId197" xr:uid="{00000000-0004-0000-0600-0000C4000000}"/>
    <hyperlink ref="C199" r:id="rId198" xr:uid="{00000000-0004-0000-0600-0000C5000000}"/>
    <hyperlink ref="C200" r:id="rId199" xr:uid="{00000000-0004-0000-0600-0000C6000000}"/>
    <hyperlink ref="C201" r:id="rId200" xr:uid="{00000000-0004-0000-0600-0000C7000000}"/>
    <hyperlink ref="C202" r:id="rId201" xr:uid="{00000000-0004-0000-0600-0000C8000000}"/>
    <hyperlink ref="C203" r:id="rId202" xr:uid="{00000000-0004-0000-0600-0000C9000000}"/>
    <hyperlink ref="C204" r:id="rId203" xr:uid="{00000000-0004-0000-0600-0000CA000000}"/>
    <hyperlink ref="C205" r:id="rId204" xr:uid="{00000000-0004-0000-0600-0000CB000000}"/>
    <hyperlink ref="C206" r:id="rId205" xr:uid="{00000000-0004-0000-0600-0000CC000000}"/>
    <hyperlink ref="C207" r:id="rId206" xr:uid="{00000000-0004-0000-0600-0000CD000000}"/>
    <hyperlink ref="C208" r:id="rId207" xr:uid="{00000000-0004-0000-0600-0000CE000000}"/>
    <hyperlink ref="C209" r:id="rId208" xr:uid="{00000000-0004-0000-0600-0000CF000000}"/>
    <hyperlink ref="C210" r:id="rId209" xr:uid="{00000000-0004-0000-0600-0000D0000000}"/>
    <hyperlink ref="C211" r:id="rId210" xr:uid="{00000000-0004-0000-0600-0000D1000000}"/>
    <hyperlink ref="C212" r:id="rId211" xr:uid="{00000000-0004-0000-0600-0000D2000000}"/>
    <hyperlink ref="C213" r:id="rId212" xr:uid="{00000000-0004-0000-0600-0000D3000000}"/>
    <hyperlink ref="C214" r:id="rId213" xr:uid="{00000000-0004-0000-0600-0000D4000000}"/>
    <hyperlink ref="C215" r:id="rId214" xr:uid="{00000000-0004-0000-0600-0000D5000000}"/>
    <hyperlink ref="C216" r:id="rId215" xr:uid="{00000000-0004-0000-0600-0000D6000000}"/>
    <hyperlink ref="C217" r:id="rId216" xr:uid="{00000000-0004-0000-0600-0000D7000000}"/>
    <hyperlink ref="C218" r:id="rId217" xr:uid="{00000000-0004-0000-0600-0000D8000000}"/>
    <hyperlink ref="C219" r:id="rId218" xr:uid="{00000000-0004-0000-0600-0000D9000000}"/>
    <hyperlink ref="C220" r:id="rId219" xr:uid="{00000000-0004-0000-0600-0000DA000000}"/>
    <hyperlink ref="C221" r:id="rId220" xr:uid="{00000000-0004-0000-0600-0000DB000000}"/>
    <hyperlink ref="C222" r:id="rId221" xr:uid="{00000000-0004-0000-0600-0000DC000000}"/>
    <hyperlink ref="C223" r:id="rId222" xr:uid="{00000000-0004-0000-0600-0000DD000000}"/>
    <hyperlink ref="C224" r:id="rId223" xr:uid="{00000000-0004-0000-0600-0000DE000000}"/>
    <hyperlink ref="C225" r:id="rId224" xr:uid="{00000000-0004-0000-0600-0000DF000000}"/>
    <hyperlink ref="C226" r:id="rId225" xr:uid="{00000000-0004-0000-0600-0000E0000000}"/>
    <hyperlink ref="C227" r:id="rId226" xr:uid="{00000000-0004-0000-0600-0000E1000000}"/>
    <hyperlink ref="C228" r:id="rId227" xr:uid="{00000000-0004-0000-0600-0000E2000000}"/>
    <hyperlink ref="C229" r:id="rId228" xr:uid="{00000000-0004-0000-0600-0000E3000000}"/>
    <hyperlink ref="C230" r:id="rId229" xr:uid="{00000000-0004-0000-0600-0000E4000000}"/>
    <hyperlink ref="C231" r:id="rId230" xr:uid="{00000000-0004-0000-0600-0000E5000000}"/>
    <hyperlink ref="C232" r:id="rId231" xr:uid="{00000000-0004-0000-0600-0000E6000000}"/>
    <hyperlink ref="C233" r:id="rId232" xr:uid="{00000000-0004-0000-0600-0000E7000000}"/>
    <hyperlink ref="C234" r:id="rId233" xr:uid="{00000000-0004-0000-0600-0000E8000000}"/>
    <hyperlink ref="C235" r:id="rId234" xr:uid="{00000000-0004-0000-0600-0000E9000000}"/>
    <hyperlink ref="C236" r:id="rId235" xr:uid="{00000000-0004-0000-0600-0000EA000000}"/>
    <hyperlink ref="C237" r:id="rId236" xr:uid="{00000000-0004-0000-0600-0000EB000000}"/>
    <hyperlink ref="C238" r:id="rId237" xr:uid="{00000000-0004-0000-0600-0000EC000000}"/>
    <hyperlink ref="C239" r:id="rId238" xr:uid="{00000000-0004-0000-0600-0000ED000000}"/>
    <hyperlink ref="C240" r:id="rId239" xr:uid="{00000000-0004-0000-0600-0000EE000000}"/>
    <hyperlink ref="C241" r:id="rId240" xr:uid="{00000000-0004-0000-0600-0000EF000000}"/>
    <hyperlink ref="C242" r:id="rId241" xr:uid="{00000000-0004-0000-0600-0000F0000000}"/>
    <hyperlink ref="C243" r:id="rId242" xr:uid="{00000000-0004-0000-0600-0000F1000000}"/>
    <hyperlink ref="C244" r:id="rId243" xr:uid="{00000000-0004-0000-0600-0000F2000000}"/>
    <hyperlink ref="C245" r:id="rId244" xr:uid="{00000000-0004-0000-0600-0000F3000000}"/>
    <hyperlink ref="C246" r:id="rId245" xr:uid="{00000000-0004-0000-0600-0000F4000000}"/>
    <hyperlink ref="C247" r:id="rId246" xr:uid="{00000000-0004-0000-0600-0000F5000000}"/>
    <hyperlink ref="C248" r:id="rId247" xr:uid="{00000000-0004-0000-0600-0000F6000000}"/>
    <hyperlink ref="C249" r:id="rId248" xr:uid="{00000000-0004-0000-0600-0000F7000000}"/>
    <hyperlink ref="C250" r:id="rId249" xr:uid="{00000000-0004-0000-0600-0000F8000000}"/>
    <hyperlink ref="C251" r:id="rId250" xr:uid="{00000000-0004-0000-0600-0000F9000000}"/>
    <hyperlink ref="C252" r:id="rId251" xr:uid="{00000000-0004-0000-0600-0000FA000000}"/>
    <hyperlink ref="C253" r:id="rId252" xr:uid="{00000000-0004-0000-0600-0000FB000000}"/>
    <hyperlink ref="C254" r:id="rId253" xr:uid="{00000000-0004-0000-0600-0000FC000000}"/>
    <hyperlink ref="C255" r:id="rId254" xr:uid="{00000000-0004-0000-0600-0000FD000000}"/>
    <hyperlink ref="C256" r:id="rId255" xr:uid="{00000000-0004-0000-0600-0000FE000000}"/>
    <hyperlink ref="C257" r:id="rId256" xr:uid="{00000000-0004-0000-0600-0000FF000000}"/>
    <hyperlink ref="C258" r:id="rId257" xr:uid="{00000000-0004-0000-0600-000000010000}"/>
    <hyperlink ref="C259" r:id="rId258" xr:uid="{00000000-0004-0000-0600-000001010000}"/>
    <hyperlink ref="C260" r:id="rId259" xr:uid="{00000000-0004-0000-0600-000002010000}"/>
    <hyperlink ref="C261" r:id="rId260" xr:uid="{00000000-0004-0000-0600-000003010000}"/>
    <hyperlink ref="C262" r:id="rId261" xr:uid="{00000000-0004-0000-0600-000004010000}"/>
    <hyperlink ref="C263" r:id="rId262" xr:uid="{00000000-0004-0000-0600-000005010000}"/>
    <hyperlink ref="C264" r:id="rId263" xr:uid="{00000000-0004-0000-0600-000006010000}"/>
    <hyperlink ref="C265" r:id="rId264" xr:uid="{00000000-0004-0000-0600-000007010000}"/>
    <hyperlink ref="C266" r:id="rId265" xr:uid="{00000000-0004-0000-0600-00000801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615"/>
  <sheetViews>
    <sheetView workbookViewId="0"/>
  </sheetViews>
  <sheetFormatPr baseColWidth="10" defaultColWidth="12.6640625" defaultRowHeight="15.75" customHeight="1" x14ac:dyDescent="0.15"/>
  <cols>
    <col min="1" max="1" width="35.6640625" customWidth="1"/>
  </cols>
  <sheetData>
    <row r="1" spans="1:6" x14ac:dyDescent="0.2">
      <c r="A1" s="169" t="s">
        <v>917</v>
      </c>
      <c r="B1" s="169" t="s">
        <v>918</v>
      </c>
      <c r="C1" s="169" t="s">
        <v>919</v>
      </c>
      <c r="D1" s="169" t="s">
        <v>920</v>
      </c>
      <c r="E1" s="169" t="s">
        <v>921</v>
      </c>
      <c r="F1" s="169" t="s">
        <v>116</v>
      </c>
    </row>
    <row r="2" spans="1:6" x14ac:dyDescent="0.2">
      <c r="A2" s="170" t="s">
        <v>1389</v>
      </c>
      <c r="B2" s="171">
        <v>3995</v>
      </c>
      <c r="C2" s="172" t="s">
        <v>1390</v>
      </c>
      <c r="D2" s="170" t="s">
        <v>924</v>
      </c>
      <c r="E2" s="171">
        <v>1</v>
      </c>
      <c r="F2" s="170" t="s">
        <v>925</v>
      </c>
    </row>
    <row r="3" spans="1:6" x14ac:dyDescent="0.2">
      <c r="A3" s="170" t="s">
        <v>829</v>
      </c>
      <c r="B3" s="171">
        <v>795</v>
      </c>
      <c r="C3" s="172" t="s">
        <v>1391</v>
      </c>
      <c r="D3" s="170" t="s">
        <v>924</v>
      </c>
      <c r="E3" s="171">
        <v>1</v>
      </c>
      <c r="F3" s="170" t="s">
        <v>925</v>
      </c>
    </row>
    <row r="4" spans="1:6" x14ac:dyDescent="0.2">
      <c r="A4" s="170" t="s">
        <v>1392</v>
      </c>
      <c r="B4" s="171">
        <v>3245</v>
      </c>
      <c r="C4" s="172" t="s">
        <v>1393</v>
      </c>
      <c r="D4" s="170" t="s">
        <v>1064</v>
      </c>
      <c r="E4" s="171">
        <v>2</v>
      </c>
      <c r="F4" s="170" t="s">
        <v>952</v>
      </c>
    </row>
    <row r="5" spans="1:6" x14ac:dyDescent="0.2">
      <c r="A5" s="170" t="s">
        <v>1394</v>
      </c>
      <c r="B5" s="171">
        <v>2590</v>
      </c>
      <c r="C5" s="172" t="s">
        <v>1395</v>
      </c>
      <c r="D5" s="170" t="s">
        <v>1064</v>
      </c>
      <c r="E5" s="171">
        <v>2</v>
      </c>
      <c r="F5" s="170" t="s">
        <v>925</v>
      </c>
    </row>
    <row r="6" spans="1:6" x14ac:dyDescent="0.2">
      <c r="A6" s="170" t="s">
        <v>1396</v>
      </c>
      <c r="B6" s="171">
        <v>1590</v>
      </c>
      <c r="C6" s="172" t="s">
        <v>1397</v>
      </c>
      <c r="D6" s="170" t="s">
        <v>1064</v>
      </c>
      <c r="E6" s="171">
        <v>1</v>
      </c>
      <c r="F6" s="170" t="s">
        <v>925</v>
      </c>
    </row>
    <row r="7" spans="1:6" x14ac:dyDescent="0.2">
      <c r="A7" s="170" t="s">
        <v>752</v>
      </c>
      <c r="B7" s="171">
        <v>2890</v>
      </c>
      <c r="C7" s="172" t="s">
        <v>1398</v>
      </c>
      <c r="D7" s="170" t="s">
        <v>1064</v>
      </c>
      <c r="E7" s="171">
        <v>1</v>
      </c>
      <c r="F7" s="170" t="s">
        <v>925</v>
      </c>
    </row>
    <row r="8" spans="1:6" x14ac:dyDescent="0.2">
      <c r="A8" s="170" t="s">
        <v>1399</v>
      </c>
      <c r="B8" s="171">
        <v>1350</v>
      </c>
      <c r="C8" s="172" t="s">
        <v>1400</v>
      </c>
      <c r="D8" s="170" t="s">
        <v>1064</v>
      </c>
      <c r="E8" s="171">
        <v>1</v>
      </c>
      <c r="F8" s="170" t="s">
        <v>925</v>
      </c>
    </row>
    <row r="9" spans="1:6" x14ac:dyDescent="0.2">
      <c r="A9" s="170" t="s">
        <v>543</v>
      </c>
      <c r="B9" s="171">
        <v>1650</v>
      </c>
      <c r="C9" s="172" t="s">
        <v>1401</v>
      </c>
      <c r="D9" s="170" t="s">
        <v>1064</v>
      </c>
      <c r="E9" s="171">
        <v>200</v>
      </c>
      <c r="F9" s="170" t="s">
        <v>936</v>
      </c>
    </row>
    <row r="10" spans="1:6" x14ac:dyDescent="0.2">
      <c r="A10" s="170" t="s">
        <v>915</v>
      </c>
      <c r="B10" s="171">
        <v>790</v>
      </c>
      <c r="C10" s="172" t="s">
        <v>1402</v>
      </c>
      <c r="D10" s="170" t="s">
        <v>1064</v>
      </c>
      <c r="E10" s="171">
        <v>1</v>
      </c>
      <c r="F10" s="170" t="s">
        <v>952</v>
      </c>
    </row>
    <row r="11" spans="1:6" x14ac:dyDescent="0.2">
      <c r="A11" s="170" t="s">
        <v>882</v>
      </c>
      <c r="B11" s="171">
        <v>995</v>
      </c>
      <c r="C11" s="172" t="s">
        <v>1403</v>
      </c>
      <c r="D11" s="170" t="s">
        <v>1064</v>
      </c>
      <c r="E11" s="171">
        <v>1</v>
      </c>
      <c r="F11" s="170" t="s">
        <v>925</v>
      </c>
    </row>
    <row r="12" spans="1:6" x14ac:dyDescent="0.2">
      <c r="A12" s="170" t="s">
        <v>787</v>
      </c>
      <c r="B12" s="171">
        <v>750</v>
      </c>
      <c r="C12" s="172" t="s">
        <v>1404</v>
      </c>
      <c r="D12" s="170" t="s">
        <v>1064</v>
      </c>
      <c r="E12" s="171">
        <v>1</v>
      </c>
      <c r="F12" s="170" t="s">
        <v>952</v>
      </c>
    </row>
    <row r="13" spans="1:6" x14ac:dyDescent="0.2">
      <c r="A13" s="170" t="s">
        <v>499</v>
      </c>
      <c r="B13" s="171">
        <v>1590</v>
      </c>
      <c r="C13" s="172" t="s">
        <v>1405</v>
      </c>
      <c r="D13" s="170" t="s">
        <v>1064</v>
      </c>
      <c r="E13" s="171">
        <v>1</v>
      </c>
      <c r="F13" s="170" t="s">
        <v>952</v>
      </c>
    </row>
    <row r="14" spans="1:6" x14ac:dyDescent="0.2">
      <c r="A14" s="170" t="s">
        <v>603</v>
      </c>
      <c r="B14" s="171">
        <v>2590</v>
      </c>
      <c r="C14" s="172" t="s">
        <v>1406</v>
      </c>
      <c r="D14" s="170" t="s">
        <v>924</v>
      </c>
      <c r="E14" s="171">
        <v>300</v>
      </c>
      <c r="F14" s="170" t="s">
        <v>936</v>
      </c>
    </row>
    <row r="15" spans="1:6" x14ac:dyDescent="0.2">
      <c r="A15" s="170" t="s">
        <v>1407</v>
      </c>
      <c r="B15" s="171">
        <v>2490</v>
      </c>
      <c r="C15" s="172" t="s">
        <v>1408</v>
      </c>
      <c r="D15" s="170" t="s">
        <v>924</v>
      </c>
      <c r="E15" s="171">
        <v>1</v>
      </c>
      <c r="F15" s="170" t="s">
        <v>925</v>
      </c>
    </row>
    <row r="16" spans="1:6" x14ac:dyDescent="0.2">
      <c r="A16" s="170" t="s">
        <v>721</v>
      </c>
      <c r="B16" s="171">
        <v>1295</v>
      </c>
      <c r="C16" s="172" t="s">
        <v>1409</v>
      </c>
      <c r="D16" s="170" t="s">
        <v>924</v>
      </c>
      <c r="E16" s="171">
        <v>1</v>
      </c>
      <c r="F16" s="170" t="s">
        <v>925</v>
      </c>
    </row>
    <row r="17" spans="1:6" x14ac:dyDescent="0.2">
      <c r="A17" s="170" t="s">
        <v>810</v>
      </c>
      <c r="B17" s="171">
        <v>1790</v>
      </c>
      <c r="C17" s="172" t="s">
        <v>1410</v>
      </c>
      <c r="D17" s="170" t="s">
        <v>1064</v>
      </c>
      <c r="E17" s="171">
        <v>1</v>
      </c>
      <c r="F17" s="170" t="s">
        <v>952</v>
      </c>
    </row>
    <row r="18" spans="1:6" x14ac:dyDescent="0.2">
      <c r="A18" s="170" t="s">
        <v>568</v>
      </c>
      <c r="B18" s="171">
        <v>990</v>
      </c>
      <c r="C18" s="172" t="s">
        <v>1411</v>
      </c>
      <c r="D18" s="170" t="s">
        <v>1064</v>
      </c>
      <c r="E18" s="171">
        <v>120</v>
      </c>
      <c r="F18" s="170" t="s">
        <v>936</v>
      </c>
    </row>
    <row r="19" spans="1:6" x14ac:dyDescent="0.2">
      <c r="A19" s="170" t="s">
        <v>1412</v>
      </c>
      <c r="B19" s="171">
        <v>1720</v>
      </c>
      <c r="C19" s="172" t="s">
        <v>1413</v>
      </c>
      <c r="D19" s="170" t="s">
        <v>1064</v>
      </c>
      <c r="E19" s="171">
        <v>3</v>
      </c>
      <c r="F19" s="170" t="s">
        <v>952</v>
      </c>
    </row>
    <row r="20" spans="1:6" x14ac:dyDescent="0.2">
      <c r="A20" s="170" t="s">
        <v>654</v>
      </c>
      <c r="B20" s="171">
        <v>1740</v>
      </c>
      <c r="C20" s="172" t="s">
        <v>1414</v>
      </c>
      <c r="D20" s="170" t="s">
        <v>1064</v>
      </c>
      <c r="E20" s="171">
        <v>1</v>
      </c>
      <c r="F20" s="170" t="s">
        <v>952</v>
      </c>
    </row>
    <row r="21" spans="1:6" x14ac:dyDescent="0.2">
      <c r="A21" s="170" t="s">
        <v>1415</v>
      </c>
      <c r="B21" s="171">
        <v>1890</v>
      </c>
      <c r="C21" s="172" t="s">
        <v>1416</v>
      </c>
      <c r="D21" s="170" t="s">
        <v>924</v>
      </c>
      <c r="E21" s="171">
        <v>1</v>
      </c>
      <c r="F21" s="170" t="s">
        <v>925</v>
      </c>
    </row>
    <row r="22" spans="1:6" x14ac:dyDescent="0.2">
      <c r="A22" s="170" t="s">
        <v>639</v>
      </c>
      <c r="B22" s="171">
        <v>1460</v>
      </c>
      <c r="C22" s="172" t="s">
        <v>1417</v>
      </c>
      <c r="D22" s="170" t="s">
        <v>1064</v>
      </c>
      <c r="E22" s="171">
        <v>1</v>
      </c>
      <c r="F22" s="170" t="s">
        <v>952</v>
      </c>
    </row>
    <row r="23" spans="1:6" x14ac:dyDescent="0.2">
      <c r="A23" s="170" t="s">
        <v>742</v>
      </c>
      <c r="B23" s="171">
        <v>1445</v>
      </c>
      <c r="C23" s="172" t="s">
        <v>1418</v>
      </c>
      <c r="D23" s="170" t="s">
        <v>924</v>
      </c>
      <c r="E23" s="171">
        <v>1</v>
      </c>
      <c r="F23" s="170" t="s">
        <v>925</v>
      </c>
    </row>
    <row r="24" spans="1:6" x14ac:dyDescent="0.2">
      <c r="A24" s="170" t="s">
        <v>1419</v>
      </c>
      <c r="B24" s="171">
        <v>1990</v>
      </c>
      <c r="C24" s="172" t="s">
        <v>1420</v>
      </c>
      <c r="D24" s="170" t="s">
        <v>1064</v>
      </c>
      <c r="E24" s="171">
        <v>1</v>
      </c>
      <c r="F24" s="170" t="s">
        <v>925</v>
      </c>
    </row>
    <row r="25" spans="1:6" x14ac:dyDescent="0.2">
      <c r="A25" s="170" t="s">
        <v>684</v>
      </c>
      <c r="B25" s="171">
        <v>1395</v>
      </c>
      <c r="C25" s="172" t="s">
        <v>1421</v>
      </c>
      <c r="D25" s="170" t="s">
        <v>924</v>
      </c>
      <c r="E25" s="171">
        <v>1</v>
      </c>
      <c r="F25" s="170" t="s">
        <v>925</v>
      </c>
    </row>
    <row r="26" spans="1:6" x14ac:dyDescent="0.2">
      <c r="A26" s="170" t="s">
        <v>1422</v>
      </c>
      <c r="B26" s="171">
        <v>790</v>
      </c>
      <c r="C26" s="172" t="s">
        <v>1423</v>
      </c>
      <c r="D26" s="170" t="s">
        <v>1064</v>
      </c>
      <c r="E26" s="171">
        <v>1</v>
      </c>
      <c r="F26" s="170" t="s">
        <v>952</v>
      </c>
    </row>
    <row r="27" spans="1:6" x14ac:dyDescent="0.2">
      <c r="A27" s="170" t="s">
        <v>1424</v>
      </c>
      <c r="B27" s="171">
        <v>1445</v>
      </c>
      <c r="C27" s="172" t="s">
        <v>1425</v>
      </c>
      <c r="D27" s="170" t="s">
        <v>924</v>
      </c>
      <c r="E27" s="171">
        <v>1</v>
      </c>
      <c r="F27" s="170" t="s">
        <v>925</v>
      </c>
    </row>
    <row r="28" spans="1:6" x14ac:dyDescent="0.2">
      <c r="A28" s="170" t="s">
        <v>1426</v>
      </c>
      <c r="B28" s="171">
        <v>2090</v>
      </c>
      <c r="C28" s="172" t="s">
        <v>1427</v>
      </c>
      <c r="D28" s="170" t="s">
        <v>1064</v>
      </c>
      <c r="E28" s="171">
        <v>700</v>
      </c>
      <c r="F28" s="170" t="s">
        <v>936</v>
      </c>
    </row>
    <row r="29" spans="1:6" x14ac:dyDescent="0.2">
      <c r="A29" s="170" t="s">
        <v>732</v>
      </c>
      <c r="B29" s="171">
        <v>1295</v>
      </c>
      <c r="C29" s="172" t="s">
        <v>1428</v>
      </c>
      <c r="D29" s="170" t="s">
        <v>924</v>
      </c>
      <c r="E29" s="171">
        <v>1</v>
      </c>
      <c r="F29" s="170" t="s">
        <v>925</v>
      </c>
    </row>
    <row r="30" spans="1:6" x14ac:dyDescent="0.2">
      <c r="A30" s="170" t="s">
        <v>625</v>
      </c>
      <c r="B30" s="171">
        <v>2145</v>
      </c>
      <c r="C30" s="172" t="s">
        <v>1429</v>
      </c>
      <c r="D30" s="170" t="s">
        <v>924</v>
      </c>
      <c r="E30" s="171">
        <v>1</v>
      </c>
      <c r="F30" s="170" t="s">
        <v>925</v>
      </c>
    </row>
    <row r="31" spans="1:6" x14ac:dyDescent="0.2">
      <c r="A31" s="170" t="s">
        <v>814</v>
      </c>
      <c r="B31" s="171">
        <v>990</v>
      </c>
      <c r="C31" s="172" t="s">
        <v>1430</v>
      </c>
      <c r="D31" s="170" t="s">
        <v>1064</v>
      </c>
      <c r="E31" s="171">
        <v>1</v>
      </c>
      <c r="F31" s="170" t="s">
        <v>952</v>
      </c>
    </row>
    <row r="32" spans="1:6" x14ac:dyDescent="0.2">
      <c r="A32" s="170" t="s">
        <v>1431</v>
      </c>
      <c r="B32" s="171">
        <v>3590</v>
      </c>
      <c r="C32" s="172" t="s">
        <v>1432</v>
      </c>
      <c r="D32" s="170" t="s">
        <v>1064</v>
      </c>
      <c r="E32" s="171">
        <v>2</v>
      </c>
      <c r="F32" s="170" t="s">
        <v>952</v>
      </c>
    </row>
    <row r="33" spans="1:6" x14ac:dyDescent="0.2">
      <c r="A33" s="170" t="s">
        <v>761</v>
      </c>
      <c r="B33" s="171">
        <v>795</v>
      </c>
      <c r="C33" s="172" t="s">
        <v>1433</v>
      </c>
      <c r="D33" s="170" t="s">
        <v>1064</v>
      </c>
      <c r="E33" s="171">
        <v>1</v>
      </c>
      <c r="F33" s="170" t="s">
        <v>925</v>
      </c>
    </row>
    <row r="34" spans="1:6" x14ac:dyDescent="0.2">
      <c r="A34" s="170" t="s">
        <v>1434</v>
      </c>
      <c r="B34" s="171">
        <v>2190</v>
      </c>
      <c r="C34" s="172" t="s">
        <v>1435</v>
      </c>
      <c r="D34" s="170" t="s">
        <v>924</v>
      </c>
      <c r="E34" s="171">
        <v>70</v>
      </c>
      <c r="F34" s="170" t="s">
        <v>936</v>
      </c>
    </row>
    <row r="35" spans="1:6" x14ac:dyDescent="0.2">
      <c r="A35" s="170" t="s">
        <v>645</v>
      </c>
      <c r="B35" s="171">
        <v>1250</v>
      </c>
      <c r="C35" s="172" t="s">
        <v>1436</v>
      </c>
      <c r="D35" s="170" t="s">
        <v>1064</v>
      </c>
      <c r="E35" s="171">
        <v>1</v>
      </c>
      <c r="F35" s="170" t="s">
        <v>952</v>
      </c>
    </row>
    <row r="36" spans="1:6" x14ac:dyDescent="0.2">
      <c r="A36" s="170" t="s">
        <v>634</v>
      </c>
      <c r="B36" s="171">
        <v>1420</v>
      </c>
      <c r="C36" s="172" t="s">
        <v>1437</v>
      </c>
      <c r="D36" s="170" t="s">
        <v>1064</v>
      </c>
      <c r="E36" s="171">
        <v>1</v>
      </c>
      <c r="F36" s="170" t="s">
        <v>952</v>
      </c>
    </row>
    <row r="37" spans="1:6" x14ac:dyDescent="0.2">
      <c r="A37" s="170" t="s">
        <v>691</v>
      </c>
      <c r="B37" s="171">
        <v>1505</v>
      </c>
      <c r="C37" s="172" t="s">
        <v>1438</v>
      </c>
      <c r="D37" s="170" t="s">
        <v>924</v>
      </c>
      <c r="E37" s="171">
        <v>1</v>
      </c>
      <c r="F37" s="170" t="s">
        <v>925</v>
      </c>
    </row>
    <row r="38" spans="1:6" x14ac:dyDescent="0.2">
      <c r="A38" s="170" t="s">
        <v>1439</v>
      </c>
      <c r="B38" s="171">
        <v>1590</v>
      </c>
      <c r="C38" s="172" t="s">
        <v>1440</v>
      </c>
      <c r="D38" s="170" t="s">
        <v>1064</v>
      </c>
      <c r="E38" s="171">
        <v>6</v>
      </c>
      <c r="F38" s="170" t="s">
        <v>952</v>
      </c>
    </row>
    <row r="39" spans="1:6" x14ac:dyDescent="0.2">
      <c r="A39" s="170" t="s">
        <v>1441</v>
      </c>
      <c r="B39" s="171">
        <v>2720</v>
      </c>
      <c r="C39" s="172" t="s">
        <v>1442</v>
      </c>
      <c r="D39" s="170" t="s">
        <v>1064</v>
      </c>
      <c r="E39" s="171">
        <v>2</v>
      </c>
      <c r="F39" s="170" t="s">
        <v>952</v>
      </c>
    </row>
    <row r="40" spans="1:6" x14ac:dyDescent="0.2">
      <c r="A40" s="170" t="s">
        <v>1443</v>
      </c>
      <c r="B40" s="171">
        <v>1245</v>
      </c>
      <c r="C40" s="172" t="s">
        <v>1444</v>
      </c>
      <c r="D40" s="170" t="s">
        <v>1064</v>
      </c>
      <c r="E40" s="171">
        <v>1</v>
      </c>
      <c r="F40" s="170" t="s">
        <v>925</v>
      </c>
    </row>
    <row r="41" spans="1:6" x14ac:dyDescent="0.2">
      <c r="A41" s="170" t="s">
        <v>1445</v>
      </c>
      <c r="B41" s="171">
        <v>1060</v>
      </c>
      <c r="C41" s="172" t="s">
        <v>1446</v>
      </c>
      <c r="D41" s="170" t="s">
        <v>1064</v>
      </c>
      <c r="E41" s="171">
        <v>280</v>
      </c>
      <c r="F41" s="170" t="s">
        <v>936</v>
      </c>
    </row>
    <row r="42" spans="1:6" x14ac:dyDescent="0.2">
      <c r="A42" s="170" t="s">
        <v>433</v>
      </c>
      <c r="B42" s="171">
        <v>1190</v>
      </c>
      <c r="C42" s="172" t="s">
        <v>1447</v>
      </c>
      <c r="D42" s="170" t="s">
        <v>1064</v>
      </c>
      <c r="E42" s="171">
        <v>3</v>
      </c>
      <c r="F42" s="170" t="s">
        <v>952</v>
      </c>
    </row>
    <row r="43" spans="1:6" x14ac:dyDescent="0.2">
      <c r="A43" s="170" t="s">
        <v>419</v>
      </c>
      <c r="B43" s="171">
        <v>1590</v>
      </c>
      <c r="C43" s="172" t="s">
        <v>1448</v>
      </c>
      <c r="D43" s="170" t="s">
        <v>1064</v>
      </c>
      <c r="E43" s="171">
        <v>500</v>
      </c>
      <c r="F43" s="170" t="s">
        <v>936</v>
      </c>
    </row>
    <row r="44" spans="1:6" x14ac:dyDescent="0.2">
      <c r="A44" s="170" t="s">
        <v>1449</v>
      </c>
      <c r="B44" s="171">
        <v>1580</v>
      </c>
      <c r="C44" s="172" t="s">
        <v>1450</v>
      </c>
      <c r="D44" s="170" t="s">
        <v>1064</v>
      </c>
      <c r="E44" s="171">
        <v>500</v>
      </c>
      <c r="F44" s="170" t="s">
        <v>936</v>
      </c>
    </row>
    <row r="45" spans="1:6" x14ac:dyDescent="0.2">
      <c r="A45" s="170" t="s">
        <v>511</v>
      </c>
      <c r="B45" s="171">
        <v>1545</v>
      </c>
      <c r="C45" s="172" t="s">
        <v>1451</v>
      </c>
      <c r="D45" s="170" t="s">
        <v>1064</v>
      </c>
      <c r="E45" s="171">
        <v>1</v>
      </c>
      <c r="F45" s="170" t="s">
        <v>925</v>
      </c>
    </row>
    <row r="46" spans="1:6" x14ac:dyDescent="0.2">
      <c r="A46" s="170" t="s">
        <v>793</v>
      </c>
      <c r="B46" s="171">
        <v>1095</v>
      </c>
      <c r="C46" s="172" t="s">
        <v>1452</v>
      </c>
      <c r="D46" s="170" t="s">
        <v>924</v>
      </c>
      <c r="E46" s="171">
        <v>1</v>
      </c>
      <c r="F46" s="170" t="s">
        <v>925</v>
      </c>
    </row>
    <row r="47" spans="1:6" x14ac:dyDescent="0.2">
      <c r="A47" s="170" t="s">
        <v>1453</v>
      </c>
      <c r="B47" s="171">
        <v>3990</v>
      </c>
      <c r="C47" s="172" t="s">
        <v>1454</v>
      </c>
      <c r="D47" s="170" t="s">
        <v>1064</v>
      </c>
      <c r="E47" s="171">
        <v>500</v>
      </c>
      <c r="F47" s="170" t="s">
        <v>936</v>
      </c>
    </row>
    <row r="48" spans="1:6" x14ac:dyDescent="0.2">
      <c r="A48" s="170" t="s">
        <v>886</v>
      </c>
      <c r="B48" s="171">
        <v>1245</v>
      </c>
      <c r="C48" s="172" t="s">
        <v>1455</v>
      </c>
      <c r="D48" s="170" t="s">
        <v>1064</v>
      </c>
      <c r="E48" s="171">
        <v>1</v>
      </c>
      <c r="F48" s="170" t="s">
        <v>925</v>
      </c>
    </row>
    <row r="49" spans="1:6" x14ac:dyDescent="0.2">
      <c r="A49" s="170" t="s">
        <v>1456</v>
      </c>
      <c r="B49" s="171">
        <v>1690</v>
      </c>
      <c r="C49" s="172" t="s">
        <v>1457</v>
      </c>
      <c r="D49" s="170" t="s">
        <v>1064</v>
      </c>
      <c r="E49" s="171">
        <v>500</v>
      </c>
      <c r="F49" s="170" t="s">
        <v>936</v>
      </c>
    </row>
    <row r="50" spans="1:6" x14ac:dyDescent="0.2">
      <c r="A50" s="170" t="s">
        <v>1458</v>
      </c>
      <c r="B50" s="171">
        <v>1790</v>
      </c>
      <c r="C50" s="172" t="s">
        <v>1459</v>
      </c>
      <c r="D50" s="170" t="s">
        <v>1064</v>
      </c>
      <c r="E50" s="171">
        <v>1</v>
      </c>
      <c r="F50" s="170" t="s">
        <v>925</v>
      </c>
    </row>
    <row r="51" spans="1:6" x14ac:dyDescent="0.2">
      <c r="A51" s="170" t="s">
        <v>463</v>
      </c>
      <c r="B51" s="171">
        <v>1490</v>
      </c>
      <c r="C51" s="172" t="s">
        <v>1460</v>
      </c>
      <c r="D51" s="170" t="s">
        <v>1064</v>
      </c>
      <c r="E51" s="171">
        <v>1</v>
      </c>
      <c r="F51" s="170" t="s">
        <v>952</v>
      </c>
    </row>
    <row r="52" spans="1:6" x14ac:dyDescent="0.2">
      <c r="A52" s="170" t="s">
        <v>870</v>
      </c>
      <c r="B52" s="171">
        <v>3250</v>
      </c>
      <c r="C52" s="172" t="s">
        <v>1461</v>
      </c>
      <c r="D52" s="170" t="s">
        <v>1064</v>
      </c>
      <c r="E52" s="171">
        <v>500</v>
      </c>
      <c r="F52" s="170" t="s">
        <v>936</v>
      </c>
    </row>
    <row r="53" spans="1:6" x14ac:dyDescent="0.2">
      <c r="A53" s="170" t="s">
        <v>820</v>
      </c>
      <c r="B53" s="171">
        <v>2690</v>
      </c>
      <c r="C53" s="172" t="s">
        <v>1462</v>
      </c>
      <c r="D53" s="170" t="s">
        <v>924</v>
      </c>
      <c r="E53" s="171">
        <v>1</v>
      </c>
      <c r="F53" s="170" t="s">
        <v>952</v>
      </c>
    </row>
    <row r="54" spans="1:6" x14ac:dyDescent="0.2">
      <c r="A54" s="170" t="s">
        <v>426</v>
      </c>
      <c r="B54" s="171">
        <v>579</v>
      </c>
      <c r="C54" s="172" t="s">
        <v>1463</v>
      </c>
      <c r="D54" s="170" t="s">
        <v>1064</v>
      </c>
      <c r="E54" s="171">
        <v>1</v>
      </c>
      <c r="F54" s="170" t="s">
        <v>925</v>
      </c>
    </row>
    <row r="55" spans="1:6" x14ac:dyDescent="0.2">
      <c r="A55" s="170" t="s">
        <v>492</v>
      </c>
      <c r="B55" s="171">
        <v>1490</v>
      </c>
      <c r="C55" s="172" t="s">
        <v>1464</v>
      </c>
      <c r="D55" s="170" t="s">
        <v>1064</v>
      </c>
      <c r="E55" s="171">
        <v>5</v>
      </c>
      <c r="F55" s="170" t="s">
        <v>952</v>
      </c>
    </row>
    <row r="56" spans="1:6" x14ac:dyDescent="0.2">
      <c r="A56" s="170" t="s">
        <v>1465</v>
      </c>
      <c r="B56" s="171">
        <v>1294</v>
      </c>
      <c r="C56" s="172" t="s">
        <v>1466</v>
      </c>
      <c r="D56" s="170" t="s">
        <v>1064</v>
      </c>
      <c r="E56" s="171">
        <v>1</v>
      </c>
      <c r="F56" s="170" t="s">
        <v>925</v>
      </c>
    </row>
    <row r="57" spans="1:6" x14ac:dyDescent="0.2">
      <c r="A57" s="170" t="s">
        <v>1467</v>
      </c>
      <c r="B57" s="171">
        <v>3690</v>
      </c>
      <c r="C57" s="172" t="s">
        <v>1468</v>
      </c>
      <c r="D57" s="170" t="s">
        <v>924</v>
      </c>
      <c r="E57" s="171">
        <v>2</v>
      </c>
      <c r="F57" s="170" t="s">
        <v>925</v>
      </c>
    </row>
    <row r="58" spans="1:6" x14ac:dyDescent="0.2">
      <c r="A58" s="170" t="s">
        <v>727</v>
      </c>
      <c r="B58" s="171">
        <v>1295</v>
      </c>
      <c r="C58" s="172" t="s">
        <v>1469</v>
      </c>
      <c r="D58" s="170" t="s">
        <v>924</v>
      </c>
      <c r="E58" s="171">
        <v>1</v>
      </c>
      <c r="F58" s="170" t="s">
        <v>925</v>
      </c>
    </row>
    <row r="59" spans="1:6" x14ac:dyDescent="0.2">
      <c r="A59" s="170" t="s">
        <v>1470</v>
      </c>
      <c r="B59" s="171">
        <v>1990</v>
      </c>
      <c r="C59" s="172" t="s">
        <v>1471</v>
      </c>
      <c r="D59" s="170" t="s">
        <v>1064</v>
      </c>
      <c r="E59" s="171">
        <v>250</v>
      </c>
      <c r="F59" s="170" t="s">
        <v>936</v>
      </c>
    </row>
    <row r="60" spans="1:6" x14ac:dyDescent="0.2">
      <c r="A60" s="170" t="s">
        <v>893</v>
      </c>
      <c r="B60" s="171">
        <v>1995</v>
      </c>
      <c r="C60" s="172" t="s">
        <v>1472</v>
      </c>
      <c r="D60" s="170" t="s">
        <v>924</v>
      </c>
      <c r="E60" s="171">
        <v>1</v>
      </c>
      <c r="F60" s="170" t="s">
        <v>925</v>
      </c>
    </row>
    <row r="61" spans="1:6" x14ac:dyDescent="0.2">
      <c r="A61" s="170" t="s">
        <v>554</v>
      </c>
      <c r="B61" s="171">
        <v>3700</v>
      </c>
      <c r="C61" s="172" t="s">
        <v>1473</v>
      </c>
      <c r="D61" s="170" t="s">
        <v>1064</v>
      </c>
      <c r="E61" s="171">
        <v>4</v>
      </c>
      <c r="F61" s="170" t="s">
        <v>952</v>
      </c>
    </row>
    <row r="62" spans="1:6" x14ac:dyDescent="0.2">
      <c r="A62" s="170" t="s">
        <v>1474</v>
      </c>
      <c r="B62" s="171">
        <v>3490</v>
      </c>
      <c r="C62" s="172" t="s">
        <v>1475</v>
      </c>
      <c r="D62" s="170" t="s">
        <v>1064</v>
      </c>
      <c r="E62" s="171">
        <v>340</v>
      </c>
      <c r="F62" s="170" t="s">
        <v>936</v>
      </c>
    </row>
    <row r="63" spans="1:6" x14ac:dyDescent="0.2">
      <c r="A63" s="170" t="s">
        <v>619</v>
      </c>
      <c r="B63" s="171">
        <v>1590</v>
      </c>
      <c r="C63" s="172" t="s">
        <v>1476</v>
      </c>
      <c r="D63" s="170" t="s">
        <v>1064</v>
      </c>
      <c r="E63" s="171">
        <v>100</v>
      </c>
      <c r="F63" s="170" t="s">
        <v>936</v>
      </c>
    </row>
    <row r="64" spans="1:6" x14ac:dyDescent="0.2">
      <c r="A64" s="170" t="s">
        <v>440</v>
      </c>
      <c r="B64" s="171">
        <v>1590</v>
      </c>
      <c r="C64" s="172" t="s">
        <v>1477</v>
      </c>
      <c r="D64" s="170" t="s">
        <v>1064</v>
      </c>
      <c r="E64" s="171">
        <v>1</v>
      </c>
      <c r="F64" s="170" t="s">
        <v>952</v>
      </c>
    </row>
    <row r="65" spans="1:6" x14ac:dyDescent="0.2">
      <c r="A65" s="170" t="s">
        <v>528</v>
      </c>
      <c r="B65" s="171">
        <v>995</v>
      </c>
      <c r="C65" s="172" t="s">
        <v>1478</v>
      </c>
      <c r="D65" s="170" t="s">
        <v>1064</v>
      </c>
      <c r="E65" s="171">
        <v>1</v>
      </c>
      <c r="F65" s="170" t="s">
        <v>925</v>
      </c>
    </row>
    <row r="66" spans="1:6" x14ac:dyDescent="0.2">
      <c r="A66" s="170" t="s">
        <v>521</v>
      </c>
      <c r="B66" s="171">
        <v>845</v>
      </c>
      <c r="C66" s="172" t="s">
        <v>1479</v>
      </c>
      <c r="D66" s="170" t="s">
        <v>1064</v>
      </c>
      <c r="E66" s="171">
        <v>1</v>
      </c>
      <c r="F66" s="170" t="s">
        <v>925</v>
      </c>
    </row>
    <row r="67" spans="1:6" x14ac:dyDescent="0.2">
      <c r="A67" s="170" t="s">
        <v>780</v>
      </c>
      <c r="B67" s="171">
        <v>1745</v>
      </c>
      <c r="C67" s="172" t="s">
        <v>1480</v>
      </c>
      <c r="D67" s="170" t="s">
        <v>924</v>
      </c>
      <c r="E67" s="171">
        <v>1</v>
      </c>
      <c r="F67" s="170" t="s">
        <v>925</v>
      </c>
    </row>
    <row r="68" spans="1:6" x14ac:dyDescent="0.2">
      <c r="A68" s="170" t="s">
        <v>1481</v>
      </c>
      <c r="B68" s="171">
        <v>1295</v>
      </c>
      <c r="C68" s="172" t="s">
        <v>1482</v>
      </c>
      <c r="D68" s="170" t="s">
        <v>924</v>
      </c>
      <c r="E68" s="171">
        <v>1</v>
      </c>
      <c r="F68" s="170" t="s">
        <v>925</v>
      </c>
    </row>
    <row r="69" spans="1:6" x14ac:dyDescent="0.2">
      <c r="A69" s="170" t="s">
        <v>1198</v>
      </c>
      <c r="B69" s="171">
        <v>1245</v>
      </c>
      <c r="C69" s="172" t="s">
        <v>1483</v>
      </c>
      <c r="D69" s="170" t="s">
        <v>1064</v>
      </c>
      <c r="E69" s="171">
        <v>1</v>
      </c>
      <c r="F69" s="170" t="s">
        <v>925</v>
      </c>
    </row>
    <row r="70" spans="1:6" x14ac:dyDescent="0.2">
      <c r="A70" s="170" t="s">
        <v>1484</v>
      </c>
      <c r="B70" s="171">
        <v>1890</v>
      </c>
      <c r="C70" s="172" t="s">
        <v>1485</v>
      </c>
      <c r="D70" s="170" t="s">
        <v>1064</v>
      </c>
      <c r="E70" s="171">
        <v>650</v>
      </c>
      <c r="F70" s="170" t="s">
        <v>936</v>
      </c>
    </row>
    <row r="71" spans="1:6" x14ac:dyDescent="0.2">
      <c r="A71" s="170" t="s">
        <v>1486</v>
      </c>
      <c r="B71" s="171">
        <v>3560</v>
      </c>
      <c r="C71" s="172" t="s">
        <v>1487</v>
      </c>
      <c r="D71" s="170" t="s">
        <v>1064</v>
      </c>
      <c r="E71" s="171">
        <v>1</v>
      </c>
      <c r="F71" s="170" t="s">
        <v>952</v>
      </c>
    </row>
    <row r="72" spans="1:6" x14ac:dyDescent="0.2">
      <c r="A72" s="170" t="s">
        <v>535</v>
      </c>
      <c r="B72" s="171">
        <v>850</v>
      </c>
      <c r="C72" s="172" t="s">
        <v>1488</v>
      </c>
      <c r="D72" s="170" t="s">
        <v>1064</v>
      </c>
      <c r="E72" s="171">
        <v>3</v>
      </c>
      <c r="F72" s="170" t="s">
        <v>952</v>
      </c>
    </row>
    <row r="73" spans="1:6" x14ac:dyDescent="0.2">
      <c r="A73" s="170" t="s">
        <v>662</v>
      </c>
      <c r="B73" s="171">
        <v>795</v>
      </c>
      <c r="C73" s="172" t="s">
        <v>1489</v>
      </c>
      <c r="D73" s="170" t="s">
        <v>1064</v>
      </c>
      <c r="E73" s="171">
        <v>1</v>
      </c>
      <c r="F73" s="170" t="s">
        <v>925</v>
      </c>
    </row>
    <row r="74" spans="1:6" x14ac:dyDescent="0.2">
      <c r="A74" s="170" t="s">
        <v>902</v>
      </c>
      <c r="B74" s="171">
        <v>595</v>
      </c>
      <c r="C74" s="172" t="s">
        <v>1490</v>
      </c>
      <c r="D74" s="170" t="s">
        <v>1064</v>
      </c>
      <c r="E74" s="171">
        <v>1</v>
      </c>
      <c r="F74" s="170" t="s">
        <v>925</v>
      </c>
    </row>
    <row r="75" spans="1:6" x14ac:dyDescent="0.2">
      <c r="A75" s="170" t="s">
        <v>670</v>
      </c>
      <c r="B75" s="171">
        <v>1845</v>
      </c>
      <c r="C75" s="172" t="s">
        <v>1491</v>
      </c>
      <c r="D75" s="170" t="s">
        <v>1064</v>
      </c>
      <c r="E75" s="171">
        <v>1</v>
      </c>
      <c r="F75" s="170" t="s">
        <v>925</v>
      </c>
    </row>
    <row r="76" spans="1:6" x14ac:dyDescent="0.2">
      <c r="A76" s="170" t="s">
        <v>1492</v>
      </c>
      <c r="B76" s="171">
        <v>2720</v>
      </c>
      <c r="C76" s="172" t="s">
        <v>1493</v>
      </c>
      <c r="D76" s="170" t="s">
        <v>1064</v>
      </c>
      <c r="E76" s="171">
        <v>2</v>
      </c>
      <c r="F76" s="170" t="s">
        <v>952</v>
      </c>
    </row>
    <row r="77" spans="1:6" x14ac:dyDescent="0.2">
      <c r="A77" s="170" t="s">
        <v>1494</v>
      </c>
      <c r="B77" s="171">
        <v>1990</v>
      </c>
      <c r="C77" s="172" t="s">
        <v>1495</v>
      </c>
      <c r="D77" s="170" t="s">
        <v>1064</v>
      </c>
      <c r="E77" s="171">
        <v>1</v>
      </c>
      <c r="F77" s="170" t="s">
        <v>925</v>
      </c>
    </row>
    <row r="78" spans="1:6" x14ac:dyDescent="0.2">
      <c r="A78" s="170" t="s">
        <v>1496</v>
      </c>
      <c r="B78" s="171">
        <v>1990</v>
      </c>
      <c r="C78" s="172" t="s">
        <v>1497</v>
      </c>
      <c r="D78" s="170" t="s">
        <v>924</v>
      </c>
      <c r="E78" s="171">
        <v>1</v>
      </c>
      <c r="F78" s="170" t="s">
        <v>925</v>
      </c>
    </row>
    <row r="79" spans="1:6" x14ac:dyDescent="0.2">
      <c r="A79" s="170" t="s">
        <v>1498</v>
      </c>
      <c r="B79" s="171">
        <v>4290</v>
      </c>
      <c r="C79" s="172" t="s">
        <v>1499</v>
      </c>
      <c r="D79" s="170" t="s">
        <v>924</v>
      </c>
      <c r="E79" s="171">
        <v>1</v>
      </c>
      <c r="F79" s="170" t="s">
        <v>952</v>
      </c>
    </row>
    <row r="80" spans="1:6" x14ac:dyDescent="0.2">
      <c r="A80" s="170" t="s">
        <v>1500</v>
      </c>
      <c r="B80" s="171">
        <v>1990</v>
      </c>
      <c r="C80" s="172" t="s">
        <v>1501</v>
      </c>
      <c r="D80" s="170" t="s">
        <v>924</v>
      </c>
      <c r="E80" s="171">
        <v>1</v>
      </c>
      <c r="F80" s="170" t="s">
        <v>925</v>
      </c>
    </row>
    <row r="81" spans="1:6" x14ac:dyDescent="0.2">
      <c r="A81" s="170" t="s">
        <v>1502</v>
      </c>
      <c r="B81" s="171">
        <v>1740</v>
      </c>
      <c r="C81" s="172" t="s">
        <v>1503</v>
      </c>
      <c r="D81" s="170" t="s">
        <v>1064</v>
      </c>
      <c r="E81" s="171">
        <v>1</v>
      </c>
      <c r="F81" s="170" t="s">
        <v>952</v>
      </c>
    </row>
    <row r="82" spans="1:6" x14ac:dyDescent="0.2">
      <c r="A82" s="170" t="s">
        <v>480</v>
      </c>
      <c r="B82" s="171">
        <v>790</v>
      </c>
      <c r="C82" s="172" t="s">
        <v>1504</v>
      </c>
      <c r="D82" s="170" t="s">
        <v>1064</v>
      </c>
      <c r="E82" s="171">
        <v>1</v>
      </c>
      <c r="F82" s="170" t="s">
        <v>952</v>
      </c>
    </row>
    <row r="83" spans="1:6" x14ac:dyDescent="0.2">
      <c r="A83" s="170" t="s">
        <v>651</v>
      </c>
      <c r="B83" s="171">
        <v>1250</v>
      </c>
      <c r="C83" s="172" t="s">
        <v>1505</v>
      </c>
      <c r="D83" s="170" t="s">
        <v>1064</v>
      </c>
      <c r="E83" s="171">
        <v>1</v>
      </c>
      <c r="F83" s="170" t="s">
        <v>952</v>
      </c>
    </row>
    <row r="84" spans="1:6" x14ac:dyDescent="0.2">
      <c r="A84" s="170" t="s">
        <v>1506</v>
      </c>
      <c r="B84" s="171">
        <v>1740</v>
      </c>
      <c r="C84" s="172" t="s">
        <v>1507</v>
      </c>
      <c r="D84" s="170" t="s">
        <v>1064</v>
      </c>
      <c r="E84" s="171">
        <v>1</v>
      </c>
      <c r="F84" s="170" t="s">
        <v>952</v>
      </c>
    </row>
    <row r="85" spans="1:6" x14ac:dyDescent="0.2">
      <c r="A85" s="170" t="s">
        <v>561</v>
      </c>
      <c r="B85" s="171">
        <v>740</v>
      </c>
      <c r="C85" s="172" t="s">
        <v>1508</v>
      </c>
      <c r="D85" s="170" t="s">
        <v>1064</v>
      </c>
      <c r="E85" s="171">
        <v>20</v>
      </c>
      <c r="F85" s="170" t="s">
        <v>936</v>
      </c>
    </row>
    <row r="86" spans="1:6" x14ac:dyDescent="0.2">
      <c r="A86" s="170" t="s">
        <v>1509</v>
      </c>
      <c r="B86" s="171">
        <v>1095</v>
      </c>
      <c r="C86" s="172" t="s">
        <v>1510</v>
      </c>
      <c r="D86" s="170" t="s">
        <v>924</v>
      </c>
      <c r="E86" s="171">
        <v>1</v>
      </c>
      <c r="F86" s="170" t="s">
        <v>925</v>
      </c>
    </row>
    <row r="87" spans="1:6" x14ac:dyDescent="0.2">
      <c r="A87" s="170" t="s">
        <v>806</v>
      </c>
      <c r="B87" s="171">
        <v>1790</v>
      </c>
      <c r="C87" s="172" t="s">
        <v>1511</v>
      </c>
      <c r="D87" s="170" t="s">
        <v>1064</v>
      </c>
      <c r="E87" s="171">
        <v>1</v>
      </c>
      <c r="F87" s="170" t="s">
        <v>952</v>
      </c>
    </row>
    <row r="88" spans="1:6" x14ac:dyDescent="0.2">
      <c r="A88" s="170" t="s">
        <v>799</v>
      </c>
      <c r="B88" s="171">
        <v>650</v>
      </c>
      <c r="C88" s="172" t="s">
        <v>1512</v>
      </c>
      <c r="D88" s="170" t="s">
        <v>1064</v>
      </c>
      <c r="E88" s="171">
        <v>1</v>
      </c>
      <c r="F88" s="170" t="s">
        <v>952</v>
      </c>
    </row>
    <row r="89" spans="1:6" x14ac:dyDescent="0.2">
      <c r="A89" s="170" t="s">
        <v>1513</v>
      </c>
      <c r="B89" s="171">
        <v>1990</v>
      </c>
      <c r="C89" s="172" t="s">
        <v>1514</v>
      </c>
      <c r="D89" s="170" t="s">
        <v>924</v>
      </c>
      <c r="E89" s="171">
        <v>1</v>
      </c>
      <c r="F89" s="170" t="s">
        <v>925</v>
      </c>
    </row>
    <row r="90" spans="1:6" x14ac:dyDescent="0.2">
      <c r="A90" s="170" t="s">
        <v>1515</v>
      </c>
      <c r="B90" s="171">
        <v>5990</v>
      </c>
      <c r="C90" s="172" t="s">
        <v>1516</v>
      </c>
      <c r="D90" s="170" t="s">
        <v>1517</v>
      </c>
      <c r="E90" s="171">
        <v>30</v>
      </c>
      <c r="F90" s="170" t="s">
        <v>936</v>
      </c>
    </row>
    <row r="91" spans="1:6" x14ac:dyDescent="0.2">
      <c r="A91" s="170" t="s">
        <v>504</v>
      </c>
      <c r="B91" s="171">
        <v>3290</v>
      </c>
      <c r="C91" s="172" t="s">
        <v>1518</v>
      </c>
      <c r="D91" s="170" t="s">
        <v>1064</v>
      </c>
      <c r="E91" s="171">
        <v>500</v>
      </c>
      <c r="F91" s="170" t="s">
        <v>936</v>
      </c>
    </row>
    <row r="92" spans="1:6" x14ac:dyDescent="0.2">
      <c r="A92" s="170" t="s">
        <v>1519</v>
      </c>
      <c r="B92" s="171">
        <v>1990</v>
      </c>
      <c r="C92" s="172" t="s">
        <v>1520</v>
      </c>
      <c r="D92" s="170" t="s">
        <v>1064</v>
      </c>
      <c r="E92" s="171">
        <v>300</v>
      </c>
      <c r="F92" s="170" t="s">
        <v>936</v>
      </c>
    </row>
    <row r="93" spans="1:6" x14ac:dyDescent="0.2">
      <c r="A93" s="170" t="s">
        <v>1521</v>
      </c>
      <c r="B93" s="171">
        <v>2690</v>
      </c>
      <c r="C93" s="172" t="s">
        <v>1522</v>
      </c>
      <c r="D93" s="170" t="s">
        <v>924</v>
      </c>
      <c r="E93" s="171">
        <v>1</v>
      </c>
      <c r="F93" s="170" t="s">
        <v>952</v>
      </c>
    </row>
    <row r="94" spans="1:6" x14ac:dyDescent="0.2">
      <c r="A94" s="170" t="s">
        <v>1523</v>
      </c>
      <c r="B94" s="171">
        <v>1990</v>
      </c>
      <c r="C94" s="172" t="s">
        <v>1524</v>
      </c>
      <c r="D94" s="170" t="s">
        <v>1064</v>
      </c>
      <c r="E94" s="171">
        <v>650</v>
      </c>
      <c r="F94" s="170" t="s">
        <v>936</v>
      </c>
    </row>
    <row r="95" spans="1:6" x14ac:dyDescent="0.2">
      <c r="A95" s="170" t="s">
        <v>1525</v>
      </c>
      <c r="B95" s="171">
        <v>2030</v>
      </c>
      <c r="C95" s="172" t="s">
        <v>1526</v>
      </c>
      <c r="D95" s="170" t="s">
        <v>1064</v>
      </c>
      <c r="E95" s="171">
        <v>200</v>
      </c>
      <c r="F95" s="170" t="s">
        <v>936</v>
      </c>
    </row>
    <row r="96" spans="1:6" x14ac:dyDescent="0.2">
      <c r="A96" s="170" t="s">
        <v>1527</v>
      </c>
      <c r="B96" s="171">
        <v>2590</v>
      </c>
      <c r="C96" s="172" t="s">
        <v>1528</v>
      </c>
      <c r="D96" s="170" t="s">
        <v>1064</v>
      </c>
      <c r="E96" s="171">
        <v>500</v>
      </c>
      <c r="F96" s="170" t="s">
        <v>936</v>
      </c>
    </row>
    <row r="97" spans="1:6" x14ac:dyDescent="0.2">
      <c r="A97" s="170" t="s">
        <v>1529</v>
      </c>
      <c r="B97" s="171">
        <v>4290</v>
      </c>
      <c r="C97" s="172" t="s">
        <v>1530</v>
      </c>
      <c r="D97" s="170" t="s">
        <v>924</v>
      </c>
      <c r="E97" s="171">
        <v>400</v>
      </c>
      <c r="F97" s="170" t="s">
        <v>936</v>
      </c>
    </row>
    <row r="98" spans="1:6" x14ac:dyDescent="0.2">
      <c r="A98" s="170" t="s">
        <v>1531</v>
      </c>
      <c r="B98" s="171">
        <v>1990</v>
      </c>
      <c r="C98" s="172" t="s">
        <v>1532</v>
      </c>
      <c r="D98" s="170" t="s">
        <v>924</v>
      </c>
      <c r="E98" s="171">
        <v>1</v>
      </c>
      <c r="F98" s="170" t="s">
        <v>925</v>
      </c>
    </row>
    <row r="99" spans="1:6" x14ac:dyDescent="0.2">
      <c r="A99" s="170" t="s">
        <v>1533</v>
      </c>
      <c r="B99" s="171">
        <v>1490</v>
      </c>
      <c r="C99" s="172" t="s">
        <v>1534</v>
      </c>
      <c r="D99" s="170" t="s">
        <v>1064</v>
      </c>
      <c r="E99" s="171">
        <v>100</v>
      </c>
      <c r="F99" s="170" t="s">
        <v>936</v>
      </c>
    </row>
    <row r="100" spans="1:6" x14ac:dyDescent="0.2">
      <c r="A100" s="170" t="s">
        <v>1535</v>
      </c>
      <c r="B100" s="171">
        <v>1890</v>
      </c>
      <c r="C100" s="172" t="s">
        <v>1536</v>
      </c>
      <c r="D100" s="170" t="s">
        <v>1064</v>
      </c>
      <c r="E100" s="171">
        <v>300</v>
      </c>
      <c r="F100" s="170" t="s">
        <v>936</v>
      </c>
    </row>
    <row r="101" spans="1:6" x14ac:dyDescent="0.2">
      <c r="A101" s="170" t="s">
        <v>1537</v>
      </c>
      <c r="B101" s="171">
        <v>2495</v>
      </c>
      <c r="C101" s="172" t="s">
        <v>1538</v>
      </c>
      <c r="D101" s="170" t="s">
        <v>924</v>
      </c>
      <c r="E101" s="171">
        <v>1</v>
      </c>
      <c r="F101" s="170" t="s">
        <v>925</v>
      </c>
    </row>
    <row r="102" spans="1:6" x14ac:dyDescent="0.2">
      <c r="A102" s="170" t="s">
        <v>909</v>
      </c>
      <c r="B102" s="171">
        <v>2090</v>
      </c>
      <c r="C102" s="172" t="s">
        <v>1539</v>
      </c>
      <c r="D102" s="170" t="s">
        <v>1064</v>
      </c>
      <c r="E102" s="171">
        <v>500</v>
      </c>
      <c r="F102" s="170" t="s">
        <v>936</v>
      </c>
    </row>
    <row r="103" spans="1:6" x14ac:dyDescent="0.2">
      <c r="A103" s="170" t="s">
        <v>1540</v>
      </c>
      <c r="B103" s="171">
        <v>2690</v>
      </c>
      <c r="C103" s="172" t="s">
        <v>1541</v>
      </c>
      <c r="D103" s="170" t="s">
        <v>1064</v>
      </c>
      <c r="E103" s="171">
        <v>1</v>
      </c>
      <c r="F103" s="170" t="s">
        <v>925</v>
      </c>
    </row>
    <row r="104" spans="1:6" x14ac:dyDescent="0.2">
      <c r="A104" s="170" t="s">
        <v>1542</v>
      </c>
      <c r="B104" s="171">
        <v>1990</v>
      </c>
      <c r="C104" s="172" t="s">
        <v>1543</v>
      </c>
      <c r="D104" s="170" t="s">
        <v>1064</v>
      </c>
      <c r="E104" s="171">
        <v>300</v>
      </c>
      <c r="F104" s="170" t="s">
        <v>936</v>
      </c>
    </row>
    <row r="105" spans="1:6" x14ac:dyDescent="0.2">
      <c r="A105" s="170" t="s">
        <v>1544</v>
      </c>
      <c r="B105" s="171">
        <v>2190</v>
      </c>
      <c r="C105" s="172" t="s">
        <v>1545</v>
      </c>
      <c r="D105" s="170" t="s">
        <v>924</v>
      </c>
      <c r="E105" s="171">
        <v>70</v>
      </c>
      <c r="F105" s="170" t="s">
        <v>936</v>
      </c>
    </row>
    <row r="106" spans="1:6" x14ac:dyDescent="0.2">
      <c r="A106" s="170" t="s">
        <v>1546</v>
      </c>
      <c r="B106" s="171">
        <v>2350</v>
      </c>
      <c r="C106" s="172" t="s">
        <v>1547</v>
      </c>
      <c r="D106" s="170" t="s">
        <v>1064</v>
      </c>
      <c r="E106" s="171">
        <v>600</v>
      </c>
      <c r="F106" s="170" t="s">
        <v>936</v>
      </c>
    </row>
    <row r="107" spans="1:6" x14ac:dyDescent="0.2">
      <c r="A107" s="170" t="s">
        <v>858</v>
      </c>
      <c r="B107" s="171">
        <v>1690</v>
      </c>
      <c r="C107" s="172" t="s">
        <v>1548</v>
      </c>
      <c r="D107" s="170" t="s">
        <v>1064</v>
      </c>
      <c r="E107" s="171">
        <v>1</v>
      </c>
      <c r="F107" s="170" t="s">
        <v>952</v>
      </c>
    </row>
    <row r="108" spans="1:6" x14ac:dyDescent="0.2">
      <c r="A108" s="170" t="s">
        <v>1549</v>
      </c>
      <c r="B108" s="171">
        <v>990</v>
      </c>
      <c r="C108" s="172" t="s">
        <v>1550</v>
      </c>
      <c r="D108" s="170" t="s">
        <v>1064</v>
      </c>
      <c r="E108" s="171">
        <v>1</v>
      </c>
      <c r="F108" s="170" t="s">
        <v>952</v>
      </c>
    </row>
    <row r="109" spans="1:6" x14ac:dyDescent="0.2">
      <c r="A109" s="170" t="s">
        <v>1551</v>
      </c>
      <c r="B109" s="171">
        <v>1690</v>
      </c>
      <c r="C109" s="172" t="s">
        <v>1552</v>
      </c>
      <c r="D109" s="170" t="s">
        <v>1064</v>
      </c>
      <c r="E109" s="171">
        <v>1</v>
      </c>
      <c r="F109" s="170" t="s">
        <v>952</v>
      </c>
    </row>
    <row r="110" spans="1:6" x14ac:dyDescent="0.2">
      <c r="A110" s="170" t="s">
        <v>1553</v>
      </c>
      <c r="B110" s="171">
        <v>850</v>
      </c>
      <c r="C110" s="172" t="s">
        <v>1554</v>
      </c>
      <c r="D110" s="170" t="s">
        <v>1064</v>
      </c>
      <c r="E110" s="171">
        <v>1</v>
      </c>
      <c r="F110" s="170" t="s">
        <v>952</v>
      </c>
    </row>
    <row r="111" spans="1:6" x14ac:dyDescent="0.2">
      <c r="A111" s="170" t="s">
        <v>1555</v>
      </c>
      <c r="B111" s="171">
        <v>2190</v>
      </c>
      <c r="C111" s="172" t="s">
        <v>1556</v>
      </c>
      <c r="D111" s="170" t="s">
        <v>1064</v>
      </c>
      <c r="E111" s="171">
        <v>300</v>
      </c>
      <c r="F111" s="170" t="s">
        <v>936</v>
      </c>
    </row>
    <row r="112" spans="1:6" x14ac:dyDescent="0.2">
      <c r="A112" s="170" t="s">
        <v>1557</v>
      </c>
      <c r="B112" s="171">
        <v>1790</v>
      </c>
      <c r="C112" s="172" t="s">
        <v>1558</v>
      </c>
      <c r="D112" s="170" t="s">
        <v>1064</v>
      </c>
      <c r="E112" s="171">
        <v>300</v>
      </c>
      <c r="F112" s="170" t="s">
        <v>936</v>
      </c>
    </row>
    <row r="113" spans="1:6" x14ac:dyDescent="0.2">
      <c r="A113" s="170" t="s">
        <v>1559</v>
      </c>
      <c r="B113" s="171">
        <v>4490</v>
      </c>
      <c r="C113" s="172" t="s">
        <v>1560</v>
      </c>
      <c r="D113" s="170" t="s">
        <v>924</v>
      </c>
      <c r="E113" s="171">
        <v>500</v>
      </c>
      <c r="F113" s="170" t="s">
        <v>936</v>
      </c>
    </row>
    <row r="114" spans="1:6" x14ac:dyDescent="0.2">
      <c r="A114" s="170" t="s">
        <v>1561</v>
      </c>
      <c r="B114" s="171">
        <v>3290</v>
      </c>
      <c r="C114" s="172" t="s">
        <v>1562</v>
      </c>
      <c r="D114" s="170" t="s">
        <v>1064</v>
      </c>
      <c r="E114" s="171">
        <v>300</v>
      </c>
      <c r="F114" s="170" t="s">
        <v>936</v>
      </c>
    </row>
    <row r="115" spans="1:6" x14ac:dyDescent="0.2">
      <c r="A115" s="170" t="s">
        <v>1563</v>
      </c>
      <c r="B115" s="171">
        <v>1060</v>
      </c>
      <c r="C115" s="172" t="s">
        <v>1564</v>
      </c>
      <c r="D115" s="170" t="s">
        <v>1064</v>
      </c>
      <c r="E115" s="171">
        <v>250</v>
      </c>
      <c r="F115" s="170" t="s">
        <v>936</v>
      </c>
    </row>
    <row r="116" spans="1:6" x14ac:dyDescent="0.2">
      <c r="A116" s="170" t="s">
        <v>1565</v>
      </c>
      <c r="B116" s="171">
        <v>990</v>
      </c>
      <c r="C116" s="172" t="s">
        <v>1566</v>
      </c>
      <c r="D116" s="170" t="s">
        <v>1064</v>
      </c>
      <c r="E116" s="171">
        <v>30</v>
      </c>
      <c r="F116" s="170" t="s">
        <v>936</v>
      </c>
    </row>
    <row r="117" spans="1:6" x14ac:dyDescent="0.2">
      <c r="A117" s="170" t="s">
        <v>1567</v>
      </c>
      <c r="B117" s="171">
        <v>6990</v>
      </c>
      <c r="C117" s="172" t="s">
        <v>1568</v>
      </c>
      <c r="D117" s="170" t="s">
        <v>1517</v>
      </c>
      <c r="E117" s="171">
        <v>1</v>
      </c>
      <c r="F117" s="170" t="s">
        <v>1569</v>
      </c>
    </row>
    <row r="118" spans="1:6" x14ac:dyDescent="0.2">
      <c r="A118" s="170" t="s">
        <v>1570</v>
      </c>
      <c r="B118" s="171">
        <v>1490</v>
      </c>
      <c r="C118" s="172" t="s">
        <v>1571</v>
      </c>
      <c r="D118" s="170" t="s">
        <v>1064</v>
      </c>
      <c r="E118" s="171">
        <v>5</v>
      </c>
      <c r="F118" s="170" t="s">
        <v>952</v>
      </c>
    </row>
    <row r="119" spans="1:6" x14ac:dyDescent="0.2">
      <c r="A119" s="170" t="s">
        <v>1572</v>
      </c>
      <c r="B119" s="171">
        <v>3540</v>
      </c>
      <c r="C119" s="172" t="s">
        <v>1573</v>
      </c>
      <c r="D119" s="170" t="s">
        <v>1064</v>
      </c>
      <c r="E119" s="171">
        <v>150</v>
      </c>
      <c r="F119" s="170" t="s">
        <v>936</v>
      </c>
    </row>
    <row r="120" spans="1:6" x14ac:dyDescent="0.2">
      <c r="A120" s="170" t="s">
        <v>1574</v>
      </c>
      <c r="B120" s="171">
        <v>1890</v>
      </c>
      <c r="C120" s="172" t="s">
        <v>1575</v>
      </c>
      <c r="D120" s="170" t="s">
        <v>1064</v>
      </c>
      <c r="E120" s="171">
        <v>300</v>
      </c>
      <c r="F120" s="170" t="s">
        <v>936</v>
      </c>
    </row>
    <row r="121" spans="1:6" x14ac:dyDescent="0.2">
      <c r="A121" s="170" t="s">
        <v>1576</v>
      </c>
      <c r="B121" s="171">
        <v>590</v>
      </c>
      <c r="C121" s="172" t="s">
        <v>1577</v>
      </c>
      <c r="D121" s="170" t="s">
        <v>1064</v>
      </c>
      <c r="E121" s="171">
        <v>120</v>
      </c>
      <c r="F121" s="170" t="s">
        <v>936</v>
      </c>
    </row>
    <row r="122" spans="1:6" x14ac:dyDescent="0.2">
      <c r="A122" s="170" t="s">
        <v>1578</v>
      </c>
      <c r="B122" s="171">
        <v>2990</v>
      </c>
      <c r="C122" s="172" t="s">
        <v>1579</v>
      </c>
      <c r="D122" s="170" t="s">
        <v>1517</v>
      </c>
      <c r="E122" s="171">
        <v>300</v>
      </c>
      <c r="F122" s="170" t="s">
        <v>936</v>
      </c>
    </row>
    <row r="123" spans="1:6" x14ac:dyDescent="0.2">
      <c r="A123" s="170" t="s">
        <v>1580</v>
      </c>
      <c r="B123" s="171">
        <v>1090</v>
      </c>
      <c r="C123" s="172" t="s">
        <v>1581</v>
      </c>
      <c r="D123" s="170" t="s">
        <v>1064</v>
      </c>
      <c r="E123" s="171">
        <v>2</v>
      </c>
      <c r="F123" s="170" t="s">
        <v>952</v>
      </c>
    </row>
    <row r="124" spans="1:6" x14ac:dyDescent="0.2">
      <c r="A124" s="170" t="s">
        <v>1582</v>
      </c>
      <c r="B124" s="171">
        <v>6990</v>
      </c>
      <c r="C124" s="172" t="s">
        <v>1583</v>
      </c>
      <c r="D124" s="170" t="s">
        <v>924</v>
      </c>
      <c r="E124" s="171" t="s">
        <v>957</v>
      </c>
      <c r="F124" s="170" t="s">
        <v>925</v>
      </c>
    </row>
    <row r="125" spans="1:6" x14ac:dyDescent="0.2">
      <c r="A125" s="170" t="s">
        <v>1584</v>
      </c>
      <c r="B125" s="171">
        <v>1245</v>
      </c>
      <c r="C125" s="172" t="s">
        <v>1585</v>
      </c>
      <c r="D125" s="170" t="s">
        <v>1064</v>
      </c>
      <c r="E125" s="171">
        <v>1</v>
      </c>
      <c r="F125" s="170" t="s">
        <v>925</v>
      </c>
    </row>
    <row r="126" spans="1:6" x14ac:dyDescent="0.2">
      <c r="A126" s="170" t="s">
        <v>1586</v>
      </c>
      <c r="B126" s="171">
        <v>2490</v>
      </c>
      <c r="C126" s="172" t="s">
        <v>1587</v>
      </c>
      <c r="D126" s="170" t="s">
        <v>1064</v>
      </c>
      <c r="E126" s="171">
        <v>80</v>
      </c>
      <c r="F126" s="170" t="s">
        <v>936</v>
      </c>
    </row>
    <row r="127" spans="1:6" x14ac:dyDescent="0.2">
      <c r="A127" s="170" t="s">
        <v>1588</v>
      </c>
      <c r="B127" s="171">
        <v>3890</v>
      </c>
      <c r="C127" s="172" t="s">
        <v>1589</v>
      </c>
      <c r="D127" s="170" t="s">
        <v>1064</v>
      </c>
      <c r="E127" s="171">
        <v>150</v>
      </c>
      <c r="F127" s="170" t="s">
        <v>936</v>
      </c>
    </row>
    <row r="128" spans="1:6" x14ac:dyDescent="0.2">
      <c r="A128" s="170" t="s">
        <v>1590</v>
      </c>
      <c r="B128" s="171">
        <v>3210</v>
      </c>
      <c r="C128" s="172" t="s">
        <v>1591</v>
      </c>
      <c r="D128" s="170" t="s">
        <v>1064</v>
      </c>
      <c r="E128" s="171">
        <v>2</v>
      </c>
      <c r="F128" s="170" t="s">
        <v>952</v>
      </c>
    </row>
    <row r="129" spans="1:6" x14ac:dyDescent="0.2">
      <c r="A129" s="170" t="s">
        <v>1592</v>
      </c>
      <c r="B129" s="171">
        <v>995</v>
      </c>
      <c r="C129" s="172" t="s">
        <v>1593</v>
      </c>
      <c r="D129" s="170" t="s">
        <v>924</v>
      </c>
      <c r="E129" s="171">
        <v>1</v>
      </c>
      <c r="F129" s="170" t="s">
        <v>925</v>
      </c>
    </row>
    <row r="130" spans="1:6" x14ac:dyDescent="0.2">
      <c r="A130" s="170" t="s">
        <v>1594</v>
      </c>
      <c r="B130" s="171">
        <v>2690</v>
      </c>
      <c r="C130" s="172" t="s">
        <v>1595</v>
      </c>
      <c r="D130" s="170" t="s">
        <v>1064</v>
      </c>
      <c r="E130" s="171">
        <v>300</v>
      </c>
      <c r="F130" s="170" t="s">
        <v>936</v>
      </c>
    </row>
    <row r="131" spans="1:6" x14ac:dyDescent="0.2">
      <c r="A131" s="170" t="s">
        <v>1596</v>
      </c>
      <c r="B131" s="171">
        <v>2390</v>
      </c>
      <c r="C131" s="172" t="s">
        <v>1597</v>
      </c>
      <c r="D131" s="170" t="s">
        <v>1064</v>
      </c>
      <c r="E131" s="171">
        <v>420</v>
      </c>
      <c r="F131" s="170" t="s">
        <v>936</v>
      </c>
    </row>
    <row r="132" spans="1:6" x14ac:dyDescent="0.2">
      <c r="A132" s="170" t="s">
        <v>1598</v>
      </c>
      <c r="B132" s="171">
        <v>3490</v>
      </c>
      <c r="C132" s="172" t="s">
        <v>1599</v>
      </c>
      <c r="D132" s="170" t="s">
        <v>924</v>
      </c>
      <c r="E132" s="171">
        <v>250</v>
      </c>
      <c r="F132" s="170" t="s">
        <v>936</v>
      </c>
    </row>
    <row r="133" spans="1:6" x14ac:dyDescent="0.2">
      <c r="A133" s="170" t="s">
        <v>1600</v>
      </c>
      <c r="B133" s="171">
        <v>1890</v>
      </c>
      <c r="C133" s="172" t="s">
        <v>1601</v>
      </c>
      <c r="D133" s="170" t="s">
        <v>1064</v>
      </c>
      <c r="E133" s="171">
        <v>300</v>
      </c>
      <c r="F133" s="170" t="s">
        <v>936</v>
      </c>
    </row>
    <row r="134" spans="1:6" x14ac:dyDescent="0.2">
      <c r="A134" s="170" t="s">
        <v>1602</v>
      </c>
      <c r="B134" s="171">
        <v>1340</v>
      </c>
      <c r="C134" s="172" t="s">
        <v>1603</v>
      </c>
      <c r="D134" s="170" t="s">
        <v>924</v>
      </c>
      <c r="E134" s="171">
        <v>1</v>
      </c>
      <c r="F134" s="170" t="s">
        <v>925</v>
      </c>
    </row>
    <row r="135" spans="1:6" x14ac:dyDescent="0.2">
      <c r="A135" s="170" t="s">
        <v>1604</v>
      </c>
      <c r="B135" s="171">
        <v>2190</v>
      </c>
      <c r="C135" s="172" t="s">
        <v>1605</v>
      </c>
      <c r="D135" s="170" t="s">
        <v>924</v>
      </c>
      <c r="E135" s="171">
        <v>1</v>
      </c>
      <c r="F135" s="170" t="s">
        <v>925</v>
      </c>
    </row>
    <row r="136" spans="1:6" x14ac:dyDescent="0.2">
      <c r="A136" s="170" t="s">
        <v>1606</v>
      </c>
      <c r="B136" s="171">
        <v>2190</v>
      </c>
      <c r="C136" s="172" t="s">
        <v>1607</v>
      </c>
      <c r="D136" s="170" t="s">
        <v>1064</v>
      </c>
      <c r="E136" s="171">
        <v>300</v>
      </c>
      <c r="F136" s="170" t="s">
        <v>936</v>
      </c>
    </row>
    <row r="137" spans="1:6" x14ac:dyDescent="0.2">
      <c r="A137" s="170" t="s">
        <v>1608</v>
      </c>
      <c r="B137" s="171">
        <v>2990</v>
      </c>
      <c r="C137" s="172" t="s">
        <v>1609</v>
      </c>
      <c r="D137" s="170" t="s">
        <v>1064</v>
      </c>
      <c r="E137" s="171">
        <v>300</v>
      </c>
      <c r="F137" s="170" t="s">
        <v>936</v>
      </c>
    </row>
    <row r="138" spans="1:6" x14ac:dyDescent="0.2">
      <c r="A138" s="170" t="s">
        <v>1610</v>
      </c>
      <c r="B138" s="171">
        <v>1190</v>
      </c>
      <c r="C138" s="172" t="s">
        <v>1611</v>
      </c>
      <c r="D138" s="170" t="s">
        <v>1064</v>
      </c>
      <c r="E138" s="171">
        <v>1</v>
      </c>
      <c r="F138" s="170" t="s">
        <v>925</v>
      </c>
    </row>
    <row r="139" spans="1:6" x14ac:dyDescent="0.2">
      <c r="A139" s="170" t="s">
        <v>1612</v>
      </c>
      <c r="B139" s="171">
        <v>2590</v>
      </c>
      <c r="C139" s="172" t="s">
        <v>1613</v>
      </c>
      <c r="D139" s="170" t="s">
        <v>1064</v>
      </c>
      <c r="E139" s="171">
        <v>2</v>
      </c>
      <c r="F139" s="170" t="s">
        <v>925</v>
      </c>
    </row>
    <row r="140" spans="1:6" x14ac:dyDescent="0.2">
      <c r="A140" s="170" t="s">
        <v>1614</v>
      </c>
      <c r="B140" s="171">
        <v>1190</v>
      </c>
      <c r="C140" s="172" t="s">
        <v>1615</v>
      </c>
      <c r="D140" s="170" t="s">
        <v>1064</v>
      </c>
      <c r="E140" s="171">
        <v>300</v>
      </c>
      <c r="F140" s="170" t="s">
        <v>936</v>
      </c>
    </row>
    <row r="141" spans="1:6" x14ac:dyDescent="0.2">
      <c r="A141" s="170" t="s">
        <v>1616</v>
      </c>
      <c r="B141" s="171">
        <v>2590</v>
      </c>
      <c r="C141" s="172" t="s">
        <v>1617</v>
      </c>
      <c r="D141" s="170" t="s">
        <v>1064</v>
      </c>
      <c r="E141" s="171">
        <v>300</v>
      </c>
      <c r="F141" s="170" t="s">
        <v>936</v>
      </c>
    </row>
    <row r="142" spans="1:6" x14ac:dyDescent="0.2">
      <c r="A142" s="170" t="s">
        <v>1618</v>
      </c>
      <c r="B142" s="171">
        <v>2590</v>
      </c>
      <c r="C142" s="172" t="s">
        <v>1619</v>
      </c>
      <c r="D142" s="170" t="s">
        <v>1064</v>
      </c>
      <c r="E142" s="171">
        <v>250</v>
      </c>
      <c r="F142" s="170" t="s">
        <v>936</v>
      </c>
    </row>
    <row r="143" spans="1:6" x14ac:dyDescent="0.2">
      <c r="A143" s="170" t="s">
        <v>1620</v>
      </c>
      <c r="B143" s="171">
        <v>4290</v>
      </c>
      <c r="C143" s="172" t="s">
        <v>1621</v>
      </c>
      <c r="D143" s="170" t="s">
        <v>924</v>
      </c>
      <c r="E143" s="171">
        <v>400</v>
      </c>
      <c r="F143" s="170" t="s">
        <v>936</v>
      </c>
    </row>
    <row r="144" spans="1:6" x14ac:dyDescent="0.2">
      <c r="A144" s="170" t="s">
        <v>1622</v>
      </c>
      <c r="B144" s="171">
        <v>2890</v>
      </c>
      <c r="C144" s="172" t="s">
        <v>1623</v>
      </c>
      <c r="D144" s="170" t="s">
        <v>1064</v>
      </c>
      <c r="E144" s="171">
        <v>300</v>
      </c>
      <c r="F144" s="170" t="s">
        <v>936</v>
      </c>
    </row>
    <row r="145" spans="1:6" x14ac:dyDescent="0.2">
      <c r="A145" s="170" t="s">
        <v>1624</v>
      </c>
      <c r="B145" s="171">
        <v>1990</v>
      </c>
      <c r="C145" s="172" t="s">
        <v>1625</v>
      </c>
      <c r="D145" s="170" t="s">
        <v>1064</v>
      </c>
      <c r="E145" s="171">
        <v>150</v>
      </c>
      <c r="F145" s="170" t="s">
        <v>936</v>
      </c>
    </row>
    <row r="146" spans="1:6" x14ac:dyDescent="0.2">
      <c r="A146" s="170" t="s">
        <v>1626</v>
      </c>
      <c r="B146" s="171">
        <v>1790</v>
      </c>
      <c r="C146" s="172" t="s">
        <v>1627</v>
      </c>
      <c r="D146" s="170" t="s">
        <v>1064</v>
      </c>
      <c r="E146" s="171">
        <v>300</v>
      </c>
      <c r="F146" s="170" t="s">
        <v>936</v>
      </c>
    </row>
    <row r="147" spans="1:6" x14ac:dyDescent="0.2">
      <c r="A147" s="170" t="s">
        <v>1628</v>
      </c>
      <c r="B147" s="171">
        <v>7990</v>
      </c>
      <c r="C147" s="172" t="s">
        <v>1629</v>
      </c>
      <c r="D147" s="170" t="s">
        <v>924</v>
      </c>
      <c r="E147" s="171">
        <v>3</v>
      </c>
      <c r="F147" s="170" t="s">
        <v>925</v>
      </c>
    </row>
    <row r="148" spans="1:6" x14ac:dyDescent="0.2">
      <c r="A148" s="170" t="s">
        <v>1630</v>
      </c>
      <c r="B148" s="171">
        <v>2990</v>
      </c>
      <c r="C148" s="172" t="s">
        <v>1631</v>
      </c>
      <c r="D148" s="170" t="s">
        <v>1064</v>
      </c>
      <c r="E148" s="171">
        <v>300</v>
      </c>
      <c r="F148" s="170" t="s">
        <v>936</v>
      </c>
    </row>
    <row r="149" spans="1:6" x14ac:dyDescent="0.2">
      <c r="A149" s="170" t="s">
        <v>1632</v>
      </c>
      <c r="B149" s="171">
        <v>3490</v>
      </c>
      <c r="C149" s="172" t="s">
        <v>1633</v>
      </c>
      <c r="D149" s="170" t="s">
        <v>1634</v>
      </c>
      <c r="E149" s="171">
        <v>1</v>
      </c>
      <c r="F149" s="170" t="s">
        <v>952</v>
      </c>
    </row>
    <row r="150" spans="1:6" x14ac:dyDescent="0.2">
      <c r="A150" s="170" t="s">
        <v>1635</v>
      </c>
      <c r="B150" s="171">
        <v>599</v>
      </c>
      <c r="C150" s="172" t="s">
        <v>1636</v>
      </c>
      <c r="D150" s="170" t="s">
        <v>1517</v>
      </c>
      <c r="E150" s="171">
        <v>1</v>
      </c>
      <c r="F150" s="170" t="s">
        <v>925</v>
      </c>
    </row>
    <row r="151" spans="1:6" x14ac:dyDescent="0.2">
      <c r="A151" s="170" t="s">
        <v>1637</v>
      </c>
      <c r="B151" s="171">
        <v>2990</v>
      </c>
      <c r="C151" s="172" t="s">
        <v>1638</v>
      </c>
      <c r="D151" s="170" t="s">
        <v>1064</v>
      </c>
      <c r="E151" s="171">
        <v>1</v>
      </c>
      <c r="F151" s="170" t="s">
        <v>952</v>
      </c>
    </row>
    <row r="152" spans="1:6" x14ac:dyDescent="0.2">
      <c r="A152" s="170" t="s">
        <v>1639</v>
      </c>
      <c r="B152" s="171">
        <v>1890</v>
      </c>
      <c r="C152" s="172" t="s">
        <v>1640</v>
      </c>
      <c r="D152" s="170" t="s">
        <v>1064</v>
      </c>
      <c r="E152" s="171">
        <v>300</v>
      </c>
      <c r="F152" s="170" t="s">
        <v>936</v>
      </c>
    </row>
    <row r="153" spans="1:6" x14ac:dyDescent="0.2">
      <c r="A153" s="170" t="s">
        <v>1641</v>
      </c>
      <c r="B153" s="171">
        <v>4290</v>
      </c>
      <c r="C153" s="172" t="s">
        <v>1642</v>
      </c>
      <c r="D153" s="170" t="s">
        <v>924</v>
      </c>
      <c r="E153" s="171">
        <v>400</v>
      </c>
      <c r="F153" s="170" t="s">
        <v>936</v>
      </c>
    </row>
    <row r="154" spans="1:6" x14ac:dyDescent="0.2">
      <c r="A154" s="170" t="s">
        <v>1643</v>
      </c>
      <c r="B154" s="171">
        <v>2090</v>
      </c>
      <c r="C154" s="172" t="s">
        <v>1644</v>
      </c>
      <c r="D154" s="170" t="s">
        <v>1064</v>
      </c>
      <c r="E154" s="171">
        <v>500</v>
      </c>
      <c r="F154" s="170" t="s">
        <v>936</v>
      </c>
    </row>
    <row r="155" spans="1:6" x14ac:dyDescent="0.2">
      <c r="A155" s="170" t="s">
        <v>1645</v>
      </c>
      <c r="B155" s="171">
        <v>3970</v>
      </c>
      <c r="C155" s="172" t="s">
        <v>1646</v>
      </c>
      <c r="D155" s="170" t="s">
        <v>1064</v>
      </c>
      <c r="E155" s="171">
        <v>1</v>
      </c>
      <c r="F155" s="170" t="s">
        <v>952</v>
      </c>
    </row>
    <row r="156" spans="1:6" x14ac:dyDescent="0.2">
      <c r="A156" s="170" t="s">
        <v>1647</v>
      </c>
      <c r="B156" s="171">
        <v>1740</v>
      </c>
      <c r="C156" s="172" t="s">
        <v>1648</v>
      </c>
      <c r="D156" s="170" t="s">
        <v>1064</v>
      </c>
      <c r="E156" s="171">
        <v>1</v>
      </c>
      <c r="F156" s="170" t="s">
        <v>952</v>
      </c>
    </row>
    <row r="157" spans="1:6" x14ac:dyDescent="0.2">
      <c r="A157" s="170" t="s">
        <v>736</v>
      </c>
      <c r="B157" s="171">
        <v>1050</v>
      </c>
      <c r="C157" s="172" t="s">
        <v>1649</v>
      </c>
      <c r="D157" s="170" t="s">
        <v>1064</v>
      </c>
      <c r="E157" s="171">
        <v>30</v>
      </c>
      <c r="F157" s="170" t="s">
        <v>936</v>
      </c>
    </row>
    <row r="158" spans="1:6" x14ac:dyDescent="0.2">
      <c r="A158" s="170" t="s">
        <v>862</v>
      </c>
      <c r="B158" s="171">
        <v>1690</v>
      </c>
      <c r="C158" s="172" t="s">
        <v>1650</v>
      </c>
      <c r="D158" s="170" t="s">
        <v>1064</v>
      </c>
      <c r="E158" s="171">
        <v>200</v>
      </c>
      <c r="F158" s="170" t="s">
        <v>936</v>
      </c>
    </row>
    <row r="159" spans="1:6" x14ac:dyDescent="0.2">
      <c r="A159" s="170" t="s">
        <v>1651</v>
      </c>
      <c r="B159" s="171">
        <v>2690</v>
      </c>
      <c r="C159" s="172" t="s">
        <v>1652</v>
      </c>
      <c r="D159" s="170" t="s">
        <v>1064</v>
      </c>
      <c r="E159" s="171">
        <v>250</v>
      </c>
      <c r="F159" s="170" t="s">
        <v>936</v>
      </c>
    </row>
    <row r="160" spans="1:6" x14ac:dyDescent="0.2">
      <c r="A160" s="170" t="s">
        <v>1653</v>
      </c>
      <c r="B160" s="171">
        <v>2290</v>
      </c>
      <c r="C160" s="172" t="s">
        <v>1654</v>
      </c>
      <c r="D160" s="170" t="s">
        <v>1064</v>
      </c>
      <c r="E160" s="171">
        <v>150</v>
      </c>
      <c r="F160" s="170" t="s">
        <v>936</v>
      </c>
    </row>
    <row r="161" spans="1:6" x14ac:dyDescent="0.2">
      <c r="A161" s="170" t="s">
        <v>1655</v>
      </c>
      <c r="B161" s="171">
        <v>790</v>
      </c>
      <c r="C161" s="172" t="s">
        <v>1656</v>
      </c>
      <c r="D161" s="170" t="s">
        <v>1064</v>
      </c>
      <c r="E161" s="171">
        <v>1</v>
      </c>
      <c r="F161" s="170" t="s">
        <v>952</v>
      </c>
    </row>
    <row r="162" spans="1:6" x14ac:dyDescent="0.2">
      <c r="A162" s="170" t="s">
        <v>1657</v>
      </c>
      <c r="B162" s="171">
        <v>4290</v>
      </c>
      <c r="C162" s="172" t="s">
        <v>1658</v>
      </c>
      <c r="D162" s="170" t="s">
        <v>924</v>
      </c>
      <c r="E162" s="171">
        <v>400</v>
      </c>
      <c r="F162" s="170" t="s">
        <v>936</v>
      </c>
    </row>
    <row r="163" spans="1:6" x14ac:dyDescent="0.2">
      <c r="A163" s="170" t="s">
        <v>1659</v>
      </c>
      <c r="B163" s="171">
        <v>2590</v>
      </c>
      <c r="C163" s="172" t="s">
        <v>1660</v>
      </c>
      <c r="D163" s="170" t="s">
        <v>1517</v>
      </c>
      <c r="E163" s="171">
        <v>1</v>
      </c>
      <c r="F163" s="170" t="s">
        <v>1569</v>
      </c>
    </row>
    <row r="164" spans="1:6" x14ac:dyDescent="0.2">
      <c r="A164" s="170" t="s">
        <v>1661</v>
      </c>
      <c r="B164" s="171">
        <v>1710</v>
      </c>
      <c r="C164" s="172" t="s">
        <v>1662</v>
      </c>
      <c r="D164" s="170" t="s">
        <v>1064</v>
      </c>
      <c r="E164" s="171">
        <v>1</v>
      </c>
      <c r="F164" s="170" t="s">
        <v>952</v>
      </c>
    </row>
    <row r="165" spans="1:6" x14ac:dyDescent="0.2">
      <c r="A165" s="170" t="s">
        <v>1663</v>
      </c>
      <c r="B165" s="171">
        <v>1490</v>
      </c>
      <c r="C165" s="172" t="s">
        <v>1664</v>
      </c>
      <c r="D165" s="170" t="s">
        <v>1064</v>
      </c>
      <c r="E165" s="171">
        <v>60</v>
      </c>
      <c r="F165" s="170" t="s">
        <v>936</v>
      </c>
    </row>
    <row r="166" spans="1:6" x14ac:dyDescent="0.2">
      <c r="A166" s="170" t="s">
        <v>1665</v>
      </c>
      <c r="B166" s="171">
        <v>1020</v>
      </c>
      <c r="C166" s="172" t="s">
        <v>1666</v>
      </c>
      <c r="D166" s="170" t="s">
        <v>1064</v>
      </c>
      <c r="E166" s="171">
        <v>1</v>
      </c>
      <c r="F166" s="170" t="s">
        <v>952</v>
      </c>
    </row>
    <row r="167" spans="1:6" x14ac:dyDescent="0.2">
      <c r="A167" s="170" t="s">
        <v>1667</v>
      </c>
      <c r="B167" s="171">
        <v>1060</v>
      </c>
      <c r="C167" s="172" t="s">
        <v>1668</v>
      </c>
      <c r="D167" s="170" t="s">
        <v>1064</v>
      </c>
      <c r="E167" s="171">
        <v>30</v>
      </c>
      <c r="F167" s="170" t="s">
        <v>936</v>
      </c>
    </row>
    <row r="168" spans="1:6" x14ac:dyDescent="0.2">
      <c r="A168" s="170" t="s">
        <v>445</v>
      </c>
      <c r="B168" s="171">
        <v>790</v>
      </c>
      <c r="C168" s="172" t="s">
        <v>1669</v>
      </c>
      <c r="D168" s="170" t="s">
        <v>1064</v>
      </c>
      <c r="E168" s="171">
        <v>1</v>
      </c>
      <c r="F168" s="170" t="s">
        <v>952</v>
      </c>
    </row>
    <row r="169" spans="1:6" x14ac:dyDescent="0.2">
      <c r="A169" s="170" t="s">
        <v>1670</v>
      </c>
      <c r="B169" s="171">
        <v>1990</v>
      </c>
      <c r="C169" s="172" t="s">
        <v>1671</v>
      </c>
      <c r="D169" s="170" t="s">
        <v>1064</v>
      </c>
      <c r="E169" s="171">
        <v>500</v>
      </c>
      <c r="F169" s="170" t="s">
        <v>936</v>
      </c>
    </row>
    <row r="170" spans="1:6" x14ac:dyDescent="0.2">
      <c r="A170" s="170" t="s">
        <v>485</v>
      </c>
      <c r="B170" s="171">
        <v>1820</v>
      </c>
      <c r="C170" s="172" t="s">
        <v>1672</v>
      </c>
      <c r="D170" s="170" t="s">
        <v>1064</v>
      </c>
      <c r="E170" s="171">
        <v>200</v>
      </c>
      <c r="F170" s="170" t="s">
        <v>936</v>
      </c>
    </row>
    <row r="171" spans="1:6" x14ac:dyDescent="0.2">
      <c r="A171" s="170" t="s">
        <v>1673</v>
      </c>
      <c r="B171" s="171">
        <v>3290</v>
      </c>
      <c r="C171" s="172" t="s">
        <v>1674</v>
      </c>
      <c r="D171" s="170" t="s">
        <v>1064</v>
      </c>
      <c r="E171" s="171">
        <v>4</v>
      </c>
      <c r="F171" s="170" t="s">
        <v>952</v>
      </c>
    </row>
    <row r="172" spans="1:6" x14ac:dyDescent="0.2">
      <c r="A172" s="170" t="s">
        <v>433</v>
      </c>
      <c r="B172" s="171">
        <v>1190</v>
      </c>
      <c r="C172" s="172" t="s">
        <v>1675</v>
      </c>
      <c r="D172" s="170" t="s">
        <v>1064</v>
      </c>
      <c r="E172" s="171">
        <v>3</v>
      </c>
      <c r="F172" s="170" t="s">
        <v>952</v>
      </c>
    </row>
    <row r="173" spans="1:6" x14ac:dyDescent="0.2">
      <c r="A173" s="170" t="s">
        <v>1676</v>
      </c>
      <c r="B173" s="171">
        <v>2590</v>
      </c>
      <c r="C173" s="172" t="s">
        <v>1677</v>
      </c>
      <c r="D173" s="170" t="s">
        <v>1064</v>
      </c>
      <c r="E173" s="171">
        <v>2</v>
      </c>
      <c r="F173" s="170" t="s">
        <v>952</v>
      </c>
    </row>
    <row r="174" spans="1:6" x14ac:dyDescent="0.2">
      <c r="A174" s="170" t="s">
        <v>1678</v>
      </c>
      <c r="B174" s="171">
        <v>2090</v>
      </c>
      <c r="C174" s="172" t="s">
        <v>1679</v>
      </c>
      <c r="D174" s="170" t="s">
        <v>1064</v>
      </c>
      <c r="E174" s="171">
        <v>500</v>
      </c>
      <c r="F174" s="170" t="s">
        <v>936</v>
      </c>
    </row>
    <row r="175" spans="1:6" x14ac:dyDescent="0.2">
      <c r="A175" s="170" t="s">
        <v>1680</v>
      </c>
      <c r="B175" s="171">
        <v>2290</v>
      </c>
      <c r="C175" s="172" t="s">
        <v>1681</v>
      </c>
      <c r="D175" s="170" t="s">
        <v>1064</v>
      </c>
      <c r="E175" s="171">
        <v>80</v>
      </c>
      <c r="F175" s="170" t="s">
        <v>936</v>
      </c>
    </row>
    <row r="176" spans="1:6" x14ac:dyDescent="0.2">
      <c r="A176" s="170" t="s">
        <v>1682</v>
      </c>
      <c r="B176" s="171">
        <v>4190</v>
      </c>
      <c r="C176" s="172" t="s">
        <v>1683</v>
      </c>
      <c r="D176" s="170" t="s">
        <v>924</v>
      </c>
      <c r="E176" s="171">
        <v>1</v>
      </c>
      <c r="F176" s="170" t="s">
        <v>952</v>
      </c>
    </row>
    <row r="177" spans="1:6" x14ac:dyDescent="0.2">
      <c r="A177" s="170" t="s">
        <v>1684</v>
      </c>
      <c r="B177" s="171">
        <v>730</v>
      </c>
      <c r="C177" s="172" t="s">
        <v>1685</v>
      </c>
      <c r="D177" s="170" t="s">
        <v>1064</v>
      </c>
      <c r="E177" s="171">
        <v>20</v>
      </c>
      <c r="F177" s="170" t="s">
        <v>936</v>
      </c>
    </row>
    <row r="178" spans="1:6" x14ac:dyDescent="0.2">
      <c r="A178" s="170" t="s">
        <v>1686</v>
      </c>
      <c r="B178" s="171">
        <v>6290</v>
      </c>
      <c r="C178" s="172" t="s">
        <v>1687</v>
      </c>
      <c r="D178" s="170" t="s">
        <v>1064</v>
      </c>
      <c r="E178" s="171">
        <v>5</v>
      </c>
      <c r="F178" s="170" t="s">
        <v>925</v>
      </c>
    </row>
    <row r="179" spans="1:6" x14ac:dyDescent="0.2">
      <c r="A179" s="170" t="s">
        <v>1688</v>
      </c>
      <c r="B179" s="171">
        <v>3690</v>
      </c>
      <c r="C179" s="172" t="s">
        <v>1689</v>
      </c>
      <c r="D179" s="170" t="s">
        <v>924</v>
      </c>
      <c r="E179" s="171">
        <v>400</v>
      </c>
      <c r="F179" s="170" t="s">
        <v>936</v>
      </c>
    </row>
    <row r="180" spans="1:6" x14ac:dyDescent="0.2">
      <c r="A180" s="170" t="s">
        <v>1690</v>
      </c>
      <c r="B180" s="171">
        <v>3460</v>
      </c>
      <c r="C180" s="172" t="s">
        <v>1691</v>
      </c>
      <c r="D180" s="170" t="s">
        <v>1064</v>
      </c>
      <c r="E180" s="171">
        <v>3</v>
      </c>
      <c r="F180" s="170" t="s">
        <v>952</v>
      </c>
    </row>
    <row r="181" spans="1:6" x14ac:dyDescent="0.2">
      <c r="A181" s="170" t="s">
        <v>1692</v>
      </c>
      <c r="B181" s="171">
        <v>1740</v>
      </c>
      <c r="C181" s="172" t="s">
        <v>1693</v>
      </c>
      <c r="D181" s="170" t="s">
        <v>1064</v>
      </c>
      <c r="E181" s="171">
        <v>1</v>
      </c>
      <c r="F181" s="170" t="s">
        <v>952</v>
      </c>
    </row>
    <row r="182" spans="1:6" x14ac:dyDescent="0.2">
      <c r="A182" s="170" t="s">
        <v>1694</v>
      </c>
      <c r="B182" s="171">
        <v>2190</v>
      </c>
      <c r="C182" s="172" t="s">
        <v>1695</v>
      </c>
      <c r="D182" s="170" t="s">
        <v>1064</v>
      </c>
      <c r="E182" s="171">
        <v>150</v>
      </c>
      <c r="F182" s="170" t="s">
        <v>936</v>
      </c>
    </row>
    <row r="183" spans="1:6" x14ac:dyDescent="0.2">
      <c r="A183" s="170" t="s">
        <v>1696</v>
      </c>
      <c r="B183" s="171">
        <v>1050</v>
      </c>
      <c r="C183" s="172" t="s">
        <v>1697</v>
      </c>
      <c r="D183" s="170" t="s">
        <v>1064</v>
      </c>
      <c r="E183" s="171">
        <v>50</v>
      </c>
      <c r="F183" s="170" t="s">
        <v>936</v>
      </c>
    </row>
    <row r="184" spans="1:6" x14ac:dyDescent="0.2">
      <c r="A184" s="170" t="s">
        <v>1698</v>
      </c>
      <c r="B184" s="171">
        <v>2990</v>
      </c>
      <c r="C184" s="172" t="s">
        <v>1699</v>
      </c>
      <c r="D184" s="170" t="s">
        <v>924</v>
      </c>
      <c r="E184" s="171">
        <v>250</v>
      </c>
      <c r="F184" s="170" t="s">
        <v>936</v>
      </c>
    </row>
    <row r="185" spans="1:6" x14ac:dyDescent="0.2">
      <c r="A185" s="170" t="s">
        <v>1700</v>
      </c>
      <c r="B185" s="171">
        <v>2790</v>
      </c>
      <c r="C185" s="172" t="s">
        <v>1701</v>
      </c>
      <c r="D185" s="170" t="s">
        <v>1634</v>
      </c>
      <c r="E185" s="171">
        <v>700</v>
      </c>
      <c r="F185" s="170" t="s">
        <v>936</v>
      </c>
    </row>
    <row r="186" spans="1:6" x14ac:dyDescent="0.2">
      <c r="A186" s="170" t="s">
        <v>1702</v>
      </c>
      <c r="B186" s="171">
        <v>1490</v>
      </c>
      <c r="C186" s="172" t="s">
        <v>1703</v>
      </c>
      <c r="D186" s="170" t="s">
        <v>1064</v>
      </c>
      <c r="E186" s="171">
        <v>300</v>
      </c>
      <c r="F186" s="170" t="s">
        <v>936</v>
      </c>
    </row>
    <row r="187" spans="1:6" x14ac:dyDescent="0.2">
      <c r="A187" s="170" t="s">
        <v>1704</v>
      </c>
      <c r="B187" s="171">
        <v>2990</v>
      </c>
      <c r="C187" s="172" t="s">
        <v>1705</v>
      </c>
      <c r="D187" s="170" t="s">
        <v>1064</v>
      </c>
      <c r="E187" s="171">
        <v>300</v>
      </c>
      <c r="F187" s="170" t="s">
        <v>936</v>
      </c>
    </row>
    <row r="188" spans="1:6" x14ac:dyDescent="0.2">
      <c r="A188" s="170" t="s">
        <v>1706</v>
      </c>
      <c r="B188" s="171">
        <v>1050</v>
      </c>
      <c r="C188" s="172" t="s">
        <v>1707</v>
      </c>
      <c r="D188" s="170" t="s">
        <v>1064</v>
      </c>
      <c r="E188" s="171">
        <v>50</v>
      </c>
      <c r="F188" s="170" t="s">
        <v>936</v>
      </c>
    </row>
    <row r="189" spans="1:6" x14ac:dyDescent="0.2">
      <c r="A189" s="170" t="s">
        <v>1708</v>
      </c>
      <c r="B189" s="171">
        <v>1990</v>
      </c>
      <c r="C189" s="172" t="s">
        <v>1709</v>
      </c>
      <c r="D189" s="170" t="s">
        <v>1064</v>
      </c>
      <c r="E189" s="171">
        <v>200</v>
      </c>
      <c r="F189" s="170" t="s">
        <v>936</v>
      </c>
    </row>
    <row r="190" spans="1:6" x14ac:dyDescent="0.2">
      <c r="A190" s="170" t="s">
        <v>842</v>
      </c>
      <c r="B190" s="171">
        <v>1995</v>
      </c>
      <c r="C190" s="172" t="s">
        <v>1710</v>
      </c>
      <c r="D190" s="170" t="s">
        <v>1064</v>
      </c>
      <c r="E190" s="171">
        <v>1</v>
      </c>
      <c r="F190" s="170" t="s">
        <v>925</v>
      </c>
    </row>
    <row r="191" spans="1:6" x14ac:dyDescent="0.2">
      <c r="A191" s="170" t="s">
        <v>1711</v>
      </c>
      <c r="B191" s="171">
        <v>4290</v>
      </c>
      <c r="C191" s="172" t="s">
        <v>1712</v>
      </c>
      <c r="D191" s="170" t="s">
        <v>1064</v>
      </c>
      <c r="E191" s="171">
        <v>350</v>
      </c>
      <c r="F191" s="170" t="s">
        <v>936</v>
      </c>
    </row>
    <row r="192" spans="1:6" x14ac:dyDescent="0.2">
      <c r="A192" s="170" t="s">
        <v>1713</v>
      </c>
      <c r="B192" s="171">
        <v>1990</v>
      </c>
      <c r="C192" s="172" t="s">
        <v>1714</v>
      </c>
      <c r="D192" s="170" t="s">
        <v>1064</v>
      </c>
      <c r="E192" s="171">
        <v>100</v>
      </c>
      <c r="F192" s="170" t="s">
        <v>936</v>
      </c>
    </row>
    <row r="193" spans="1:6" x14ac:dyDescent="0.2">
      <c r="A193" s="170" t="s">
        <v>1715</v>
      </c>
      <c r="B193" s="171">
        <v>2190</v>
      </c>
      <c r="C193" s="172" t="s">
        <v>1716</v>
      </c>
      <c r="D193" s="170" t="s">
        <v>1064</v>
      </c>
      <c r="E193" s="171">
        <v>200</v>
      </c>
      <c r="F193" s="170" t="s">
        <v>936</v>
      </c>
    </row>
    <row r="194" spans="1:6" x14ac:dyDescent="0.2">
      <c r="A194" s="170" t="s">
        <v>1717</v>
      </c>
      <c r="B194" s="171">
        <v>4290</v>
      </c>
      <c r="C194" s="172" t="s">
        <v>1718</v>
      </c>
      <c r="D194" s="170" t="s">
        <v>1064</v>
      </c>
      <c r="E194" s="171">
        <v>270</v>
      </c>
      <c r="F194" s="170" t="s">
        <v>936</v>
      </c>
    </row>
    <row r="195" spans="1:6" x14ac:dyDescent="0.2">
      <c r="A195" s="170" t="s">
        <v>1719</v>
      </c>
      <c r="B195" s="171">
        <v>2290</v>
      </c>
      <c r="C195" s="172" t="s">
        <v>1720</v>
      </c>
      <c r="D195" s="170" t="s">
        <v>1064</v>
      </c>
      <c r="E195" s="171">
        <v>200</v>
      </c>
      <c r="F195" s="170" t="s">
        <v>936</v>
      </c>
    </row>
    <row r="196" spans="1:6" x14ac:dyDescent="0.2">
      <c r="A196" s="170" t="s">
        <v>1721</v>
      </c>
      <c r="B196" s="171">
        <v>2190</v>
      </c>
      <c r="C196" s="172" t="s">
        <v>1722</v>
      </c>
      <c r="D196" s="170" t="s">
        <v>1064</v>
      </c>
      <c r="E196" s="171">
        <v>900</v>
      </c>
      <c r="F196" s="170" t="s">
        <v>936</v>
      </c>
    </row>
    <row r="197" spans="1:6" x14ac:dyDescent="0.2">
      <c r="A197" s="170" t="s">
        <v>1723</v>
      </c>
      <c r="B197" s="171">
        <v>2680</v>
      </c>
      <c r="C197" s="172" t="s">
        <v>1724</v>
      </c>
      <c r="D197" s="170" t="s">
        <v>1064</v>
      </c>
      <c r="E197" s="171">
        <v>150</v>
      </c>
      <c r="F197" s="170" t="s">
        <v>936</v>
      </c>
    </row>
    <row r="198" spans="1:6" x14ac:dyDescent="0.2">
      <c r="A198" s="170" t="s">
        <v>1725</v>
      </c>
      <c r="B198" s="171">
        <v>2990</v>
      </c>
      <c r="C198" s="172" t="s">
        <v>1726</v>
      </c>
      <c r="D198" s="170" t="s">
        <v>1064</v>
      </c>
      <c r="E198" s="171">
        <v>250</v>
      </c>
      <c r="F198" s="170" t="s">
        <v>936</v>
      </c>
    </row>
    <row r="199" spans="1:6" x14ac:dyDescent="0.2">
      <c r="A199" s="170" t="s">
        <v>1727</v>
      </c>
      <c r="B199" s="171">
        <v>8270</v>
      </c>
      <c r="C199" s="172" t="s">
        <v>1728</v>
      </c>
      <c r="D199" s="170" t="s">
        <v>1517</v>
      </c>
      <c r="E199" s="171">
        <v>700</v>
      </c>
      <c r="F199" s="170" t="s">
        <v>936</v>
      </c>
    </row>
    <row r="200" spans="1:6" x14ac:dyDescent="0.2">
      <c r="A200" s="170" t="s">
        <v>1729</v>
      </c>
      <c r="B200" s="171">
        <v>2090</v>
      </c>
      <c r="C200" s="172" t="s">
        <v>1730</v>
      </c>
      <c r="D200" s="170" t="s">
        <v>1064</v>
      </c>
      <c r="E200" s="171">
        <v>300</v>
      </c>
      <c r="F200" s="170" t="s">
        <v>936</v>
      </c>
    </row>
    <row r="201" spans="1:6" x14ac:dyDescent="0.2">
      <c r="A201" s="170" t="s">
        <v>1731</v>
      </c>
      <c r="B201" s="171">
        <v>1390</v>
      </c>
      <c r="C201" s="172" t="s">
        <v>1732</v>
      </c>
      <c r="D201" s="170" t="s">
        <v>1064</v>
      </c>
      <c r="E201" s="171">
        <v>120</v>
      </c>
      <c r="F201" s="170" t="s">
        <v>936</v>
      </c>
    </row>
    <row r="202" spans="1:6" x14ac:dyDescent="0.2">
      <c r="A202" s="170" t="s">
        <v>1733</v>
      </c>
      <c r="B202" s="171">
        <v>8270</v>
      </c>
      <c r="C202" s="172" t="s">
        <v>1734</v>
      </c>
      <c r="D202" s="170" t="s">
        <v>1517</v>
      </c>
      <c r="E202" s="171">
        <v>700</v>
      </c>
      <c r="F202" s="170" t="s">
        <v>936</v>
      </c>
    </row>
    <row r="203" spans="1:6" x14ac:dyDescent="0.2">
      <c r="A203" s="170" t="s">
        <v>1735</v>
      </c>
      <c r="B203" s="171">
        <v>7990</v>
      </c>
      <c r="C203" s="172" t="s">
        <v>1736</v>
      </c>
      <c r="D203" s="170" t="s">
        <v>1064</v>
      </c>
      <c r="E203" s="171">
        <v>125</v>
      </c>
      <c r="F203" s="170" t="s">
        <v>936</v>
      </c>
    </row>
    <row r="204" spans="1:6" x14ac:dyDescent="0.2">
      <c r="A204" s="170" t="s">
        <v>748</v>
      </c>
      <c r="B204" s="171">
        <v>1499</v>
      </c>
      <c r="C204" s="172" t="s">
        <v>1737</v>
      </c>
      <c r="D204" s="170" t="s">
        <v>1517</v>
      </c>
      <c r="E204" s="171">
        <v>1</v>
      </c>
      <c r="F204" s="170" t="s">
        <v>925</v>
      </c>
    </row>
    <row r="205" spans="1:6" x14ac:dyDescent="0.2">
      <c r="A205" s="170" t="s">
        <v>1738</v>
      </c>
      <c r="B205" s="171">
        <v>1790</v>
      </c>
      <c r="C205" s="172" t="s">
        <v>1739</v>
      </c>
      <c r="D205" s="170" t="s">
        <v>1064</v>
      </c>
      <c r="E205" s="171">
        <v>300</v>
      </c>
      <c r="F205" s="170" t="s">
        <v>936</v>
      </c>
    </row>
    <row r="206" spans="1:6" x14ac:dyDescent="0.2">
      <c r="A206" s="170" t="s">
        <v>1740</v>
      </c>
      <c r="B206" s="171">
        <v>2890</v>
      </c>
      <c r="C206" s="172" t="s">
        <v>1741</v>
      </c>
      <c r="D206" s="170" t="s">
        <v>1064</v>
      </c>
      <c r="E206" s="171">
        <v>500</v>
      </c>
      <c r="F206" s="170" t="s">
        <v>936</v>
      </c>
    </row>
    <row r="207" spans="1:6" x14ac:dyDescent="0.2">
      <c r="A207" s="170" t="s">
        <v>1742</v>
      </c>
      <c r="B207" s="171">
        <v>1990</v>
      </c>
      <c r="C207" s="172" t="s">
        <v>1743</v>
      </c>
      <c r="D207" s="170" t="s">
        <v>1064</v>
      </c>
      <c r="E207" s="171">
        <v>200</v>
      </c>
      <c r="F207" s="170" t="s">
        <v>936</v>
      </c>
    </row>
    <row r="208" spans="1:6" x14ac:dyDescent="0.2">
      <c r="A208" s="170" t="s">
        <v>1744</v>
      </c>
      <c r="B208" s="171">
        <v>3390</v>
      </c>
      <c r="C208" s="172" t="s">
        <v>1745</v>
      </c>
      <c r="D208" s="170" t="s">
        <v>1064</v>
      </c>
      <c r="E208" s="171">
        <v>600</v>
      </c>
      <c r="F208" s="170" t="s">
        <v>936</v>
      </c>
    </row>
    <row r="209" spans="1:6" x14ac:dyDescent="0.2">
      <c r="A209" s="170" t="s">
        <v>589</v>
      </c>
      <c r="B209" s="171">
        <v>1299</v>
      </c>
      <c r="C209" s="172" t="s">
        <v>1746</v>
      </c>
      <c r="D209" s="170" t="s">
        <v>1517</v>
      </c>
      <c r="E209" s="171">
        <v>1</v>
      </c>
      <c r="F209" s="170" t="s">
        <v>925</v>
      </c>
    </row>
    <row r="210" spans="1:6" x14ac:dyDescent="0.2">
      <c r="A210" s="170" t="s">
        <v>1747</v>
      </c>
      <c r="B210" s="171">
        <v>2290</v>
      </c>
      <c r="C210" s="172" t="s">
        <v>1748</v>
      </c>
      <c r="D210" s="170" t="s">
        <v>1517</v>
      </c>
      <c r="E210" s="171">
        <v>200</v>
      </c>
      <c r="F210" s="170" t="s">
        <v>936</v>
      </c>
    </row>
    <row r="211" spans="1:6" x14ac:dyDescent="0.2">
      <c r="A211" s="170" t="s">
        <v>1749</v>
      </c>
      <c r="B211" s="171">
        <v>2490</v>
      </c>
      <c r="C211" s="172" t="s">
        <v>1750</v>
      </c>
      <c r="D211" s="170" t="s">
        <v>1634</v>
      </c>
      <c r="E211" s="171">
        <v>900</v>
      </c>
      <c r="F211" s="170" t="s">
        <v>936</v>
      </c>
    </row>
    <row r="212" spans="1:6" x14ac:dyDescent="0.2">
      <c r="A212" s="170" t="s">
        <v>1751</v>
      </c>
      <c r="B212" s="171">
        <v>2690</v>
      </c>
      <c r="C212" s="172" t="s">
        <v>1752</v>
      </c>
      <c r="D212" s="170" t="s">
        <v>1517</v>
      </c>
      <c r="E212" s="171">
        <v>140</v>
      </c>
      <c r="F212" s="170" t="s">
        <v>936</v>
      </c>
    </row>
    <row r="213" spans="1:6" x14ac:dyDescent="0.2">
      <c r="A213" s="170" t="s">
        <v>1519</v>
      </c>
      <c r="B213" s="171">
        <v>1990</v>
      </c>
      <c r="C213" s="172" t="s">
        <v>1753</v>
      </c>
      <c r="D213" s="170" t="s">
        <v>1064</v>
      </c>
      <c r="E213" s="171">
        <v>300</v>
      </c>
      <c r="F213" s="170" t="s">
        <v>936</v>
      </c>
    </row>
    <row r="214" spans="1:6" x14ac:dyDescent="0.2">
      <c r="A214" s="170" t="s">
        <v>1754</v>
      </c>
      <c r="B214" s="171">
        <v>2790</v>
      </c>
      <c r="C214" s="172" t="s">
        <v>1755</v>
      </c>
      <c r="D214" s="170" t="s">
        <v>1064</v>
      </c>
      <c r="E214" s="171">
        <v>300</v>
      </c>
      <c r="F214" s="170" t="s">
        <v>936</v>
      </c>
    </row>
    <row r="215" spans="1:6" x14ac:dyDescent="0.2">
      <c r="A215" s="170" t="s">
        <v>398</v>
      </c>
      <c r="B215" s="171">
        <v>1030</v>
      </c>
      <c r="C215" s="172" t="s">
        <v>1756</v>
      </c>
      <c r="D215" s="170" t="s">
        <v>1064</v>
      </c>
      <c r="E215" s="171">
        <v>1</v>
      </c>
      <c r="F215" s="170" t="s">
        <v>952</v>
      </c>
    </row>
    <row r="216" spans="1:6" x14ac:dyDescent="0.2">
      <c r="A216" s="170" t="s">
        <v>1757</v>
      </c>
      <c r="B216" s="171">
        <v>950</v>
      </c>
      <c r="C216" s="172" t="s">
        <v>1758</v>
      </c>
      <c r="D216" s="170" t="s">
        <v>1064</v>
      </c>
      <c r="E216" s="171">
        <v>3</v>
      </c>
      <c r="F216" s="170" t="s">
        <v>952</v>
      </c>
    </row>
    <row r="217" spans="1:6" x14ac:dyDescent="0.2">
      <c r="A217" s="170" t="s">
        <v>1759</v>
      </c>
      <c r="B217" s="171">
        <v>4390</v>
      </c>
      <c r="C217" s="172" t="s">
        <v>1760</v>
      </c>
      <c r="D217" s="170" t="s">
        <v>1064</v>
      </c>
      <c r="E217" s="171">
        <v>500</v>
      </c>
      <c r="F217" s="170" t="s">
        <v>936</v>
      </c>
    </row>
    <row r="218" spans="1:6" x14ac:dyDescent="0.2">
      <c r="A218" s="170" t="s">
        <v>1761</v>
      </c>
      <c r="B218" s="171">
        <v>3990</v>
      </c>
      <c r="C218" s="172" t="s">
        <v>1762</v>
      </c>
      <c r="D218" s="170" t="s">
        <v>1064</v>
      </c>
      <c r="E218" s="171">
        <v>350</v>
      </c>
      <c r="F218" s="170" t="s">
        <v>936</v>
      </c>
    </row>
    <row r="219" spans="1:6" x14ac:dyDescent="0.2">
      <c r="A219" s="170" t="s">
        <v>1763</v>
      </c>
      <c r="B219" s="171">
        <v>1490</v>
      </c>
      <c r="C219" s="172" t="s">
        <v>1764</v>
      </c>
      <c r="D219" s="170" t="s">
        <v>1064</v>
      </c>
      <c r="E219" s="171">
        <v>60</v>
      </c>
      <c r="F219" s="170" t="s">
        <v>936</v>
      </c>
    </row>
    <row r="220" spans="1:6" x14ac:dyDescent="0.2">
      <c r="A220" s="170" t="s">
        <v>518</v>
      </c>
      <c r="B220" s="171">
        <v>1899</v>
      </c>
      <c r="C220" s="172" t="s">
        <v>1765</v>
      </c>
      <c r="D220" s="170" t="s">
        <v>1517</v>
      </c>
      <c r="E220" s="171">
        <v>1</v>
      </c>
      <c r="F220" s="170" t="s">
        <v>925</v>
      </c>
    </row>
    <row r="221" spans="1:6" x14ac:dyDescent="0.2">
      <c r="A221" s="170" t="s">
        <v>574</v>
      </c>
      <c r="B221" s="171">
        <v>4990</v>
      </c>
      <c r="C221" s="172" t="s">
        <v>1766</v>
      </c>
      <c r="D221" s="170" t="s">
        <v>1517</v>
      </c>
      <c r="E221" s="171">
        <v>500</v>
      </c>
      <c r="F221" s="170" t="s">
        <v>936</v>
      </c>
    </row>
    <row r="222" spans="1:6" x14ac:dyDescent="0.2">
      <c r="A222" s="170" t="s">
        <v>1767</v>
      </c>
      <c r="B222" s="171">
        <v>1890</v>
      </c>
      <c r="C222" s="172" t="s">
        <v>1768</v>
      </c>
      <c r="D222" s="170" t="s">
        <v>1064</v>
      </c>
      <c r="E222" s="171">
        <v>300</v>
      </c>
      <c r="F222" s="170" t="s">
        <v>936</v>
      </c>
    </row>
    <row r="223" spans="1:6" x14ac:dyDescent="0.2">
      <c r="A223" s="170" t="s">
        <v>1769</v>
      </c>
      <c r="B223" s="171">
        <v>6990</v>
      </c>
      <c r="C223" s="172" t="s">
        <v>1770</v>
      </c>
      <c r="D223" s="170" t="s">
        <v>1517</v>
      </c>
      <c r="E223" s="171">
        <v>312</v>
      </c>
      <c r="F223" s="170" t="s">
        <v>936</v>
      </c>
    </row>
    <row r="224" spans="1:6" x14ac:dyDescent="0.2">
      <c r="A224" s="170" t="s">
        <v>1771</v>
      </c>
      <c r="B224" s="171">
        <v>1050</v>
      </c>
      <c r="C224" s="172" t="s">
        <v>1772</v>
      </c>
      <c r="D224" s="170" t="s">
        <v>1064</v>
      </c>
      <c r="E224" s="171">
        <v>50</v>
      </c>
      <c r="F224" s="170" t="s">
        <v>936</v>
      </c>
    </row>
    <row r="225" spans="1:6" x14ac:dyDescent="0.2">
      <c r="A225" s="170" t="s">
        <v>1773</v>
      </c>
      <c r="B225" s="171">
        <v>1990</v>
      </c>
      <c r="C225" s="172" t="s">
        <v>1774</v>
      </c>
      <c r="D225" s="170" t="s">
        <v>1064</v>
      </c>
      <c r="E225" s="171">
        <v>150</v>
      </c>
      <c r="F225" s="170" t="s">
        <v>936</v>
      </c>
    </row>
    <row r="226" spans="1:6" x14ac:dyDescent="0.2">
      <c r="A226" s="170" t="s">
        <v>1775</v>
      </c>
      <c r="B226" s="171">
        <v>2190</v>
      </c>
      <c r="C226" s="172" t="s">
        <v>1776</v>
      </c>
      <c r="D226" s="170" t="s">
        <v>1634</v>
      </c>
      <c r="E226" s="171">
        <v>900</v>
      </c>
      <c r="F226" s="170" t="s">
        <v>936</v>
      </c>
    </row>
    <row r="227" spans="1:6" x14ac:dyDescent="0.2">
      <c r="A227" s="170" t="s">
        <v>1777</v>
      </c>
      <c r="B227" s="171">
        <v>2460</v>
      </c>
      <c r="C227" s="172" t="s">
        <v>1778</v>
      </c>
      <c r="D227" s="170" t="s">
        <v>1064</v>
      </c>
      <c r="E227" s="171">
        <v>300</v>
      </c>
      <c r="F227" s="170" t="s">
        <v>936</v>
      </c>
    </row>
    <row r="228" spans="1:6" x14ac:dyDescent="0.2">
      <c r="A228" s="170" t="s">
        <v>1779</v>
      </c>
      <c r="B228" s="171">
        <v>1390</v>
      </c>
      <c r="C228" s="172" t="s">
        <v>1780</v>
      </c>
      <c r="D228" s="170" t="s">
        <v>1064</v>
      </c>
      <c r="E228" s="171">
        <v>70</v>
      </c>
      <c r="F228" s="170" t="s">
        <v>936</v>
      </c>
    </row>
    <row r="229" spans="1:6" x14ac:dyDescent="0.2">
      <c r="A229" s="170" t="s">
        <v>853</v>
      </c>
      <c r="B229" s="171">
        <v>1710</v>
      </c>
      <c r="C229" s="172" t="s">
        <v>1781</v>
      </c>
      <c r="D229" s="170" t="s">
        <v>1064</v>
      </c>
      <c r="E229" s="171">
        <v>1</v>
      </c>
      <c r="F229" s="170" t="s">
        <v>952</v>
      </c>
    </row>
    <row r="230" spans="1:6" x14ac:dyDescent="0.2">
      <c r="A230" s="170" t="s">
        <v>1782</v>
      </c>
      <c r="B230" s="171">
        <v>1390</v>
      </c>
      <c r="C230" s="172" t="s">
        <v>1783</v>
      </c>
      <c r="D230" s="170" t="s">
        <v>1064</v>
      </c>
      <c r="E230" s="171">
        <v>150</v>
      </c>
      <c r="F230" s="170" t="s">
        <v>936</v>
      </c>
    </row>
    <row r="231" spans="1:6" x14ac:dyDescent="0.2">
      <c r="A231" s="170" t="s">
        <v>1784</v>
      </c>
      <c r="B231" s="171">
        <v>6990</v>
      </c>
      <c r="C231" s="172" t="s">
        <v>1785</v>
      </c>
      <c r="D231" s="170" t="s">
        <v>1517</v>
      </c>
      <c r="E231" s="171">
        <v>312</v>
      </c>
      <c r="F231" s="170" t="s">
        <v>936</v>
      </c>
    </row>
    <row r="232" spans="1:6" x14ac:dyDescent="0.2">
      <c r="A232" s="170" t="s">
        <v>1786</v>
      </c>
      <c r="B232" s="171">
        <v>3990</v>
      </c>
      <c r="C232" s="172" t="s">
        <v>1787</v>
      </c>
      <c r="D232" s="170" t="s">
        <v>1064</v>
      </c>
      <c r="E232" s="171">
        <v>350</v>
      </c>
      <c r="F232" s="170" t="s">
        <v>936</v>
      </c>
    </row>
    <row r="233" spans="1:6" x14ac:dyDescent="0.2">
      <c r="A233" s="170" t="s">
        <v>1788</v>
      </c>
      <c r="B233" s="171">
        <v>1490</v>
      </c>
      <c r="C233" s="172" t="s">
        <v>1789</v>
      </c>
      <c r="D233" s="170" t="s">
        <v>1064</v>
      </c>
      <c r="E233" s="171">
        <v>300</v>
      </c>
      <c r="F233" s="170" t="s">
        <v>936</v>
      </c>
    </row>
    <row r="234" spans="1:6" x14ac:dyDescent="0.2">
      <c r="A234" s="170" t="s">
        <v>1790</v>
      </c>
      <c r="B234" s="171">
        <v>3290</v>
      </c>
      <c r="C234" s="172" t="s">
        <v>1791</v>
      </c>
      <c r="D234" s="170" t="s">
        <v>924</v>
      </c>
      <c r="E234" s="171">
        <v>200</v>
      </c>
      <c r="F234" s="170" t="s">
        <v>936</v>
      </c>
    </row>
    <row r="235" spans="1:6" x14ac:dyDescent="0.2">
      <c r="A235" s="170" t="s">
        <v>1792</v>
      </c>
      <c r="B235" s="171">
        <v>3290</v>
      </c>
      <c r="C235" s="172" t="s">
        <v>1793</v>
      </c>
      <c r="D235" s="170" t="s">
        <v>924</v>
      </c>
      <c r="E235" s="171">
        <v>500</v>
      </c>
      <c r="F235" s="170" t="s">
        <v>936</v>
      </c>
    </row>
    <row r="236" spans="1:6" x14ac:dyDescent="0.2">
      <c r="A236" s="170" t="s">
        <v>1794</v>
      </c>
      <c r="B236" s="171">
        <v>5990</v>
      </c>
      <c r="C236" s="172" t="s">
        <v>1795</v>
      </c>
      <c r="D236" s="170" t="s">
        <v>924</v>
      </c>
      <c r="E236" s="171">
        <v>1</v>
      </c>
      <c r="F236" s="170" t="s">
        <v>952</v>
      </c>
    </row>
    <row r="237" spans="1:6" x14ac:dyDescent="0.2">
      <c r="A237" s="170" t="s">
        <v>1580</v>
      </c>
      <c r="B237" s="171">
        <v>1090</v>
      </c>
      <c r="C237" s="172" t="s">
        <v>1796</v>
      </c>
      <c r="D237" s="170" t="s">
        <v>1064</v>
      </c>
      <c r="E237" s="171">
        <v>2</v>
      </c>
      <c r="F237" s="170" t="s">
        <v>952</v>
      </c>
    </row>
    <row r="238" spans="1:6" x14ac:dyDescent="0.2">
      <c r="A238" s="170" t="s">
        <v>1797</v>
      </c>
      <c r="B238" s="171">
        <v>1990</v>
      </c>
      <c r="C238" s="172" t="s">
        <v>1798</v>
      </c>
      <c r="D238" s="170" t="s">
        <v>1517</v>
      </c>
      <c r="E238" s="171">
        <v>20</v>
      </c>
      <c r="F238" s="170" t="s">
        <v>936</v>
      </c>
    </row>
    <row r="239" spans="1:6" x14ac:dyDescent="0.2">
      <c r="A239" s="170" t="s">
        <v>1799</v>
      </c>
      <c r="B239" s="171">
        <v>2390</v>
      </c>
      <c r="C239" s="172" t="s">
        <v>1800</v>
      </c>
      <c r="D239" s="170" t="s">
        <v>1064</v>
      </c>
      <c r="E239" s="171">
        <v>300</v>
      </c>
      <c r="F239" s="170" t="s">
        <v>936</v>
      </c>
    </row>
    <row r="240" spans="1:6" x14ac:dyDescent="0.2">
      <c r="A240" s="170" t="s">
        <v>1801</v>
      </c>
      <c r="B240" s="171">
        <v>1360</v>
      </c>
      <c r="C240" s="172" t="s">
        <v>1802</v>
      </c>
      <c r="D240" s="170" t="s">
        <v>1064</v>
      </c>
      <c r="E240" s="171">
        <v>1</v>
      </c>
      <c r="F240" s="170" t="s">
        <v>952</v>
      </c>
    </row>
    <row r="241" spans="1:6" x14ac:dyDescent="0.2">
      <c r="A241" s="170" t="s">
        <v>1803</v>
      </c>
      <c r="B241" s="171">
        <v>4290</v>
      </c>
      <c r="C241" s="172" t="s">
        <v>1804</v>
      </c>
      <c r="D241" s="170" t="s">
        <v>1517</v>
      </c>
      <c r="E241" s="171">
        <v>300</v>
      </c>
      <c r="F241" s="170" t="s">
        <v>936</v>
      </c>
    </row>
    <row r="242" spans="1:6" x14ac:dyDescent="0.2">
      <c r="A242" s="170" t="s">
        <v>1805</v>
      </c>
      <c r="B242" s="171">
        <v>3790</v>
      </c>
      <c r="C242" s="172" t="s">
        <v>1806</v>
      </c>
      <c r="D242" s="170" t="s">
        <v>1517</v>
      </c>
      <c r="E242" s="171">
        <v>140</v>
      </c>
      <c r="F242" s="170" t="s">
        <v>936</v>
      </c>
    </row>
    <row r="243" spans="1:6" x14ac:dyDescent="0.2">
      <c r="A243" s="170" t="s">
        <v>1807</v>
      </c>
      <c r="B243" s="171">
        <v>3790</v>
      </c>
      <c r="C243" s="172" t="s">
        <v>1808</v>
      </c>
      <c r="D243" s="170" t="s">
        <v>1064</v>
      </c>
      <c r="E243" s="171">
        <v>300</v>
      </c>
      <c r="F243" s="170" t="s">
        <v>936</v>
      </c>
    </row>
    <row r="244" spans="1:6" x14ac:dyDescent="0.2">
      <c r="A244" s="170" t="s">
        <v>1809</v>
      </c>
      <c r="B244" s="171">
        <v>8270</v>
      </c>
      <c r="C244" s="172" t="s">
        <v>1810</v>
      </c>
      <c r="D244" s="170" t="s">
        <v>1517</v>
      </c>
      <c r="E244" s="171">
        <v>700</v>
      </c>
      <c r="F244" s="170" t="s">
        <v>936</v>
      </c>
    </row>
    <row r="245" spans="1:6" x14ac:dyDescent="0.2">
      <c r="A245" s="170" t="s">
        <v>1811</v>
      </c>
      <c r="B245" s="171">
        <v>1790</v>
      </c>
      <c r="C245" s="172" t="s">
        <v>1812</v>
      </c>
      <c r="D245" s="170" t="s">
        <v>1064</v>
      </c>
      <c r="E245" s="171">
        <v>1</v>
      </c>
      <c r="F245" s="170" t="s">
        <v>952</v>
      </c>
    </row>
    <row r="246" spans="1:6" x14ac:dyDescent="0.2">
      <c r="A246" s="170" t="s">
        <v>1813</v>
      </c>
      <c r="B246" s="171">
        <v>2890</v>
      </c>
      <c r="C246" s="172" t="s">
        <v>1814</v>
      </c>
      <c r="D246" s="170" t="s">
        <v>1064</v>
      </c>
      <c r="E246" s="171">
        <v>1</v>
      </c>
      <c r="F246" s="170" t="s">
        <v>952</v>
      </c>
    </row>
    <row r="247" spans="1:6" x14ac:dyDescent="0.2">
      <c r="A247" s="170" t="s">
        <v>1815</v>
      </c>
      <c r="B247" s="171">
        <v>2990</v>
      </c>
      <c r="C247" s="172" t="s">
        <v>1816</v>
      </c>
      <c r="D247" s="170" t="s">
        <v>1634</v>
      </c>
      <c r="E247" s="171">
        <v>200</v>
      </c>
      <c r="F247" s="170" t="s">
        <v>936</v>
      </c>
    </row>
    <row r="248" spans="1:6" x14ac:dyDescent="0.2">
      <c r="A248" s="170" t="s">
        <v>1817</v>
      </c>
      <c r="B248" s="171">
        <v>3290</v>
      </c>
      <c r="C248" s="172" t="s">
        <v>1818</v>
      </c>
      <c r="D248" s="170" t="s">
        <v>924</v>
      </c>
      <c r="E248" s="171">
        <v>300</v>
      </c>
      <c r="F248" s="170" t="s">
        <v>936</v>
      </c>
    </row>
    <row r="249" spans="1:6" x14ac:dyDescent="0.2">
      <c r="A249" s="170" t="s">
        <v>1819</v>
      </c>
      <c r="B249" s="171">
        <v>1599</v>
      </c>
      <c r="C249" s="172" t="s">
        <v>1820</v>
      </c>
      <c r="D249" s="170" t="s">
        <v>1517</v>
      </c>
      <c r="E249" s="171">
        <v>10</v>
      </c>
      <c r="F249" s="170" t="s">
        <v>936</v>
      </c>
    </row>
    <row r="250" spans="1:6" x14ac:dyDescent="0.2">
      <c r="A250" s="170" t="s">
        <v>1821</v>
      </c>
      <c r="B250" s="171">
        <v>2950</v>
      </c>
      <c r="C250" s="172" t="s">
        <v>1822</v>
      </c>
      <c r="D250" s="170" t="s">
        <v>1064</v>
      </c>
      <c r="E250" s="171">
        <v>120</v>
      </c>
      <c r="F250" s="170" t="s">
        <v>936</v>
      </c>
    </row>
    <row r="251" spans="1:6" x14ac:dyDescent="0.2">
      <c r="A251" s="170" t="s">
        <v>1823</v>
      </c>
      <c r="B251" s="171">
        <v>4550</v>
      </c>
      <c r="C251" s="172" t="s">
        <v>1824</v>
      </c>
      <c r="D251" s="170" t="s">
        <v>1517</v>
      </c>
      <c r="E251" s="171">
        <v>200</v>
      </c>
      <c r="F251" s="170" t="s">
        <v>936</v>
      </c>
    </row>
    <row r="252" spans="1:6" x14ac:dyDescent="0.2">
      <c r="A252" s="170" t="s">
        <v>1825</v>
      </c>
      <c r="B252" s="171">
        <v>2460</v>
      </c>
      <c r="C252" s="172" t="s">
        <v>1826</v>
      </c>
      <c r="D252" s="170" t="s">
        <v>1064</v>
      </c>
      <c r="E252" s="171">
        <v>300</v>
      </c>
      <c r="F252" s="170" t="s">
        <v>936</v>
      </c>
    </row>
    <row r="253" spans="1:6" x14ac:dyDescent="0.2">
      <c r="A253" s="170" t="s">
        <v>1827</v>
      </c>
      <c r="B253" s="171">
        <v>4290</v>
      </c>
      <c r="C253" s="172" t="s">
        <v>1828</v>
      </c>
      <c r="D253" s="170" t="s">
        <v>1064</v>
      </c>
      <c r="E253" s="171">
        <v>140</v>
      </c>
      <c r="F253" s="170" t="s">
        <v>936</v>
      </c>
    </row>
    <row r="254" spans="1:6" x14ac:dyDescent="0.2">
      <c r="A254" s="170" t="s">
        <v>1829</v>
      </c>
      <c r="B254" s="171">
        <v>829</v>
      </c>
      <c r="C254" s="172" t="s">
        <v>1830</v>
      </c>
      <c r="D254" s="170" t="s">
        <v>1064</v>
      </c>
      <c r="E254" s="171">
        <v>1</v>
      </c>
      <c r="F254" s="170" t="s">
        <v>925</v>
      </c>
    </row>
    <row r="255" spans="1:6" x14ac:dyDescent="0.2">
      <c r="A255" s="170" t="s">
        <v>1831</v>
      </c>
      <c r="B255" s="171">
        <v>1060</v>
      </c>
      <c r="C255" s="172" t="s">
        <v>1832</v>
      </c>
      <c r="D255" s="170" t="s">
        <v>1064</v>
      </c>
      <c r="E255" s="171">
        <v>30</v>
      </c>
      <c r="F255" s="170" t="s">
        <v>936</v>
      </c>
    </row>
    <row r="256" spans="1:6" x14ac:dyDescent="0.2">
      <c r="A256" s="170" t="s">
        <v>1833</v>
      </c>
      <c r="B256" s="171">
        <v>3190</v>
      </c>
      <c r="C256" s="172" t="s">
        <v>1834</v>
      </c>
      <c r="D256" s="170" t="s">
        <v>1064</v>
      </c>
      <c r="E256" s="171" t="s">
        <v>957</v>
      </c>
      <c r="F256" s="170" t="s">
        <v>925</v>
      </c>
    </row>
    <row r="257" spans="1:6" x14ac:dyDescent="0.2">
      <c r="A257" s="170" t="s">
        <v>1835</v>
      </c>
      <c r="B257" s="171">
        <v>1050</v>
      </c>
      <c r="C257" s="172" t="s">
        <v>1836</v>
      </c>
      <c r="D257" s="170" t="s">
        <v>1064</v>
      </c>
      <c r="E257" s="171">
        <v>50</v>
      </c>
      <c r="F257" s="170" t="s">
        <v>936</v>
      </c>
    </row>
    <row r="258" spans="1:6" x14ac:dyDescent="0.2">
      <c r="A258" s="170" t="s">
        <v>1837</v>
      </c>
      <c r="B258" s="171">
        <v>1590</v>
      </c>
      <c r="C258" s="172" t="s">
        <v>1838</v>
      </c>
      <c r="D258" s="170" t="s">
        <v>1064</v>
      </c>
      <c r="E258" s="171">
        <v>60</v>
      </c>
      <c r="F258" s="170" t="s">
        <v>936</v>
      </c>
    </row>
    <row r="259" spans="1:6" x14ac:dyDescent="0.2">
      <c r="A259" s="170" t="s">
        <v>1839</v>
      </c>
      <c r="B259" s="171">
        <v>2190</v>
      </c>
      <c r="C259" s="172" t="s">
        <v>1840</v>
      </c>
      <c r="D259" s="170" t="s">
        <v>1064</v>
      </c>
      <c r="E259" s="171">
        <v>16</v>
      </c>
      <c r="F259" s="170" t="s">
        <v>936</v>
      </c>
    </row>
    <row r="260" spans="1:6" x14ac:dyDescent="0.2">
      <c r="A260" s="170" t="s">
        <v>1841</v>
      </c>
      <c r="B260" s="171">
        <v>1990</v>
      </c>
      <c r="C260" s="172" t="s">
        <v>1842</v>
      </c>
      <c r="D260" s="170" t="s">
        <v>1064</v>
      </c>
      <c r="E260" s="171">
        <v>200</v>
      </c>
      <c r="F260" s="170" t="s">
        <v>936</v>
      </c>
    </row>
    <row r="261" spans="1:6" x14ac:dyDescent="0.2">
      <c r="A261" s="170" t="s">
        <v>1843</v>
      </c>
      <c r="B261" s="171">
        <v>4490</v>
      </c>
      <c r="C261" s="172" t="s">
        <v>1844</v>
      </c>
      <c r="D261" s="170" t="s">
        <v>1634</v>
      </c>
      <c r="E261" s="171">
        <v>1</v>
      </c>
      <c r="F261" s="170" t="s">
        <v>952</v>
      </c>
    </row>
    <row r="262" spans="1:6" x14ac:dyDescent="0.2">
      <c r="A262" s="170" t="s">
        <v>1845</v>
      </c>
      <c r="B262" s="171">
        <v>8270</v>
      </c>
      <c r="C262" s="172" t="s">
        <v>1846</v>
      </c>
      <c r="D262" s="170" t="s">
        <v>1517</v>
      </c>
      <c r="E262" s="171">
        <v>700</v>
      </c>
      <c r="F262" s="170" t="s">
        <v>936</v>
      </c>
    </row>
    <row r="263" spans="1:6" x14ac:dyDescent="0.2">
      <c r="A263" s="170" t="s">
        <v>1847</v>
      </c>
      <c r="B263" s="171">
        <v>1390</v>
      </c>
      <c r="C263" s="172" t="s">
        <v>1848</v>
      </c>
      <c r="D263" s="170" t="s">
        <v>1064</v>
      </c>
      <c r="E263" s="171">
        <v>1</v>
      </c>
      <c r="F263" s="170" t="s">
        <v>952</v>
      </c>
    </row>
    <row r="264" spans="1:6" x14ac:dyDescent="0.2">
      <c r="A264" s="170" t="s">
        <v>1849</v>
      </c>
      <c r="B264" s="171">
        <v>3790</v>
      </c>
      <c r="C264" s="172" t="s">
        <v>1850</v>
      </c>
      <c r="D264" s="170" t="s">
        <v>1064</v>
      </c>
      <c r="E264" s="171">
        <v>140</v>
      </c>
      <c r="F264" s="170" t="s">
        <v>936</v>
      </c>
    </row>
    <row r="265" spans="1:6" x14ac:dyDescent="0.2">
      <c r="A265" s="170" t="s">
        <v>1851</v>
      </c>
      <c r="B265" s="171">
        <v>3210</v>
      </c>
      <c r="C265" s="172" t="s">
        <v>1852</v>
      </c>
      <c r="D265" s="170" t="s">
        <v>1064</v>
      </c>
      <c r="E265" s="171">
        <v>2</v>
      </c>
      <c r="F265" s="170" t="s">
        <v>952</v>
      </c>
    </row>
    <row r="266" spans="1:6" x14ac:dyDescent="0.2">
      <c r="A266" s="170" t="s">
        <v>1853</v>
      </c>
      <c r="B266" s="171">
        <v>6990</v>
      </c>
      <c r="C266" s="172" t="s">
        <v>1854</v>
      </c>
      <c r="D266" s="170" t="s">
        <v>1517</v>
      </c>
      <c r="E266" s="171">
        <v>700</v>
      </c>
      <c r="F266" s="170" t="s">
        <v>936</v>
      </c>
    </row>
    <row r="267" spans="1:6" x14ac:dyDescent="0.2">
      <c r="A267" s="170" t="s">
        <v>1855</v>
      </c>
      <c r="B267" s="171">
        <v>1190</v>
      </c>
      <c r="C267" s="172" t="s">
        <v>1856</v>
      </c>
      <c r="D267" s="170" t="s">
        <v>1064</v>
      </c>
      <c r="E267" s="171">
        <v>1</v>
      </c>
      <c r="F267" s="170" t="s">
        <v>952</v>
      </c>
    </row>
    <row r="268" spans="1:6" x14ac:dyDescent="0.2">
      <c r="A268" s="170" t="s">
        <v>1857</v>
      </c>
      <c r="B268" s="171">
        <v>5490</v>
      </c>
      <c r="C268" s="172" t="s">
        <v>1858</v>
      </c>
      <c r="D268" s="170" t="s">
        <v>1064</v>
      </c>
      <c r="E268" s="171">
        <v>454</v>
      </c>
      <c r="F268" s="170" t="s">
        <v>936</v>
      </c>
    </row>
    <row r="269" spans="1:6" x14ac:dyDescent="0.2">
      <c r="A269" s="170" t="s">
        <v>1859</v>
      </c>
      <c r="B269" s="171">
        <v>1990</v>
      </c>
      <c r="C269" s="172" t="s">
        <v>1860</v>
      </c>
      <c r="D269" s="170" t="s">
        <v>1517</v>
      </c>
      <c r="E269" s="171">
        <v>20</v>
      </c>
      <c r="F269" s="170" t="s">
        <v>936</v>
      </c>
    </row>
    <row r="270" spans="1:6" x14ac:dyDescent="0.2">
      <c r="A270" s="170" t="s">
        <v>1861</v>
      </c>
      <c r="B270" s="171">
        <v>2290</v>
      </c>
      <c r="C270" s="172" t="s">
        <v>1862</v>
      </c>
      <c r="D270" s="170" t="s">
        <v>1517</v>
      </c>
      <c r="E270" s="171">
        <v>100</v>
      </c>
      <c r="F270" s="170" t="s">
        <v>936</v>
      </c>
    </row>
    <row r="271" spans="1:6" x14ac:dyDescent="0.2">
      <c r="A271" s="170" t="s">
        <v>1863</v>
      </c>
      <c r="B271" s="171">
        <v>3190</v>
      </c>
      <c r="C271" s="172" t="s">
        <v>1864</v>
      </c>
      <c r="D271" s="170" t="s">
        <v>1064</v>
      </c>
      <c r="E271" s="171">
        <v>150</v>
      </c>
      <c r="F271" s="170" t="s">
        <v>936</v>
      </c>
    </row>
    <row r="272" spans="1:6" x14ac:dyDescent="0.2">
      <c r="A272" s="170" t="s">
        <v>1865</v>
      </c>
      <c r="B272" s="171">
        <v>2190</v>
      </c>
      <c r="C272" s="172" t="s">
        <v>1866</v>
      </c>
      <c r="D272" s="170" t="s">
        <v>1064</v>
      </c>
      <c r="E272" s="171">
        <v>16</v>
      </c>
      <c r="F272" s="170" t="s">
        <v>936</v>
      </c>
    </row>
    <row r="273" spans="1:6" x14ac:dyDescent="0.2">
      <c r="A273" s="170" t="s">
        <v>1867</v>
      </c>
      <c r="B273" s="171">
        <v>3630</v>
      </c>
      <c r="C273" s="172" t="s">
        <v>1868</v>
      </c>
      <c r="D273" s="170" t="s">
        <v>1064</v>
      </c>
      <c r="E273" s="171">
        <v>500</v>
      </c>
      <c r="F273" s="170" t="s">
        <v>936</v>
      </c>
    </row>
    <row r="274" spans="1:6" x14ac:dyDescent="0.2">
      <c r="A274" s="170" t="s">
        <v>1869</v>
      </c>
      <c r="B274" s="171">
        <v>999</v>
      </c>
      <c r="C274" s="172" t="s">
        <v>1870</v>
      </c>
      <c r="D274" s="170" t="s">
        <v>1517</v>
      </c>
      <c r="E274" s="171">
        <v>1</v>
      </c>
      <c r="F274" s="170" t="s">
        <v>925</v>
      </c>
    </row>
    <row r="275" spans="1:6" x14ac:dyDescent="0.2">
      <c r="A275" s="170" t="s">
        <v>1871</v>
      </c>
      <c r="B275" s="171">
        <v>2300</v>
      </c>
      <c r="C275" s="172" t="s">
        <v>1872</v>
      </c>
      <c r="D275" s="170" t="s">
        <v>1064</v>
      </c>
      <c r="E275" s="171">
        <v>150</v>
      </c>
      <c r="F275" s="170" t="s">
        <v>936</v>
      </c>
    </row>
    <row r="276" spans="1:6" x14ac:dyDescent="0.2">
      <c r="A276" s="170" t="s">
        <v>1873</v>
      </c>
      <c r="B276" s="171">
        <v>3490</v>
      </c>
      <c r="C276" s="172" t="s">
        <v>1874</v>
      </c>
      <c r="D276" s="170" t="s">
        <v>1517</v>
      </c>
      <c r="E276" s="171">
        <v>140</v>
      </c>
      <c r="F276" s="170" t="s">
        <v>936</v>
      </c>
    </row>
    <row r="277" spans="1:6" x14ac:dyDescent="0.2">
      <c r="A277" s="170" t="s">
        <v>1727</v>
      </c>
      <c r="B277" s="171">
        <v>8990</v>
      </c>
      <c r="C277" s="172" t="s">
        <v>1875</v>
      </c>
      <c r="D277" s="170" t="s">
        <v>1517</v>
      </c>
      <c r="E277" s="171">
        <v>700</v>
      </c>
      <c r="F277" s="170" t="s">
        <v>936</v>
      </c>
    </row>
    <row r="278" spans="1:6" x14ac:dyDescent="0.2">
      <c r="A278" s="170" t="s">
        <v>1876</v>
      </c>
      <c r="B278" s="171">
        <v>2090</v>
      </c>
      <c r="C278" s="172" t="s">
        <v>1877</v>
      </c>
      <c r="D278" s="170" t="s">
        <v>1064</v>
      </c>
      <c r="E278" s="171">
        <v>200</v>
      </c>
      <c r="F278" s="170" t="s">
        <v>936</v>
      </c>
    </row>
    <row r="279" spans="1:6" x14ac:dyDescent="0.2">
      <c r="A279" s="170" t="s">
        <v>1878</v>
      </c>
      <c r="B279" s="171">
        <v>2295</v>
      </c>
      <c r="C279" s="172" t="s">
        <v>1879</v>
      </c>
      <c r="D279" s="170" t="s">
        <v>1064</v>
      </c>
      <c r="E279" s="171">
        <v>1</v>
      </c>
      <c r="F279" s="170" t="s">
        <v>925</v>
      </c>
    </row>
    <row r="280" spans="1:6" x14ac:dyDescent="0.2">
      <c r="A280" s="170" t="s">
        <v>1880</v>
      </c>
      <c r="B280" s="171">
        <v>1290</v>
      </c>
      <c r="C280" s="172" t="s">
        <v>1881</v>
      </c>
      <c r="D280" s="170" t="s">
        <v>1064</v>
      </c>
      <c r="E280" s="171">
        <v>200</v>
      </c>
      <c r="F280" s="170" t="s">
        <v>936</v>
      </c>
    </row>
    <row r="281" spans="1:6" x14ac:dyDescent="0.2">
      <c r="A281" s="170" t="s">
        <v>1882</v>
      </c>
      <c r="B281" s="171">
        <v>4190</v>
      </c>
      <c r="C281" s="172" t="s">
        <v>1883</v>
      </c>
      <c r="D281" s="170" t="s">
        <v>1064</v>
      </c>
      <c r="E281" s="171">
        <v>500</v>
      </c>
      <c r="F281" s="170" t="s">
        <v>936</v>
      </c>
    </row>
    <row r="282" spans="1:6" x14ac:dyDescent="0.2">
      <c r="A282" s="170" t="s">
        <v>1884</v>
      </c>
      <c r="B282" s="171">
        <v>2590</v>
      </c>
      <c r="C282" s="172" t="s">
        <v>1885</v>
      </c>
      <c r="D282" s="170" t="s">
        <v>1517</v>
      </c>
      <c r="E282" s="171">
        <v>100</v>
      </c>
      <c r="F282" s="170" t="s">
        <v>936</v>
      </c>
    </row>
    <row r="283" spans="1:6" x14ac:dyDescent="0.2">
      <c r="A283" s="170" t="s">
        <v>1886</v>
      </c>
      <c r="B283" s="171">
        <v>5290</v>
      </c>
      <c r="C283" s="172" t="s">
        <v>1887</v>
      </c>
      <c r="D283" s="170" t="s">
        <v>1064</v>
      </c>
      <c r="E283" s="171">
        <v>80</v>
      </c>
      <c r="F283" s="170" t="s">
        <v>936</v>
      </c>
    </row>
    <row r="284" spans="1:6" x14ac:dyDescent="0.2">
      <c r="A284" s="170" t="s">
        <v>1888</v>
      </c>
      <c r="B284" s="171">
        <v>3790</v>
      </c>
      <c r="C284" s="172" t="s">
        <v>1889</v>
      </c>
      <c r="D284" s="170" t="s">
        <v>1064</v>
      </c>
      <c r="E284" s="171">
        <v>300</v>
      </c>
      <c r="F284" s="170" t="s">
        <v>936</v>
      </c>
    </row>
    <row r="285" spans="1:6" x14ac:dyDescent="0.2">
      <c r="A285" s="170" t="s">
        <v>1890</v>
      </c>
      <c r="B285" s="171">
        <v>2990</v>
      </c>
      <c r="C285" s="172" t="s">
        <v>1891</v>
      </c>
      <c r="D285" s="170" t="s">
        <v>1064</v>
      </c>
      <c r="E285" s="171">
        <v>1</v>
      </c>
      <c r="F285" s="170" t="s">
        <v>952</v>
      </c>
    </row>
    <row r="286" spans="1:6" x14ac:dyDescent="0.2">
      <c r="A286" s="170" t="s">
        <v>1892</v>
      </c>
      <c r="B286" s="171">
        <v>2390</v>
      </c>
      <c r="C286" s="172" t="s">
        <v>1893</v>
      </c>
      <c r="D286" s="170" t="s">
        <v>1634</v>
      </c>
      <c r="E286" s="171">
        <v>200</v>
      </c>
      <c r="F286" s="170" t="s">
        <v>936</v>
      </c>
    </row>
    <row r="287" spans="1:6" x14ac:dyDescent="0.2">
      <c r="A287" s="170" t="s">
        <v>1894</v>
      </c>
      <c r="B287" s="171">
        <v>3210</v>
      </c>
      <c r="C287" s="172" t="s">
        <v>1895</v>
      </c>
      <c r="D287" s="170" t="s">
        <v>1064</v>
      </c>
      <c r="E287" s="171">
        <v>1</v>
      </c>
      <c r="F287" s="170" t="s">
        <v>952</v>
      </c>
    </row>
    <row r="288" spans="1:6" x14ac:dyDescent="0.2">
      <c r="A288" s="170" t="s">
        <v>1896</v>
      </c>
      <c r="B288" s="171">
        <v>2590</v>
      </c>
      <c r="C288" s="172" t="s">
        <v>1897</v>
      </c>
      <c r="D288" s="170" t="s">
        <v>1517</v>
      </c>
      <c r="E288" s="171">
        <v>3</v>
      </c>
      <c r="F288" s="170" t="s">
        <v>952</v>
      </c>
    </row>
    <row r="289" spans="1:6" x14ac:dyDescent="0.2">
      <c r="A289" s="170" t="s">
        <v>1898</v>
      </c>
      <c r="B289" s="171">
        <v>2790</v>
      </c>
      <c r="C289" s="172" t="s">
        <v>1899</v>
      </c>
      <c r="D289" s="170" t="s">
        <v>1517</v>
      </c>
      <c r="E289" s="171">
        <v>250</v>
      </c>
      <c r="F289" s="170" t="s">
        <v>936</v>
      </c>
    </row>
    <row r="290" spans="1:6" x14ac:dyDescent="0.2">
      <c r="A290" s="170" t="s">
        <v>1900</v>
      </c>
      <c r="B290" s="171">
        <v>2690</v>
      </c>
      <c r="C290" s="172" t="s">
        <v>1901</v>
      </c>
      <c r="D290" s="170" t="s">
        <v>1634</v>
      </c>
      <c r="E290" s="171">
        <v>6</v>
      </c>
      <c r="F290" s="170" t="s">
        <v>952</v>
      </c>
    </row>
    <row r="291" spans="1:6" x14ac:dyDescent="0.2">
      <c r="A291" s="170" t="s">
        <v>1902</v>
      </c>
      <c r="B291" s="171">
        <v>1290</v>
      </c>
      <c r="C291" s="172" t="s">
        <v>1903</v>
      </c>
      <c r="D291" s="170" t="s">
        <v>1517</v>
      </c>
      <c r="E291" s="171">
        <v>100</v>
      </c>
      <c r="F291" s="170" t="s">
        <v>936</v>
      </c>
    </row>
    <row r="292" spans="1:6" x14ac:dyDescent="0.2">
      <c r="A292" s="170" t="s">
        <v>1904</v>
      </c>
      <c r="B292" s="171">
        <v>1590</v>
      </c>
      <c r="C292" s="172" t="s">
        <v>1905</v>
      </c>
      <c r="D292" s="170" t="s">
        <v>1064</v>
      </c>
      <c r="E292" s="171">
        <v>150</v>
      </c>
      <c r="F292" s="170" t="s">
        <v>936</v>
      </c>
    </row>
    <row r="293" spans="1:6" x14ac:dyDescent="0.2">
      <c r="A293" s="170" t="s">
        <v>1906</v>
      </c>
      <c r="B293" s="171">
        <v>2790</v>
      </c>
      <c r="C293" s="172" t="s">
        <v>1907</v>
      </c>
      <c r="D293" s="170" t="s">
        <v>1064</v>
      </c>
      <c r="E293" s="171">
        <v>120</v>
      </c>
      <c r="F293" s="170" t="s">
        <v>936</v>
      </c>
    </row>
    <row r="294" spans="1:6" x14ac:dyDescent="0.2">
      <c r="A294" s="170" t="s">
        <v>550</v>
      </c>
      <c r="B294" s="171">
        <v>3990</v>
      </c>
      <c r="C294" s="172" t="s">
        <v>1908</v>
      </c>
      <c r="D294" s="170" t="s">
        <v>1517</v>
      </c>
      <c r="E294" s="171">
        <v>400</v>
      </c>
      <c r="F294" s="170" t="s">
        <v>936</v>
      </c>
    </row>
    <row r="295" spans="1:6" x14ac:dyDescent="0.2">
      <c r="A295" s="170" t="s">
        <v>1909</v>
      </c>
      <c r="B295" s="171">
        <v>1890</v>
      </c>
      <c r="C295" s="172" t="s">
        <v>1910</v>
      </c>
      <c r="D295" s="170" t="s">
        <v>1064</v>
      </c>
      <c r="E295" s="171">
        <v>200</v>
      </c>
      <c r="F295" s="170" t="s">
        <v>936</v>
      </c>
    </row>
    <row r="296" spans="1:6" x14ac:dyDescent="0.2">
      <c r="A296" s="170" t="s">
        <v>1911</v>
      </c>
      <c r="B296" s="171">
        <v>2460</v>
      </c>
      <c r="C296" s="172" t="s">
        <v>1912</v>
      </c>
      <c r="D296" s="170" t="s">
        <v>1064</v>
      </c>
      <c r="E296" s="171">
        <v>80</v>
      </c>
      <c r="F296" s="170" t="s">
        <v>936</v>
      </c>
    </row>
    <row r="297" spans="1:6" x14ac:dyDescent="0.2">
      <c r="A297" s="170" t="s">
        <v>1913</v>
      </c>
      <c r="B297" s="171">
        <v>2490</v>
      </c>
      <c r="C297" s="172" t="s">
        <v>1914</v>
      </c>
      <c r="D297" s="170" t="s">
        <v>1064</v>
      </c>
      <c r="E297" s="171">
        <v>250</v>
      </c>
      <c r="F297" s="170" t="s">
        <v>936</v>
      </c>
    </row>
    <row r="298" spans="1:6" x14ac:dyDescent="0.2">
      <c r="A298" s="170" t="s">
        <v>1915</v>
      </c>
      <c r="B298" s="171">
        <v>16990</v>
      </c>
      <c r="C298" s="172" t="s">
        <v>1916</v>
      </c>
      <c r="D298" s="170" t="s">
        <v>1517</v>
      </c>
      <c r="E298" s="171">
        <v>700</v>
      </c>
      <c r="F298" s="170" t="s">
        <v>936</v>
      </c>
    </row>
    <row r="299" spans="1:6" x14ac:dyDescent="0.2">
      <c r="A299" s="170" t="s">
        <v>1917</v>
      </c>
      <c r="B299" s="171">
        <v>1598</v>
      </c>
      <c r="C299" s="172" t="s">
        <v>1918</v>
      </c>
      <c r="D299" s="170" t="s">
        <v>1064</v>
      </c>
      <c r="E299" s="171">
        <v>1</v>
      </c>
      <c r="F299" s="170" t="s">
        <v>925</v>
      </c>
    </row>
    <row r="300" spans="1:6" x14ac:dyDescent="0.2">
      <c r="A300" s="170" t="s">
        <v>1919</v>
      </c>
      <c r="B300" s="171">
        <v>2690</v>
      </c>
      <c r="C300" s="172" t="s">
        <v>1920</v>
      </c>
      <c r="D300" s="170" t="s">
        <v>1517</v>
      </c>
      <c r="E300" s="171">
        <v>100</v>
      </c>
      <c r="F300" s="170" t="s">
        <v>936</v>
      </c>
    </row>
    <row r="301" spans="1:6" x14ac:dyDescent="0.2">
      <c r="A301" s="170" t="s">
        <v>1921</v>
      </c>
      <c r="B301" s="171">
        <v>1790</v>
      </c>
      <c r="C301" s="172" t="s">
        <v>1922</v>
      </c>
      <c r="D301" s="170" t="s">
        <v>1064</v>
      </c>
      <c r="E301" s="171">
        <v>200</v>
      </c>
      <c r="F301" s="170" t="s">
        <v>936</v>
      </c>
    </row>
    <row r="302" spans="1:6" x14ac:dyDescent="0.2">
      <c r="A302" s="170" t="s">
        <v>1923</v>
      </c>
      <c r="B302" s="171">
        <v>2890</v>
      </c>
      <c r="C302" s="172" t="s">
        <v>1924</v>
      </c>
      <c r="D302" s="170" t="s">
        <v>1064</v>
      </c>
      <c r="E302" s="171">
        <v>1</v>
      </c>
      <c r="F302" s="170" t="s">
        <v>952</v>
      </c>
    </row>
    <row r="303" spans="1:6" x14ac:dyDescent="0.2">
      <c r="A303" s="170" t="s">
        <v>1925</v>
      </c>
      <c r="B303" s="171">
        <v>2190</v>
      </c>
      <c r="C303" s="172" t="s">
        <v>1926</v>
      </c>
      <c r="D303" s="170" t="s">
        <v>1064</v>
      </c>
      <c r="E303" s="171">
        <v>1</v>
      </c>
      <c r="F303" s="170" t="s">
        <v>925</v>
      </c>
    </row>
    <row r="304" spans="1:6" x14ac:dyDescent="0.2">
      <c r="A304" s="170" t="s">
        <v>1927</v>
      </c>
      <c r="B304" s="171">
        <v>2490</v>
      </c>
      <c r="C304" s="172" t="s">
        <v>1928</v>
      </c>
      <c r="D304" s="170" t="s">
        <v>1064</v>
      </c>
      <c r="E304" s="171">
        <v>150</v>
      </c>
      <c r="F304" s="170" t="s">
        <v>936</v>
      </c>
    </row>
    <row r="305" spans="1:6" x14ac:dyDescent="0.2">
      <c r="A305" s="170" t="s">
        <v>698</v>
      </c>
      <c r="B305" s="171">
        <v>4590</v>
      </c>
      <c r="C305" s="172" t="s">
        <v>1929</v>
      </c>
      <c r="D305" s="170" t="s">
        <v>1517</v>
      </c>
      <c r="E305" s="171">
        <v>150</v>
      </c>
      <c r="F305" s="170" t="s">
        <v>936</v>
      </c>
    </row>
    <row r="306" spans="1:6" x14ac:dyDescent="0.2">
      <c r="A306" s="170" t="s">
        <v>1930</v>
      </c>
      <c r="B306" s="171">
        <v>1390</v>
      </c>
      <c r="C306" s="172" t="s">
        <v>1931</v>
      </c>
      <c r="D306" s="170" t="s">
        <v>1064</v>
      </c>
      <c r="E306" s="171">
        <v>70</v>
      </c>
      <c r="F306" s="170" t="s">
        <v>936</v>
      </c>
    </row>
    <row r="307" spans="1:6" x14ac:dyDescent="0.2">
      <c r="A307" s="170" t="s">
        <v>1932</v>
      </c>
      <c r="B307" s="171">
        <v>2890</v>
      </c>
      <c r="C307" s="172" t="s">
        <v>1933</v>
      </c>
      <c r="D307" s="170" t="s">
        <v>1064</v>
      </c>
      <c r="E307" s="171">
        <v>1</v>
      </c>
      <c r="F307" s="170" t="s">
        <v>952</v>
      </c>
    </row>
    <row r="308" spans="1:6" x14ac:dyDescent="0.2">
      <c r="A308" s="170" t="s">
        <v>1934</v>
      </c>
      <c r="B308" s="171">
        <v>2190</v>
      </c>
      <c r="C308" s="172" t="s">
        <v>1935</v>
      </c>
      <c r="D308" s="170" t="s">
        <v>1064</v>
      </c>
      <c r="E308" s="171">
        <v>16</v>
      </c>
      <c r="F308" s="170" t="s">
        <v>936</v>
      </c>
    </row>
    <row r="309" spans="1:6" x14ac:dyDescent="0.2">
      <c r="A309" s="170" t="s">
        <v>1936</v>
      </c>
      <c r="B309" s="171">
        <v>7390</v>
      </c>
      <c r="C309" s="172" t="s">
        <v>1937</v>
      </c>
      <c r="D309" s="170" t="s">
        <v>1064</v>
      </c>
      <c r="E309" s="171">
        <v>125</v>
      </c>
      <c r="F309" s="170" t="s">
        <v>936</v>
      </c>
    </row>
    <row r="310" spans="1:6" x14ac:dyDescent="0.2">
      <c r="A310" s="170" t="s">
        <v>1938</v>
      </c>
      <c r="B310" s="171">
        <v>990</v>
      </c>
      <c r="C310" s="172" t="s">
        <v>1939</v>
      </c>
      <c r="D310" s="170" t="s">
        <v>1064</v>
      </c>
      <c r="E310" s="171">
        <v>30</v>
      </c>
      <c r="F310" s="170" t="s">
        <v>936</v>
      </c>
    </row>
    <row r="311" spans="1:6" x14ac:dyDescent="0.2">
      <c r="A311" s="170" t="s">
        <v>1940</v>
      </c>
      <c r="B311" s="171">
        <v>6990</v>
      </c>
      <c r="C311" s="172" t="s">
        <v>1941</v>
      </c>
      <c r="D311" s="170" t="s">
        <v>1517</v>
      </c>
      <c r="E311" s="171">
        <v>700</v>
      </c>
      <c r="F311" s="170" t="s">
        <v>936</v>
      </c>
    </row>
    <row r="312" spans="1:6" x14ac:dyDescent="0.2">
      <c r="A312" s="170" t="s">
        <v>1942</v>
      </c>
      <c r="B312" s="171">
        <v>3990</v>
      </c>
      <c r="C312" s="172" t="s">
        <v>1943</v>
      </c>
      <c r="D312" s="170" t="s">
        <v>924</v>
      </c>
      <c r="E312" s="171">
        <v>300</v>
      </c>
      <c r="F312" s="170" t="s">
        <v>936</v>
      </c>
    </row>
    <row r="313" spans="1:6" x14ac:dyDescent="0.2">
      <c r="A313" s="170" t="s">
        <v>1944</v>
      </c>
      <c r="B313" s="171">
        <v>2590</v>
      </c>
      <c r="C313" s="172" t="s">
        <v>1945</v>
      </c>
      <c r="D313" s="170" t="s">
        <v>1517</v>
      </c>
      <c r="E313" s="171">
        <v>250</v>
      </c>
      <c r="F313" s="170" t="s">
        <v>936</v>
      </c>
    </row>
    <row r="314" spans="1:6" x14ac:dyDescent="0.2">
      <c r="A314" s="170" t="s">
        <v>1946</v>
      </c>
      <c r="B314" s="171">
        <v>2950</v>
      </c>
      <c r="C314" s="172" t="s">
        <v>1947</v>
      </c>
      <c r="D314" s="170" t="s">
        <v>1064</v>
      </c>
      <c r="E314" s="171">
        <v>120</v>
      </c>
      <c r="F314" s="170" t="s">
        <v>936</v>
      </c>
    </row>
    <row r="315" spans="1:6" x14ac:dyDescent="0.2">
      <c r="A315" s="170" t="s">
        <v>1948</v>
      </c>
      <c r="B315" s="171">
        <v>2570</v>
      </c>
      <c r="C315" s="172" t="s">
        <v>1949</v>
      </c>
      <c r="D315" s="170" t="s">
        <v>1634</v>
      </c>
      <c r="E315" s="171">
        <v>1</v>
      </c>
      <c r="F315" s="170" t="s">
        <v>925</v>
      </c>
    </row>
    <row r="316" spans="1:6" x14ac:dyDescent="0.2">
      <c r="A316" s="170" t="s">
        <v>451</v>
      </c>
      <c r="B316" s="171">
        <v>1899</v>
      </c>
      <c r="C316" s="172" t="s">
        <v>1950</v>
      </c>
      <c r="D316" s="170" t="s">
        <v>1517</v>
      </c>
      <c r="E316" s="171">
        <v>1</v>
      </c>
      <c r="F316" s="170" t="s">
        <v>925</v>
      </c>
    </row>
    <row r="317" spans="1:6" x14ac:dyDescent="0.2">
      <c r="A317" s="170" t="s">
        <v>1951</v>
      </c>
      <c r="B317" s="171">
        <v>990</v>
      </c>
      <c r="C317" s="172" t="s">
        <v>1952</v>
      </c>
      <c r="D317" s="170" t="s">
        <v>1064</v>
      </c>
      <c r="E317" s="171">
        <v>30</v>
      </c>
      <c r="F317" s="170" t="s">
        <v>936</v>
      </c>
    </row>
    <row r="318" spans="1:6" x14ac:dyDescent="0.2">
      <c r="A318" s="170" t="s">
        <v>1953</v>
      </c>
      <c r="B318" s="171">
        <v>1490</v>
      </c>
      <c r="C318" s="172" t="s">
        <v>1954</v>
      </c>
      <c r="D318" s="170" t="s">
        <v>1064</v>
      </c>
      <c r="E318" s="171">
        <v>1</v>
      </c>
      <c r="F318" s="170" t="s">
        <v>952</v>
      </c>
    </row>
    <row r="319" spans="1:6" x14ac:dyDescent="0.2">
      <c r="A319" s="170" t="s">
        <v>1955</v>
      </c>
      <c r="B319" s="171">
        <v>2290</v>
      </c>
      <c r="C319" s="172" t="s">
        <v>1956</v>
      </c>
      <c r="D319" s="170" t="s">
        <v>1064</v>
      </c>
      <c r="E319" s="171">
        <v>150</v>
      </c>
      <c r="F319" s="170" t="s">
        <v>936</v>
      </c>
    </row>
    <row r="320" spans="1:6" x14ac:dyDescent="0.2">
      <c r="A320" s="170" t="s">
        <v>592</v>
      </c>
      <c r="B320" s="171">
        <v>4990</v>
      </c>
      <c r="C320" s="172" t="s">
        <v>1957</v>
      </c>
      <c r="D320" s="170" t="s">
        <v>1517</v>
      </c>
      <c r="E320" s="171">
        <v>700</v>
      </c>
      <c r="F320" s="170" t="s">
        <v>936</v>
      </c>
    </row>
    <row r="321" spans="1:6" x14ac:dyDescent="0.2">
      <c r="A321" s="170" t="s">
        <v>1958</v>
      </c>
      <c r="B321" s="171">
        <v>6290</v>
      </c>
      <c r="C321" s="172" t="s">
        <v>1959</v>
      </c>
      <c r="D321" s="170" t="s">
        <v>1517</v>
      </c>
      <c r="E321" s="171">
        <v>400</v>
      </c>
      <c r="F321" s="170" t="s">
        <v>936</v>
      </c>
    </row>
    <row r="322" spans="1:6" x14ac:dyDescent="0.2">
      <c r="A322" s="170" t="s">
        <v>1960</v>
      </c>
      <c r="B322" s="171">
        <v>1790</v>
      </c>
      <c r="C322" s="172" t="s">
        <v>1961</v>
      </c>
      <c r="D322" s="170" t="s">
        <v>1064</v>
      </c>
      <c r="E322" s="171">
        <v>250</v>
      </c>
      <c r="F322" s="170" t="s">
        <v>936</v>
      </c>
    </row>
    <row r="323" spans="1:6" x14ac:dyDescent="0.2">
      <c r="A323" s="170" t="s">
        <v>1962</v>
      </c>
      <c r="B323" s="171">
        <v>8990</v>
      </c>
      <c r="C323" s="172" t="s">
        <v>1963</v>
      </c>
      <c r="D323" s="170" t="s">
        <v>1517</v>
      </c>
      <c r="E323" s="171">
        <v>700</v>
      </c>
      <c r="F323" s="170" t="s">
        <v>936</v>
      </c>
    </row>
    <row r="324" spans="1:6" x14ac:dyDescent="0.2">
      <c r="A324" s="170" t="s">
        <v>713</v>
      </c>
      <c r="B324" s="171">
        <v>3990</v>
      </c>
      <c r="C324" s="172" t="s">
        <v>1964</v>
      </c>
      <c r="D324" s="170" t="s">
        <v>1517</v>
      </c>
      <c r="E324" s="171">
        <v>700</v>
      </c>
      <c r="F324" s="170" t="s">
        <v>936</v>
      </c>
    </row>
    <row r="325" spans="1:6" x14ac:dyDescent="0.2">
      <c r="A325" s="170" t="s">
        <v>1965</v>
      </c>
      <c r="B325" s="171">
        <v>1790</v>
      </c>
      <c r="C325" s="172" t="s">
        <v>1966</v>
      </c>
      <c r="D325" s="170" t="s">
        <v>1517</v>
      </c>
      <c r="E325" s="171">
        <v>500</v>
      </c>
      <c r="F325" s="170" t="s">
        <v>936</v>
      </c>
    </row>
    <row r="326" spans="1:6" x14ac:dyDescent="0.2">
      <c r="A326" s="170" t="s">
        <v>1967</v>
      </c>
      <c r="B326" s="171">
        <v>1990</v>
      </c>
      <c r="C326" s="172" t="s">
        <v>1968</v>
      </c>
      <c r="D326" s="170" t="s">
        <v>1517</v>
      </c>
      <c r="E326" s="171">
        <v>20</v>
      </c>
      <c r="F326" s="170" t="s">
        <v>936</v>
      </c>
    </row>
    <row r="327" spans="1:6" x14ac:dyDescent="0.2">
      <c r="A327" s="170" t="s">
        <v>1969</v>
      </c>
      <c r="B327" s="171">
        <v>1090</v>
      </c>
      <c r="C327" s="172" t="s">
        <v>1970</v>
      </c>
      <c r="D327" s="170" t="s">
        <v>1064</v>
      </c>
      <c r="E327" s="171">
        <v>50</v>
      </c>
      <c r="F327" s="170" t="s">
        <v>936</v>
      </c>
    </row>
    <row r="328" spans="1:6" x14ac:dyDescent="0.2">
      <c r="A328" s="170" t="s">
        <v>1971</v>
      </c>
      <c r="B328" s="171">
        <v>1599</v>
      </c>
      <c r="C328" s="172" t="s">
        <v>1972</v>
      </c>
      <c r="D328" s="170" t="s">
        <v>1517</v>
      </c>
      <c r="E328" s="171">
        <v>20</v>
      </c>
      <c r="F328" s="170" t="s">
        <v>936</v>
      </c>
    </row>
    <row r="329" spans="1:6" x14ac:dyDescent="0.2">
      <c r="A329" s="170" t="s">
        <v>1973</v>
      </c>
      <c r="B329" s="171">
        <v>11490</v>
      </c>
      <c r="C329" s="172" t="s">
        <v>1974</v>
      </c>
      <c r="D329" s="170" t="s">
        <v>1517</v>
      </c>
      <c r="E329" s="171">
        <v>700</v>
      </c>
      <c r="F329" s="170" t="s">
        <v>936</v>
      </c>
    </row>
    <row r="330" spans="1:6" x14ac:dyDescent="0.2">
      <c r="A330" s="170" t="s">
        <v>1975</v>
      </c>
      <c r="B330" s="171">
        <v>3190</v>
      </c>
      <c r="C330" s="172" t="s">
        <v>1976</v>
      </c>
      <c r="D330" s="170" t="s">
        <v>1064</v>
      </c>
      <c r="E330" s="171">
        <v>150</v>
      </c>
      <c r="F330" s="170" t="s">
        <v>936</v>
      </c>
    </row>
    <row r="331" spans="1:6" x14ac:dyDescent="0.2">
      <c r="A331" s="170" t="s">
        <v>1977</v>
      </c>
      <c r="B331" s="171">
        <v>9990</v>
      </c>
      <c r="C331" s="172" t="s">
        <v>1978</v>
      </c>
      <c r="D331" s="170" t="s">
        <v>1064</v>
      </c>
      <c r="E331" s="171">
        <v>85</v>
      </c>
      <c r="F331" s="170" t="s">
        <v>936</v>
      </c>
    </row>
    <row r="332" spans="1:6" x14ac:dyDescent="0.2">
      <c r="A332" s="170" t="s">
        <v>1979</v>
      </c>
      <c r="B332" s="171">
        <v>2990</v>
      </c>
      <c r="C332" s="172" t="s">
        <v>1980</v>
      </c>
      <c r="D332" s="170" t="s">
        <v>1064</v>
      </c>
      <c r="E332" s="171">
        <v>2</v>
      </c>
      <c r="F332" s="170" t="s">
        <v>925</v>
      </c>
    </row>
    <row r="333" spans="1:6" x14ac:dyDescent="0.2">
      <c r="A333" s="170" t="s">
        <v>1981</v>
      </c>
      <c r="B333" s="171">
        <v>4290</v>
      </c>
      <c r="C333" s="172" t="s">
        <v>1982</v>
      </c>
      <c r="D333" s="170" t="s">
        <v>1634</v>
      </c>
      <c r="E333" s="171">
        <v>1</v>
      </c>
      <c r="F333" s="170" t="s">
        <v>952</v>
      </c>
    </row>
    <row r="334" spans="1:6" x14ac:dyDescent="0.2">
      <c r="A334" s="170" t="s">
        <v>1983</v>
      </c>
      <c r="B334" s="171">
        <v>5590</v>
      </c>
      <c r="C334" s="172" t="s">
        <v>1984</v>
      </c>
      <c r="D334" s="170" t="s">
        <v>1064</v>
      </c>
      <c r="E334" s="171">
        <v>454</v>
      </c>
      <c r="F334" s="170" t="s">
        <v>936</v>
      </c>
    </row>
    <row r="335" spans="1:6" x14ac:dyDescent="0.2">
      <c r="A335" s="170" t="s">
        <v>825</v>
      </c>
      <c r="B335" s="171">
        <v>4690</v>
      </c>
      <c r="C335" s="172" t="s">
        <v>1985</v>
      </c>
      <c r="D335" s="170" t="s">
        <v>1517</v>
      </c>
      <c r="E335" s="171">
        <v>100</v>
      </c>
      <c r="F335" s="170" t="s">
        <v>936</v>
      </c>
    </row>
    <row r="336" spans="1:6" x14ac:dyDescent="0.2">
      <c r="A336" s="170" t="s">
        <v>1986</v>
      </c>
      <c r="B336" s="171">
        <v>10490</v>
      </c>
      <c r="C336" s="172" t="s">
        <v>1987</v>
      </c>
      <c r="D336" s="170" t="s">
        <v>1517</v>
      </c>
      <c r="E336" s="171">
        <v>30</v>
      </c>
      <c r="F336" s="170" t="s">
        <v>936</v>
      </c>
    </row>
    <row r="337" spans="1:6" x14ac:dyDescent="0.2">
      <c r="A337" s="170" t="s">
        <v>1988</v>
      </c>
      <c r="B337" s="171">
        <v>6990</v>
      </c>
      <c r="C337" s="172" t="s">
        <v>1989</v>
      </c>
      <c r="D337" s="170" t="s">
        <v>1517</v>
      </c>
      <c r="E337" s="171">
        <v>312</v>
      </c>
      <c r="F337" s="170" t="s">
        <v>936</v>
      </c>
    </row>
    <row r="338" spans="1:6" x14ac:dyDescent="0.2">
      <c r="A338" s="170" t="s">
        <v>1990</v>
      </c>
      <c r="B338" s="171">
        <v>2460</v>
      </c>
      <c r="C338" s="172" t="s">
        <v>1991</v>
      </c>
      <c r="D338" s="170" t="s">
        <v>1064</v>
      </c>
      <c r="E338" s="171">
        <v>150</v>
      </c>
      <c r="F338" s="170" t="s">
        <v>936</v>
      </c>
    </row>
    <row r="339" spans="1:6" x14ac:dyDescent="0.2">
      <c r="A339" s="170" t="s">
        <v>1992</v>
      </c>
      <c r="B339" s="171">
        <v>1990</v>
      </c>
      <c r="C339" s="172" t="s">
        <v>1993</v>
      </c>
      <c r="D339" s="170" t="s">
        <v>1064</v>
      </c>
      <c r="E339" s="171">
        <v>500</v>
      </c>
      <c r="F339" s="170" t="s">
        <v>936</v>
      </c>
    </row>
    <row r="340" spans="1:6" x14ac:dyDescent="0.2">
      <c r="A340" s="170" t="s">
        <v>1994</v>
      </c>
      <c r="B340" s="171">
        <v>1690</v>
      </c>
      <c r="C340" s="172" t="s">
        <v>1995</v>
      </c>
      <c r="D340" s="170" t="s">
        <v>1064</v>
      </c>
      <c r="E340" s="171">
        <v>3</v>
      </c>
      <c r="F340" s="170" t="s">
        <v>952</v>
      </c>
    </row>
    <row r="341" spans="1:6" x14ac:dyDescent="0.2">
      <c r="A341" s="170" t="s">
        <v>1996</v>
      </c>
      <c r="B341" s="171">
        <v>2290</v>
      </c>
      <c r="C341" s="172" t="s">
        <v>1997</v>
      </c>
      <c r="D341" s="170" t="s">
        <v>1064</v>
      </c>
      <c r="E341" s="171">
        <v>300</v>
      </c>
      <c r="F341" s="170" t="s">
        <v>936</v>
      </c>
    </row>
    <row r="342" spans="1:6" x14ac:dyDescent="0.2">
      <c r="A342" s="170" t="s">
        <v>1998</v>
      </c>
      <c r="B342" s="171">
        <v>2950</v>
      </c>
      <c r="C342" s="172" t="s">
        <v>1999</v>
      </c>
      <c r="D342" s="170" t="s">
        <v>1064</v>
      </c>
      <c r="E342" s="171">
        <v>120</v>
      </c>
      <c r="F342" s="170" t="s">
        <v>936</v>
      </c>
    </row>
    <row r="343" spans="1:6" x14ac:dyDescent="0.2">
      <c r="A343" s="170" t="s">
        <v>2000</v>
      </c>
      <c r="B343" s="171">
        <v>2290</v>
      </c>
      <c r="C343" s="172" t="s">
        <v>2001</v>
      </c>
      <c r="D343" s="170" t="s">
        <v>1064</v>
      </c>
      <c r="E343" s="171">
        <v>80</v>
      </c>
      <c r="F343" s="170" t="s">
        <v>936</v>
      </c>
    </row>
    <row r="344" spans="1:6" x14ac:dyDescent="0.2">
      <c r="A344" s="170" t="s">
        <v>1626</v>
      </c>
      <c r="B344" s="171">
        <v>1790</v>
      </c>
      <c r="C344" s="172" t="s">
        <v>2002</v>
      </c>
      <c r="D344" s="170" t="s">
        <v>1064</v>
      </c>
      <c r="E344" s="171">
        <v>300</v>
      </c>
      <c r="F344" s="170" t="s">
        <v>936</v>
      </c>
    </row>
    <row r="345" spans="1:6" x14ac:dyDescent="0.2">
      <c r="A345" s="170" t="s">
        <v>2003</v>
      </c>
      <c r="B345" s="171">
        <v>2990</v>
      </c>
      <c r="C345" s="172" t="s">
        <v>2004</v>
      </c>
      <c r="D345" s="170" t="s">
        <v>1064</v>
      </c>
      <c r="E345" s="171">
        <v>150</v>
      </c>
      <c r="F345" s="170" t="s">
        <v>936</v>
      </c>
    </row>
    <row r="346" spans="1:6" x14ac:dyDescent="0.2">
      <c r="A346" s="170" t="s">
        <v>2005</v>
      </c>
      <c r="B346" s="171">
        <v>1899</v>
      </c>
      <c r="C346" s="172" t="s">
        <v>2006</v>
      </c>
      <c r="D346" s="170" t="s">
        <v>1517</v>
      </c>
      <c r="E346" s="171">
        <v>1</v>
      </c>
      <c r="F346" s="170" t="s">
        <v>925</v>
      </c>
    </row>
    <row r="347" spans="1:6" x14ac:dyDescent="0.2">
      <c r="A347" s="170" t="s">
        <v>2007</v>
      </c>
      <c r="B347" s="171">
        <v>2490</v>
      </c>
      <c r="C347" s="172" t="s">
        <v>2008</v>
      </c>
      <c r="D347" s="170" t="s">
        <v>1634</v>
      </c>
      <c r="E347" s="171">
        <v>1</v>
      </c>
      <c r="F347" s="170" t="s">
        <v>925</v>
      </c>
    </row>
    <row r="348" spans="1:6" x14ac:dyDescent="0.2">
      <c r="A348" s="170" t="s">
        <v>2009</v>
      </c>
      <c r="B348" s="171">
        <v>2290</v>
      </c>
      <c r="C348" s="172" t="s">
        <v>2010</v>
      </c>
      <c r="D348" s="170" t="s">
        <v>1064</v>
      </c>
      <c r="E348" s="171">
        <v>500</v>
      </c>
      <c r="F348" s="170" t="s">
        <v>936</v>
      </c>
    </row>
    <row r="349" spans="1:6" x14ac:dyDescent="0.2">
      <c r="A349" s="170" t="s">
        <v>2011</v>
      </c>
      <c r="B349" s="171">
        <v>2690</v>
      </c>
      <c r="C349" s="172" t="s">
        <v>2012</v>
      </c>
      <c r="D349" s="170" t="s">
        <v>1517</v>
      </c>
      <c r="E349" s="171">
        <v>150</v>
      </c>
      <c r="F349" s="170" t="s">
        <v>936</v>
      </c>
    </row>
    <row r="350" spans="1:6" x14ac:dyDescent="0.2">
      <c r="A350" s="170" t="s">
        <v>1733</v>
      </c>
      <c r="B350" s="171">
        <v>8990</v>
      </c>
      <c r="C350" s="172" t="s">
        <v>2013</v>
      </c>
      <c r="D350" s="170" t="s">
        <v>1517</v>
      </c>
      <c r="E350" s="171">
        <v>700</v>
      </c>
      <c r="F350" s="170" t="s">
        <v>936</v>
      </c>
    </row>
    <row r="351" spans="1:6" x14ac:dyDescent="0.2">
      <c r="A351" s="170" t="s">
        <v>2014</v>
      </c>
      <c r="B351" s="171">
        <v>2140</v>
      </c>
      <c r="C351" s="172" t="s">
        <v>2015</v>
      </c>
      <c r="D351" s="170" t="s">
        <v>1064</v>
      </c>
      <c r="E351" s="171">
        <v>300</v>
      </c>
      <c r="F351" s="170" t="s">
        <v>936</v>
      </c>
    </row>
    <row r="352" spans="1:6" x14ac:dyDescent="0.2">
      <c r="A352" s="170" t="s">
        <v>2016</v>
      </c>
      <c r="B352" s="171">
        <v>2990</v>
      </c>
      <c r="C352" s="172" t="s">
        <v>2017</v>
      </c>
      <c r="D352" s="170" t="s">
        <v>1064</v>
      </c>
      <c r="E352" s="171">
        <v>2</v>
      </c>
      <c r="F352" s="170" t="s">
        <v>925</v>
      </c>
    </row>
    <row r="353" spans="1:6" x14ac:dyDescent="0.2">
      <c r="A353" s="170" t="s">
        <v>2018</v>
      </c>
      <c r="B353" s="171">
        <v>1390</v>
      </c>
      <c r="C353" s="172" t="s">
        <v>2019</v>
      </c>
      <c r="D353" s="170" t="s">
        <v>1517</v>
      </c>
      <c r="E353" s="171">
        <v>100</v>
      </c>
      <c r="F353" s="170" t="s">
        <v>936</v>
      </c>
    </row>
    <row r="354" spans="1:6" x14ac:dyDescent="0.2">
      <c r="A354" s="170" t="s">
        <v>2020</v>
      </c>
      <c r="B354" s="171">
        <v>1790</v>
      </c>
      <c r="C354" s="172" t="s">
        <v>2021</v>
      </c>
      <c r="D354" s="170" t="s">
        <v>1064</v>
      </c>
      <c r="E354" s="171">
        <v>3</v>
      </c>
      <c r="F354" s="170" t="s">
        <v>952</v>
      </c>
    </row>
    <row r="355" spans="1:6" x14ac:dyDescent="0.2">
      <c r="A355" s="170" t="s">
        <v>2022</v>
      </c>
      <c r="B355" s="171">
        <v>4990</v>
      </c>
      <c r="C355" s="172" t="s">
        <v>2023</v>
      </c>
      <c r="D355" s="170" t="s">
        <v>1517</v>
      </c>
      <c r="E355" s="171">
        <v>300</v>
      </c>
      <c r="F355" s="170" t="s">
        <v>936</v>
      </c>
    </row>
    <row r="356" spans="1:6" x14ac:dyDescent="0.2">
      <c r="A356" s="170" t="s">
        <v>2024</v>
      </c>
      <c r="B356" s="171">
        <v>1990</v>
      </c>
      <c r="C356" s="172" t="s">
        <v>2025</v>
      </c>
      <c r="D356" s="170" t="s">
        <v>1634</v>
      </c>
      <c r="E356" s="171">
        <v>3</v>
      </c>
      <c r="F356" s="170" t="s">
        <v>952</v>
      </c>
    </row>
    <row r="357" spans="1:6" x14ac:dyDescent="0.2">
      <c r="A357" s="170" t="s">
        <v>2026</v>
      </c>
      <c r="B357" s="171">
        <v>1590</v>
      </c>
      <c r="C357" s="172" t="s">
        <v>2027</v>
      </c>
      <c r="D357" s="170" t="s">
        <v>2028</v>
      </c>
      <c r="E357" s="171">
        <v>250</v>
      </c>
      <c r="F357" s="170" t="s">
        <v>936</v>
      </c>
    </row>
    <row r="358" spans="1:6" x14ac:dyDescent="0.2">
      <c r="A358" s="170" t="s">
        <v>2029</v>
      </c>
      <c r="B358" s="171">
        <v>1920</v>
      </c>
      <c r="C358" s="172" t="s">
        <v>2030</v>
      </c>
      <c r="D358" s="170" t="s">
        <v>1064</v>
      </c>
      <c r="E358" s="171">
        <v>300</v>
      </c>
      <c r="F358" s="170" t="s">
        <v>936</v>
      </c>
    </row>
    <row r="359" spans="1:6" x14ac:dyDescent="0.2">
      <c r="A359" s="170" t="s">
        <v>2031</v>
      </c>
      <c r="B359" s="171">
        <v>2510</v>
      </c>
      <c r="C359" s="172" t="s">
        <v>2032</v>
      </c>
      <c r="D359" s="170" t="s">
        <v>1064</v>
      </c>
      <c r="E359" s="171">
        <v>150</v>
      </c>
      <c r="F359" s="170" t="s">
        <v>936</v>
      </c>
    </row>
    <row r="360" spans="1:6" x14ac:dyDescent="0.2">
      <c r="A360" s="170" t="s">
        <v>2033</v>
      </c>
      <c r="B360" s="171">
        <v>2300</v>
      </c>
      <c r="C360" s="172" t="s">
        <v>2034</v>
      </c>
      <c r="D360" s="170" t="s">
        <v>1064</v>
      </c>
      <c r="E360" s="171">
        <v>150</v>
      </c>
      <c r="F360" s="170" t="s">
        <v>936</v>
      </c>
    </row>
    <row r="361" spans="1:6" x14ac:dyDescent="0.2">
      <c r="A361" s="170" t="s">
        <v>2035</v>
      </c>
      <c r="B361" s="171">
        <v>3190</v>
      </c>
      <c r="C361" s="172" t="s">
        <v>2036</v>
      </c>
      <c r="D361" s="170" t="s">
        <v>1064</v>
      </c>
      <c r="E361" s="171">
        <v>600</v>
      </c>
      <c r="F361" s="170" t="s">
        <v>936</v>
      </c>
    </row>
    <row r="362" spans="1:6" x14ac:dyDescent="0.2">
      <c r="A362" s="170" t="s">
        <v>2037</v>
      </c>
      <c r="B362" s="171">
        <v>2990</v>
      </c>
      <c r="C362" s="172" t="s">
        <v>2038</v>
      </c>
      <c r="D362" s="170" t="s">
        <v>1064</v>
      </c>
      <c r="E362" s="171">
        <v>600</v>
      </c>
      <c r="F362" s="170" t="s">
        <v>936</v>
      </c>
    </row>
    <row r="363" spans="1:6" x14ac:dyDescent="0.2">
      <c r="A363" s="170" t="s">
        <v>2039</v>
      </c>
      <c r="B363" s="171">
        <v>3640</v>
      </c>
      <c r="C363" s="172" t="s">
        <v>2040</v>
      </c>
      <c r="D363" s="170" t="s">
        <v>1064</v>
      </c>
      <c r="E363" s="171">
        <v>1</v>
      </c>
      <c r="F363" s="170" t="s">
        <v>952</v>
      </c>
    </row>
    <row r="364" spans="1:6" x14ac:dyDescent="0.2">
      <c r="A364" s="170" t="s">
        <v>1557</v>
      </c>
      <c r="B364" s="171">
        <v>1990</v>
      </c>
      <c r="C364" s="172" t="s">
        <v>2041</v>
      </c>
      <c r="D364" s="170" t="s">
        <v>1064</v>
      </c>
      <c r="E364" s="171">
        <v>300</v>
      </c>
      <c r="F364" s="170" t="s">
        <v>936</v>
      </c>
    </row>
    <row r="365" spans="1:6" x14ac:dyDescent="0.2">
      <c r="A365" s="170" t="s">
        <v>2042</v>
      </c>
      <c r="B365" s="171">
        <v>3190</v>
      </c>
      <c r="C365" s="172" t="s">
        <v>2043</v>
      </c>
      <c r="D365" s="170" t="s">
        <v>1064</v>
      </c>
      <c r="E365" s="171">
        <v>400</v>
      </c>
      <c r="F365" s="170" t="s">
        <v>936</v>
      </c>
    </row>
    <row r="366" spans="1:6" x14ac:dyDescent="0.2">
      <c r="A366" s="170" t="s">
        <v>2044</v>
      </c>
      <c r="B366" s="171">
        <v>2495</v>
      </c>
      <c r="C366" s="172" t="s">
        <v>2045</v>
      </c>
      <c r="D366" s="170" t="s">
        <v>924</v>
      </c>
      <c r="E366" s="171">
        <v>1</v>
      </c>
      <c r="F366" s="170" t="s">
        <v>925</v>
      </c>
    </row>
    <row r="367" spans="1:6" x14ac:dyDescent="0.2">
      <c r="A367" s="170" t="s">
        <v>2046</v>
      </c>
      <c r="B367" s="171">
        <v>2190</v>
      </c>
      <c r="C367" s="172" t="s">
        <v>2047</v>
      </c>
      <c r="D367" s="170" t="s">
        <v>1064</v>
      </c>
      <c r="E367" s="171">
        <v>16</v>
      </c>
      <c r="F367" s="170" t="s">
        <v>936</v>
      </c>
    </row>
    <row r="368" spans="1:6" x14ac:dyDescent="0.2">
      <c r="A368" s="170" t="s">
        <v>2048</v>
      </c>
      <c r="B368" s="171">
        <v>3290</v>
      </c>
      <c r="C368" s="172" t="s">
        <v>2049</v>
      </c>
      <c r="D368" s="170" t="s">
        <v>1517</v>
      </c>
      <c r="E368" s="171">
        <v>300</v>
      </c>
      <c r="F368" s="170" t="s">
        <v>936</v>
      </c>
    </row>
    <row r="369" spans="1:6" x14ac:dyDescent="0.2">
      <c r="A369" s="170" t="s">
        <v>2050</v>
      </c>
      <c r="B369" s="171">
        <v>2990</v>
      </c>
      <c r="C369" s="172" t="s">
        <v>2051</v>
      </c>
      <c r="D369" s="170" t="s">
        <v>1634</v>
      </c>
      <c r="E369" s="171">
        <v>350</v>
      </c>
      <c r="F369" s="170" t="s">
        <v>936</v>
      </c>
    </row>
    <row r="370" spans="1:6" x14ac:dyDescent="0.2">
      <c r="A370" s="170" t="s">
        <v>2052</v>
      </c>
      <c r="B370" s="171">
        <v>2100</v>
      </c>
      <c r="C370" s="172" t="s">
        <v>2053</v>
      </c>
      <c r="D370" s="170" t="s">
        <v>1634</v>
      </c>
      <c r="E370" s="171">
        <v>700</v>
      </c>
      <c r="F370" s="170" t="s">
        <v>936</v>
      </c>
    </row>
    <row r="371" spans="1:6" x14ac:dyDescent="0.2">
      <c r="A371" s="170" t="s">
        <v>2054</v>
      </c>
      <c r="B371" s="171">
        <v>1990</v>
      </c>
      <c r="C371" s="172" t="s">
        <v>2055</v>
      </c>
      <c r="D371" s="170" t="s">
        <v>1634</v>
      </c>
      <c r="E371" s="171">
        <v>500</v>
      </c>
      <c r="F371" s="170" t="s">
        <v>936</v>
      </c>
    </row>
    <row r="372" spans="1:6" x14ac:dyDescent="0.2">
      <c r="A372" s="170" t="s">
        <v>2056</v>
      </c>
      <c r="B372" s="171">
        <v>1890</v>
      </c>
      <c r="C372" s="172" t="s">
        <v>2057</v>
      </c>
      <c r="D372" s="170" t="s">
        <v>1064</v>
      </c>
      <c r="E372" s="171">
        <v>200</v>
      </c>
      <c r="F372" s="170" t="s">
        <v>936</v>
      </c>
    </row>
    <row r="373" spans="1:6" x14ac:dyDescent="0.2">
      <c r="A373" s="170" t="s">
        <v>2058</v>
      </c>
      <c r="B373" s="171">
        <v>10490</v>
      </c>
      <c r="C373" s="172" t="s">
        <v>2059</v>
      </c>
      <c r="D373" s="170" t="s">
        <v>1517</v>
      </c>
      <c r="E373" s="171">
        <v>700</v>
      </c>
      <c r="F373" s="170" t="s">
        <v>936</v>
      </c>
    </row>
    <row r="374" spans="1:6" x14ac:dyDescent="0.2">
      <c r="A374" s="170" t="s">
        <v>2060</v>
      </c>
      <c r="B374" s="171">
        <v>3590</v>
      </c>
      <c r="C374" s="172" t="s">
        <v>2061</v>
      </c>
      <c r="D374" s="170" t="s">
        <v>1064</v>
      </c>
      <c r="E374" s="171">
        <v>500</v>
      </c>
      <c r="F374" s="170" t="s">
        <v>936</v>
      </c>
    </row>
    <row r="375" spans="1:6" x14ac:dyDescent="0.2">
      <c r="A375" s="170" t="s">
        <v>2062</v>
      </c>
      <c r="B375" s="171">
        <v>990</v>
      </c>
      <c r="C375" s="172" t="s">
        <v>2063</v>
      </c>
      <c r="D375" s="170" t="s">
        <v>1064</v>
      </c>
      <c r="E375" s="171">
        <v>30</v>
      </c>
      <c r="F375" s="170" t="s">
        <v>936</v>
      </c>
    </row>
    <row r="376" spans="1:6" x14ac:dyDescent="0.2">
      <c r="A376" s="170" t="s">
        <v>2064</v>
      </c>
      <c r="B376" s="171">
        <v>1490</v>
      </c>
      <c r="C376" s="172" t="s">
        <v>2065</v>
      </c>
      <c r="D376" s="170" t="s">
        <v>1064</v>
      </c>
      <c r="E376" s="171">
        <v>150</v>
      </c>
      <c r="F376" s="170" t="s">
        <v>936</v>
      </c>
    </row>
    <row r="377" spans="1:6" x14ac:dyDescent="0.2">
      <c r="A377" s="170" t="s">
        <v>2066</v>
      </c>
      <c r="B377" s="171">
        <v>4490</v>
      </c>
      <c r="C377" s="172" t="s">
        <v>2067</v>
      </c>
      <c r="D377" s="170" t="s">
        <v>1064</v>
      </c>
      <c r="E377" s="171">
        <v>1</v>
      </c>
      <c r="F377" s="170" t="s">
        <v>925</v>
      </c>
    </row>
    <row r="378" spans="1:6" x14ac:dyDescent="0.2">
      <c r="A378" s="170" t="s">
        <v>612</v>
      </c>
      <c r="B378" s="171">
        <v>7990</v>
      </c>
      <c r="C378" s="172" t="s">
        <v>2068</v>
      </c>
      <c r="D378" s="170" t="s">
        <v>1517</v>
      </c>
      <c r="E378" s="171">
        <v>600</v>
      </c>
      <c r="F378" s="170" t="s">
        <v>936</v>
      </c>
    </row>
    <row r="379" spans="1:6" x14ac:dyDescent="0.2">
      <c r="A379" s="170" t="s">
        <v>2069</v>
      </c>
      <c r="B379" s="171">
        <v>4490</v>
      </c>
      <c r="C379" s="172" t="s">
        <v>2070</v>
      </c>
      <c r="D379" s="170" t="s">
        <v>1517</v>
      </c>
      <c r="E379" s="171">
        <v>70</v>
      </c>
      <c r="F379" s="170" t="s">
        <v>936</v>
      </c>
    </row>
    <row r="380" spans="1:6" x14ac:dyDescent="0.2">
      <c r="A380" s="170" t="s">
        <v>2071</v>
      </c>
      <c r="B380" s="171">
        <v>1499</v>
      </c>
      <c r="C380" s="172" t="s">
        <v>2072</v>
      </c>
      <c r="D380" s="170" t="s">
        <v>1517</v>
      </c>
      <c r="E380" s="171">
        <v>1</v>
      </c>
      <c r="F380" s="170" t="s">
        <v>925</v>
      </c>
    </row>
    <row r="381" spans="1:6" x14ac:dyDescent="0.2">
      <c r="A381" s="170" t="s">
        <v>2073</v>
      </c>
      <c r="B381" s="171">
        <v>13690</v>
      </c>
      <c r="C381" s="172" t="s">
        <v>2074</v>
      </c>
      <c r="D381" s="170" t="s">
        <v>1517</v>
      </c>
      <c r="E381" s="171">
        <v>1</v>
      </c>
      <c r="F381" s="170" t="s">
        <v>925</v>
      </c>
    </row>
    <row r="382" spans="1:6" x14ac:dyDescent="0.2">
      <c r="A382" s="170" t="s">
        <v>2075</v>
      </c>
      <c r="B382" s="171">
        <v>3190</v>
      </c>
      <c r="C382" s="172" t="s">
        <v>2076</v>
      </c>
      <c r="D382" s="170" t="s">
        <v>1064</v>
      </c>
      <c r="E382" s="171">
        <v>600</v>
      </c>
      <c r="F382" s="170" t="s">
        <v>936</v>
      </c>
    </row>
    <row r="383" spans="1:6" x14ac:dyDescent="0.2">
      <c r="A383" s="170" t="s">
        <v>2077</v>
      </c>
      <c r="B383" s="171">
        <v>14990</v>
      </c>
      <c r="C383" s="172" t="s">
        <v>2078</v>
      </c>
      <c r="D383" s="170" t="s">
        <v>1517</v>
      </c>
      <c r="E383" s="171">
        <v>800</v>
      </c>
      <c r="F383" s="170" t="s">
        <v>936</v>
      </c>
    </row>
    <row r="384" spans="1:6" x14ac:dyDescent="0.2">
      <c r="A384" s="170" t="s">
        <v>2079</v>
      </c>
      <c r="B384" s="171">
        <v>3290</v>
      </c>
      <c r="C384" s="172" t="s">
        <v>2080</v>
      </c>
      <c r="D384" s="170" t="s">
        <v>1064</v>
      </c>
      <c r="E384" s="171">
        <v>1</v>
      </c>
      <c r="F384" s="170" t="s">
        <v>952</v>
      </c>
    </row>
    <row r="385" spans="1:6" x14ac:dyDescent="0.2">
      <c r="A385" s="170" t="s">
        <v>458</v>
      </c>
      <c r="B385" s="171">
        <v>2890</v>
      </c>
      <c r="C385" s="172" t="s">
        <v>2081</v>
      </c>
      <c r="D385" s="170" t="s">
        <v>1064</v>
      </c>
      <c r="E385" s="171">
        <v>1</v>
      </c>
      <c r="F385" s="170" t="s">
        <v>952</v>
      </c>
    </row>
    <row r="386" spans="1:6" x14ac:dyDescent="0.2">
      <c r="A386" s="170" t="s">
        <v>2082</v>
      </c>
      <c r="B386" s="171">
        <v>2890</v>
      </c>
      <c r="C386" s="172" t="s">
        <v>2083</v>
      </c>
      <c r="D386" s="170" t="s">
        <v>1064</v>
      </c>
      <c r="E386" s="171">
        <v>1</v>
      </c>
      <c r="F386" s="170" t="s">
        <v>952</v>
      </c>
    </row>
    <row r="387" spans="1:6" x14ac:dyDescent="0.2">
      <c r="A387" s="170" t="s">
        <v>834</v>
      </c>
      <c r="B387" s="171">
        <v>3860</v>
      </c>
      <c r="C387" s="172" t="s">
        <v>2084</v>
      </c>
      <c r="D387" s="170" t="s">
        <v>924</v>
      </c>
      <c r="E387" s="171">
        <v>2</v>
      </c>
      <c r="F387" s="170" t="s">
        <v>925</v>
      </c>
    </row>
    <row r="388" spans="1:6" x14ac:dyDescent="0.2">
      <c r="A388" s="170" t="s">
        <v>2085</v>
      </c>
      <c r="B388" s="171">
        <v>3290</v>
      </c>
      <c r="C388" s="172" t="s">
        <v>2086</v>
      </c>
      <c r="D388" s="170" t="s">
        <v>1064</v>
      </c>
      <c r="E388" s="171">
        <v>1</v>
      </c>
      <c r="F388" s="170" t="s">
        <v>952</v>
      </c>
    </row>
    <row r="389" spans="1:6" x14ac:dyDescent="0.2">
      <c r="A389" s="170" t="s">
        <v>2087</v>
      </c>
      <c r="B389" s="171">
        <v>629</v>
      </c>
      <c r="C389" s="172" t="s">
        <v>2088</v>
      </c>
      <c r="D389" s="170" t="s">
        <v>1517</v>
      </c>
      <c r="E389" s="171">
        <v>1</v>
      </c>
      <c r="F389" s="170" t="s">
        <v>925</v>
      </c>
    </row>
    <row r="390" spans="1:6" x14ac:dyDescent="0.2">
      <c r="A390" s="170" t="s">
        <v>596</v>
      </c>
      <c r="B390" s="171">
        <v>1790</v>
      </c>
      <c r="C390" s="172" t="s">
        <v>2089</v>
      </c>
      <c r="D390" s="170" t="s">
        <v>1064</v>
      </c>
      <c r="E390" s="171">
        <v>1</v>
      </c>
      <c r="F390" s="170" t="s">
        <v>925</v>
      </c>
    </row>
    <row r="391" spans="1:6" x14ac:dyDescent="0.2">
      <c r="A391" s="170" t="s">
        <v>578</v>
      </c>
      <c r="B391" s="171">
        <v>1399</v>
      </c>
      <c r="C391" s="172" t="s">
        <v>2090</v>
      </c>
      <c r="D391" s="170" t="s">
        <v>1517</v>
      </c>
      <c r="E391" s="171">
        <v>1</v>
      </c>
      <c r="F391" s="170" t="s">
        <v>925</v>
      </c>
    </row>
    <row r="392" spans="1:6" x14ac:dyDescent="0.2">
      <c r="A392" s="170" t="s">
        <v>2091</v>
      </c>
      <c r="B392" s="171">
        <v>12990</v>
      </c>
      <c r="C392" s="172" t="s">
        <v>2092</v>
      </c>
      <c r="D392" s="170" t="s">
        <v>1517</v>
      </c>
      <c r="E392" s="171">
        <v>1</v>
      </c>
      <c r="F392" s="170" t="s">
        <v>925</v>
      </c>
    </row>
    <row r="393" spans="1:6" x14ac:dyDescent="0.2">
      <c r="A393" s="170" t="s">
        <v>2093</v>
      </c>
      <c r="B393" s="171">
        <v>4990</v>
      </c>
      <c r="C393" s="172" t="s">
        <v>2094</v>
      </c>
      <c r="D393" s="170" t="s">
        <v>1517</v>
      </c>
      <c r="E393" s="171">
        <v>120</v>
      </c>
      <c r="F393" s="170" t="s">
        <v>936</v>
      </c>
    </row>
    <row r="394" spans="1:6" x14ac:dyDescent="0.2">
      <c r="A394" s="170" t="s">
        <v>2095</v>
      </c>
      <c r="B394" s="171">
        <v>9990</v>
      </c>
      <c r="C394" s="172" t="s">
        <v>2096</v>
      </c>
      <c r="D394" s="170" t="s">
        <v>1517</v>
      </c>
      <c r="E394" s="171">
        <v>700</v>
      </c>
      <c r="F394" s="170" t="s">
        <v>936</v>
      </c>
    </row>
    <row r="395" spans="1:6" x14ac:dyDescent="0.2">
      <c r="A395" s="170" t="s">
        <v>2097</v>
      </c>
      <c r="B395" s="171">
        <v>2260</v>
      </c>
      <c r="C395" s="172" t="s">
        <v>2098</v>
      </c>
      <c r="D395" s="170" t="s">
        <v>2099</v>
      </c>
      <c r="E395" s="171">
        <v>200</v>
      </c>
      <c r="F395" s="170" t="s">
        <v>936</v>
      </c>
    </row>
    <row r="396" spans="1:6" x14ac:dyDescent="0.2">
      <c r="A396" s="170" t="s">
        <v>2100</v>
      </c>
      <c r="B396" s="171">
        <v>7990</v>
      </c>
      <c r="C396" s="172" t="s">
        <v>2101</v>
      </c>
      <c r="D396" s="170" t="s">
        <v>1517</v>
      </c>
      <c r="E396" s="171">
        <v>30</v>
      </c>
      <c r="F396" s="170" t="s">
        <v>936</v>
      </c>
    </row>
    <row r="397" spans="1:6" x14ac:dyDescent="0.2">
      <c r="A397" s="170" t="s">
        <v>2102</v>
      </c>
      <c r="B397" s="171">
        <v>1290</v>
      </c>
      <c r="C397" s="172" t="s">
        <v>2103</v>
      </c>
      <c r="D397" s="170" t="s">
        <v>1634</v>
      </c>
      <c r="E397" s="171">
        <v>3</v>
      </c>
      <c r="F397" s="170" t="s">
        <v>952</v>
      </c>
    </row>
    <row r="398" spans="1:6" x14ac:dyDescent="0.2">
      <c r="A398" s="170" t="s">
        <v>2104</v>
      </c>
      <c r="B398" s="171">
        <v>2590</v>
      </c>
      <c r="C398" s="172" t="s">
        <v>2105</v>
      </c>
      <c r="D398" s="170" t="s">
        <v>1517</v>
      </c>
      <c r="E398" s="171">
        <v>100</v>
      </c>
      <c r="F398" s="170" t="s">
        <v>936</v>
      </c>
    </row>
    <row r="399" spans="1:6" x14ac:dyDescent="0.2">
      <c r="A399" s="170" t="s">
        <v>2106</v>
      </c>
      <c r="B399" s="171">
        <v>2350</v>
      </c>
      <c r="C399" s="172" t="s">
        <v>2107</v>
      </c>
      <c r="D399" s="170" t="s">
        <v>1634</v>
      </c>
      <c r="E399" s="171">
        <v>500</v>
      </c>
      <c r="F399" s="170" t="s">
        <v>936</v>
      </c>
    </row>
    <row r="400" spans="1:6" x14ac:dyDescent="0.2">
      <c r="A400" s="170" t="s">
        <v>477</v>
      </c>
      <c r="B400" s="171">
        <v>1899</v>
      </c>
      <c r="C400" s="172" t="s">
        <v>2108</v>
      </c>
      <c r="D400" s="170" t="s">
        <v>1517</v>
      </c>
      <c r="E400" s="171">
        <v>1</v>
      </c>
      <c r="F400" s="170" t="s">
        <v>925</v>
      </c>
    </row>
    <row r="401" spans="1:6" x14ac:dyDescent="0.2">
      <c r="A401" s="170" t="s">
        <v>2109</v>
      </c>
      <c r="B401" s="171">
        <v>1790</v>
      </c>
      <c r="C401" s="172" t="s">
        <v>2110</v>
      </c>
      <c r="D401" s="170" t="s">
        <v>1064</v>
      </c>
      <c r="E401" s="171">
        <v>300</v>
      </c>
      <c r="F401" s="170" t="s">
        <v>936</v>
      </c>
    </row>
    <row r="402" spans="1:6" x14ac:dyDescent="0.2">
      <c r="A402" s="170" t="s">
        <v>704</v>
      </c>
      <c r="B402" s="171">
        <v>3790</v>
      </c>
      <c r="C402" s="172" t="s">
        <v>2111</v>
      </c>
      <c r="D402" s="170" t="s">
        <v>1517</v>
      </c>
      <c r="E402" s="171">
        <v>700</v>
      </c>
      <c r="F402" s="170" t="s">
        <v>936</v>
      </c>
    </row>
    <row r="403" spans="1:6" x14ac:dyDescent="0.2">
      <c r="A403" s="170" t="s">
        <v>2112</v>
      </c>
      <c r="B403" s="171">
        <v>2245</v>
      </c>
      <c r="C403" s="172" t="s">
        <v>2113</v>
      </c>
      <c r="D403" s="170" t="s">
        <v>1064</v>
      </c>
      <c r="E403" s="171">
        <v>1</v>
      </c>
      <c r="F403" s="170" t="s">
        <v>925</v>
      </c>
    </row>
    <row r="404" spans="1:6" x14ac:dyDescent="0.2">
      <c r="A404" s="170" t="s">
        <v>2114</v>
      </c>
      <c r="B404" s="171">
        <v>4040</v>
      </c>
      <c r="C404" s="172" t="s">
        <v>2115</v>
      </c>
      <c r="D404" s="170" t="s">
        <v>1517</v>
      </c>
      <c r="E404" s="171">
        <v>250</v>
      </c>
      <c r="F404" s="170" t="s">
        <v>936</v>
      </c>
    </row>
    <row r="405" spans="1:6" x14ac:dyDescent="0.2">
      <c r="A405" s="170" t="s">
        <v>2116</v>
      </c>
      <c r="B405" s="171">
        <v>2690</v>
      </c>
      <c r="C405" s="172" t="s">
        <v>2117</v>
      </c>
      <c r="D405" s="170" t="s">
        <v>1517</v>
      </c>
      <c r="E405" s="171">
        <v>100</v>
      </c>
      <c r="F405" s="170" t="s">
        <v>936</v>
      </c>
    </row>
    <row r="406" spans="1:6" x14ac:dyDescent="0.2">
      <c r="A406" s="170" t="s">
        <v>2118</v>
      </c>
      <c r="B406" s="171">
        <v>1798</v>
      </c>
      <c r="C406" s="172" t="s">
        <v>2119</v>
      </c>
      <c r="D406" s="170" t="s">
        <v>1517</v>
      </c>
      <c r="E406" s="171">
        <v>1</v>
      </c>
      <c r="F406" s="170" t="s">
        <v>925</v>
      </c>
    </row>
    <row r="407" spans="1:6" x14ac:dyDescent="0.2">
      <c r="A407" s="170" t="s">
        <v>2120</v>
      </c>
      <c r="B407" s="171">
        <v>8490</v>
      </c>
      <c r="C407" s="172" t="s">
        <v>2121</v>
      </c>
      <c r="D407" s="170" t="s">
        <v>1517</v>
      </c>
      <c r="E407" s="171">
        <v>350</v>
      </c>
      <c r="F407" s="170" t="s">
        <v>936</v>
      </c>
    </row>
    <row r="408" spans="1:6" x14ac:dyDescent="0.2">
      <c r="A408" s="170" t="s">
        <v>2122</v>
      </c>
      <c r="B408" s="171">
        <v>1590</v>
      </c>
      <c r="C408" s="172" t="s">
        <v>2123</v>
      </c>
      <c r="D408" s="170" t="s">
        <v>1064</v>
      </c>
      <c r="E408" s="171">
        <v>250</v>
      </c>
      <c r="F408" s="170" t="s">
        <v>936</v>
      </c>
    </row>
    <row r="409" spans="1:6" x14ac:dyDescent="0.2">
      <c r="A409" s="170" t="s">
        <v>717</v>
      </c>
      <c r="B409" s="171">
        <v>3490</v>
      </c>
      <c r="C409" s="172" t="s">
        <v>2124</v>
      </c>
      <c r="D409" s="170" t="s">
        <v>1517</v>
      </c>
      <c r="E409" s="171">
        <v>80</v>
      </c>
      <c r="F409" s="170" t="s">
        <v>936</v>
      </c>
    </row>
    <row r="410" spans="1:6" x14ac:dyDescent="0.2">
      <c r="A410" s="170" t="s">
        <v>2125</v>
      </c>
      <c r="B410" s="171">
        <v>4290</v>
      </c>
      <c r="C410" s="172" t="s">
        <v>2126</v>
      </c>
      <c r="D410" s="170" t="s">
        <v>1517</v>
      </c>
      <c r="E410" s="171">
        <v>120</v>
      </c>
      <c r="F410" s="170" t="s">
        <v>936</v>
      </c>
    </row>
    <row r="411" spans="1:6" x14ac:dyDescent="0.2">
      <c r="A411" s="170" t="s">
        <v>1809</v>
      </c>
      <c r="B411" s="171">
        <v>8990</v>
      </c>
      <c r="C411" s="172" t="s">
        <v>2127</v>
      </c>
      <c r="D411" s="170" t="s">
        <v>1517</v>
      </c>
      <c r="E411" s="171">
        <v>700</v>
      </c>
      <c r="F411" s="170" t="s">
        <v>936</v>
      </c>
    </row>
    <row r="412" spans="1:6" x14ac:dyDescent="0.2">
      <c r="A412" s="170" t="s">
        <v>2128</v>
      </c>
      <c r="B412" s="171">
        <v>3190</v>
      </c>
      <c r="C412" s="172" t="s">
        <v>2129</v>
      </c>
      <c r="D412" s="170" t="s">
        <v>1064</v>
      </c>
      <c r="E412" s="171">
        <v>600</v>
      </c>
      <c r="F412" s="170" t="s">
        <v>936</v>
      </c>
    </row>
    <row r="413" spans="1:6" x14ac:dyDescent="0.2">
      <c r="A413" s="170" t="s">
        <v>2130</v>
      </c>
      <c r="B413" s="171">
        <v>3090</v>
      </c>
      <c r="C413" s="172" t="s">
        <v>2131</v>
      </c>
      <c r="D413" s="170" t="s">
        <v>1517</v>
      </c>
      <c r="E413" s="171">
        <v>250</v>
      </c>
      <c r="F413" s="170" t="s">
        <v>936</v>
      </c>
    </row>
    <row r="414" spans="1:6" x14ac:dyDescent="0.2">
      <c r="A414" s="170" t="s">
        <v>2132</v>
      </c>
      <c r="B414" s="171">
        <v>7990</v>
      </c>
      <c r="C414" s="172" t="s">
        <v>2133</v>
      </c>
      <c r="D414" s="170" t="s">
        <v>1517</v>
      </c>
      <c r="E414" s="171">
        <v>200</v>
      </c>
      <c r="F414" s="170" t="s">
        <v>936</v>
      </c>
    </row>
    <row r="415" spans="1:6" x14ac:dyDescent="0.2">
      <c r="A415" s="170" t="s">
        <v>2134</v>
      </c>
      <c r="B415" s="171">
        <v>2300</v>
      </c>
      <c r="C415" s="172" t="s">
        <v>2135</v>
      </c>
      <c r="D415" s="170" t="s">
        <v>1064</v>
      </c>
      <c r="E415" s="171">
        <v>150</v>
      </c>
      <c r="F415" s="170" t="s">
        <v>936</v>
      </c>
    </row>
    <row r="416" spans="1:6" x14ac:dyDescent="0.2">
      <c r="A416" s="170" t="s">
        <v>2136</v>
      </c>
      <c r="B416" s="171">
        <v>14990</v>
      </c>
      <c r="C416" s="172" t="s">
        <v>2137</v>
      </c>
      <c r="D416" s="170" t="s">
        <v>1517</v>
      </c>
      <c r="E416" s="171">
        <v>650</v>
      </c>
      <c r="F416" s="170" t="s">
        <v>936</v>
      </c>
    </row>
    <row r="417" spans="1:6" x14ac:dyDescent="0.2">
      <c r="A417" s="170" t="s">
        <v>2138</v>
      </c>
      <c r="B417" s="171">
        <v>14990</v>
      </c>
      <c r="C417" s="172" t="s">
        <v>2139</v>
      </c>
      <c r="D417" s="170" t="s">
        <v>1517</v>
      </c>
      <c r="E417" s="171">
        <v>800</v>
      </c>
      <c r="F417" s="170" t="s">
        <v>936</v>
      </c>
    </row>
    <row r="418" spans="1:6" x14ac:dyDescent="0.2">
      <c r="A418" s="170" t="s">
        <v>2140</v>
      </c>
      <c r="B418" s="171">
        <v>12990</v>
      </c>
      <c r="C418" s="172" t="s">
        <v>2141</v>
      </c>
      <c r="D418" s="170" t="s">
        <v>1517</v>
      </c>
      <c r="E418" s="171">
        <v>670</v>
      </c>
      <c r="F418" s="170" t="s">
        <v>936</v>
      </c>
    </row>
    <row r="419" spans="1:6" x14ac:dyDescent="0.2">
      <c r="A419" s="170" t="s">
        <v>2142</v>
      </c>
      <c r="B419" s="171">
        <v>14990</v>
      </c>
      <c r="C419" s="172" t="s">
        <v>2143</v>
      </c>
      <c r="D419" s="170" t="s">
        <v>1517</v>
      </c>
      <c r="E419" s="171">
        <v>800</v>
      </c>
      <c r="F419" s="170" t="s">
        <v>936</v>
      </c>
    </row>
    <row r="420" spans="1:6" x14ac:dyDescent="0.2">
      <c r="A420" s="170" t="s">
        <v>2144</v>
      </c>
      <c r="B420" s="171">
        <v>3140</v>
      </c>
      <c r="C420" s="172" t="s">
        <v>2145</v>
      </c>
      <c r="D420" s="170" t="s">
        <v>1064</v>
      </c>
      <c r="E420" s="171">
        <v>1</v>
      </c>
      <c r="F420" s="170" t="s">
        <v>952</v>
      </c>
    </row>
    <row r="421" spans="1:6" x14ac:dyDescent="0.2">
      <c r="A421" s="170" t="s">
        <v>2146</v>
      </c>
      <c r="B421" s="171">
        <v>1090</v>
      </c>
      <c r="C421" s="172" t="s">
        <v>2147</v>
      </c>
      <c r="D421" s="170" t="s">
        <v>1064</v>
      </c>
      <c r="E421" s="171">
        <v>8</v>
      </c>
      <c r="F421" s="170" t="s">
        <v>936</v>
      </c>
    </row>
    <row r="422" spans="1:6" x14ac:dyDescent="0.2">
      <c r="A422" s="170" t="s">
        <v>2148</v>
      </c>
      <c r="B422" s="171">
        <v>1990</v>
      </c>
      <c r="C422" s="172" t="s">
        <v>2149</v>
      </c>
      <c r="D422" s="170" t="s">
        <v>1517</v>
      </c>
      <c r="E422" s="171">
        <v>50</v>
      </c>
      <c r="F422" s="170" t="s">
        <v>936</v>
      </c>
    </row>
    <row r="423" spans="1:6" x14ac:dyDescent="0.2">
      <c r="A423" s="170" t="s">
        <v>2150</v>
      </c>
      <c r="B423" s="171">
        <v>2490</v>
      </c>
      <c r="C423" s="172" t="s">
        <v>2151</v>
      </c>
      <c r="D423" s="170" t="s">
        <v>1634</v>
      </c>
      <c r="E423" s="171">
        <v>1</v>
      </c>
      <c r="F423" s="170" t="s">
        <v>925</v>
      </c>
    </row>
    <row r="424" spans="1:6" x14ac:dyDescent="0.2">
      <c r="A424" s="170" t="s">
        <v>878</v>
      </c>
      <c r="B424" s="171">
        <v>3790</v>
      </c>
      <c r="C424" s="172" t="s">
        <v>2152</v>
      </c>
      <c r="D424" s="170" t="s">
        <v>1517</v>
      </c>
      <c r="E424" s="171">
        <v>200</v>
      </c>
      <c r="F424" s="170" t="s">
        <v>936</v>
      </c>
    </row>
    <row r="425" spans="1:6" x14ac:dyDescent="0.2">
      <c r="A425" s="170" t="s">
        <v>2153</v>
      </c>
      <c r="B425" s="171">
        <v>5290</v>
      </c>
      <c r="C425" s="172" t="s">
        <v>2154</v>
      </c>
      <c r="D425" s="170" t="s">
        <v>1517</v>
      </c>
      <c r="E425" s="171">
        <v>200</v>
      </c>
      <c r="F425" s="170" t="s">
        <v>936</v>
      </c>
    </row>
    <row r="426" spans="1:6" x14ac:dyDescent="0.2">
      <c r="A426" s="170" t="s">
        <v>2155</v>
      </c>
      <c r="B426" s="171">
        <v>2190</v>
      </c>
      <c r="C426" s="172" t="s">
        <v>2156</v>
      </c>
      <c r="D426" s="170" t="s">
        <v>1064</v>
      </c>
      <c r="E426" s="171">
        <v>16</v>
      </c>
      <c r="F426" s="170" t="s">
        <v>936</v>
      </c>
    </row>
    <row r="427" spans="1:6" x14ac:dyDescent="0.2">
      <c r="A427" s="170" t="s">
        <v>1542</v>
      </c>
      <c r="B427" s="171">
        <v>1790</v>
      </c>
      <c r="C427" s="172" t="s">
        <v>2157</v>
      </c>
      <c r="D427" s="170" t="s">
        <v>1064</v>
      </c>
      <c r="E427" s="171">
        <v>300</v>
      </c>
      <c r="F427" s="170" t="s">
        <v>936</v>
      </c>
    </row>
    <row r="428" spans="1:6" x14ac:dyDescent="0.2">
      <c r="A428" s="170" t="s">
        <v>2158</v>
      </c>
      <c r="B428" s="171">
        <v>1990</v>
      </c>
      <c r="C428" s="172" t="s">
        <v>2159</v>
      </c>
      <c r="D428" s="170" t="s">
        <v>1064</v>
      </c>
      <c r="E428" s="171">
        <v>1</v>
      </c>
      <c r="F428" s="170" t="s">
        <v>925</v>
      </c>
    </row>
    <row r="429" spans="1:6" x14ac:dyDescent="0.2">
      <c r="A429" s="170" t="s">
        <v>2160</v>
      </c>
      <c r="B429" s="171">
        <v>4890</v>
      </c>
      <c r="C429" s="172" t="s">
        <v>2161</v>
      </c>
      <c r="D429" s="170" t="s">
        <v>1517</v>
      </c>
      <c r="E429" s="171">
        <v>300</v>
      </c>
      <c r="F429" s="170" t="s">
        <v>936</v>
      </c>
    </row>
    <row r="430" spans="1:6" x14ac:dyDescent="0.2">
      <c r="A430" s="170" t="s">
        <v>2162</v>
      </c>
      <c r="B430" s="171">
        <v>2890</v>
      </c>
      <c r="C430" s="172" t="s">
        <v>2163</v>
      </c>
      <c r="D430" s="170" t="s">
        <v>1064</v>
      </c>
      <c r="E430" s="171">
        <v>500</v>
      </c>
      <c r="F430" s="170" t="s">
        <v>936</v>
      </c>
    </row>
    <row r="431" spans="1:6" x14ac:dyDescent="0.2">
      <c r="A431" s="170" t="s">
        <v>2164</v>
      </c>
      <c r="B431" s="171">
        <v>3980</v>
      </c>
      <c r="C431" s="172" t="s">
        <v>2165</v>
      </c>
      <c r="D431" s="170" t="s">
        <v>1064</v>
      </c>
      <c r="E431" s="171">
        <v>400</v>
      </c>
      <c r="F431" s="170" t="s">
        <v>936</v>
      </c>
    </row>
    <row r="432" spans="1:6" x14ac:dyDescent="0.2">
      <c r="A432" s="170" t="s">
        <v>2166</v>
      </c>
      <c r="B432" s="171">
        <v>4290</v>
      </c>
      <c r="C432" s="172" t="s">
        <v>2167</v>
      </c>
      <c r="D432" s="170" t="s">
        <v>1517</v>
      </c>
      <c r="E432" s="171">
        <v>300</v>
      </c>
      <c r="F432" s="170" t="s">
        <v>936</v>
      </c>
    </row>
    <row r="433" spans="1:6" x14ac:dyDescent="0.2">
      <c r="A433" s="170" t="s">
        <v>2168</v>
      </c>
      <c r="B433" s="171">
        <v>3190</v>
      </c>
      <c r="C433" s="172" t="s">
        <v>2169</v>
      </c>
      <c r="D433" s="170" t="s">
        <v>1064</v>
      </c>
      <c r="E433" s="171">
        <v>150</v>
      </c>
      <c r="F433" s="170" t="s">
        <v>936</v>
      </c>
    </row>
    <row r="434" spans="1:6" x14ac:dyDescent="0.2">
      <c r="A434" s="170" t="s">
        <v>677</v>
      </c>
      <c r="B434" s="171">
        <v>999</v>
      </c>
      <c r="C434" s="172" t="s">
        <v>2170</v>
      </c>
      <c r="D434" s="170" t="s">
        <v>1517</v>
      </c>
      <c r="E434" s="171">
        <v>1</v>
      </c>
      <c r="F434" s="170" t="s">
        <v>925</v>
      </c>
    </row>
    <row r="435" spans="1:6" x14ac:dyDescent="0.2">
      <c r="A435" s="170" t="s">
        <v>778</v>
      </c>
      <c r="B435" s="171">
        <v>1299</v>
      </c>
      <c r="C435" s="172" t="s">
        <v>2171</v>
      </c>
      <c r="D435" s="170" t="s">
        <v>1517</v>
      </c>
      <c r="E435" s="171">
        <v>1</v>
      </c>
      <c r="F435" s="170" t="s">
        <v>925</v>
      </c>
    </row>
    <row r="436" spans="1:6" x14ac:dyDescent="0.2">
      <c r="A436" s="170" t="s">
        <v>2172</v>
      </c>
      <c r="B436" s="171">
        <v>3290</v>
      </c>
      <c r="C436" s="172" t="s">
        <v>2173</v>
      </c>
      <c r="D436" s="170" t="s">
        <v>1517</v>
      </c>
      <c r="E436" s="171">
        <v>500</v>
      </c>
      <c r="F436" s="170" t="s">
        <v>936</v>
      </c>
    </row>
    <row r="437" spans="1:6" x14ac:dyDescent="0.2">
      <c r="A437" s="170" t="s">
        <v>2174</v>
      </c>
      <c r="B437" s="171">
        <v>2190</v>
      </c>
      <c r="C437" s="172" t="s">
        <v>2175</v>
      </c>
      <c r="D437" s="170" t="s">
        <v>1064</v>
      </c>
      <c r="E437" s="171">
        <v>16</v>
      </c>
      <c r="F437" s="170" t="s">
        <v>936</v>
      </c>
    </row>
    <row r="438" spans="1:6" x14ac:dyDescent="0.2">
      <c r="A438" s="170" t="s">
        <v>2176</v>
      </c>
      <c r="B438" s="171">
        <v>1990</v>
      </c>
      <c r="C438" s="172" t="s">
        <v>2177</v>
      </c>
      <c r="D438" s="170" t="s">
        <v>1517</v>
      </c>
      <c r="E438" s="171">
        <v>80</v>
      </c>
      <c r="F438" s="170" t="s">
        <v>936</v>
      </c>
    </row>
    <row r="439" spans="1:6" x14ac:dyDescent="0.2">
      <c r="A439" s="170" t="s">
        <v>2178</v>
      </c>
      <c r="B439" s="171">
        <v>2590</v>
      </c>
      <c r="C439" s="172" t="s">
        <v>2179</v>
      </c>
      <c r="D439" s="170" t="s">
        <v>1517</v>
      </c>
      <c r="E439" s="171">
        <v>150</v>
      </c>
      <c r="F439" s="170" t="s">
        <v>936</v>
      </c>
    </row>
    <row r="440" spans="1:6" x14ac:dyDescent="0.2">
      <c r="A440" s="170" t="s">
        <v>2180</v>
      </c>
      <c r="B440" s="171">
        <v>2570</v>
      </c>
      <c r="C440" s="172" t="s">
        <v>2181</v>
      </c>
      <c r="D440" s="170" t="s">
        <v>1064</v>
      </c>
      <c r="E440" s="171">
        <v>150</v>
      </c>
      <c r="F440" s="170" t="s">
        <v>936</v>
      </c>
    </row>
    <row r="441" spans="1:6" x14ac:dyDescent="0.2">
      <c r="A441" s="170" t="s">
        <v>2182</v>
      </c>
      <c r="B441" s="171">
        <v>2990</v>
      </c>
      <c r="C441" s="172" t="s">
        <v>2183</v>
      </c>
      <c r="D441" s="170" t="s">
        <v>1064</v>
      </c>
      <c r="E441" s="171">
        <v>600</v>
      </c>
      <c r="F441" s="170" t="s">
        <v>936</v>
      </c>
    </row>
    <row r="442" spans="1:6" x14ac:dyDescent="0.2">
      <c r="A442" s="170" t="s">
        <v>2184</v>
      </c>
      <c r="B442" s="171">
        <v>1390</v>
      </c>
      <c r="C442" s="172" t="s">
        <v>2185</v>
      </c>
      <c r="D442" s="170" t="s">
        <v>1064</v>
      </c>
      <c r="E442" s="171">
        <v>70</v>
      </c>
      <c r="F442" s="170" t="s">
        <v>936</v>
      </c>
    </row>
    <row r="443" spans="1:6" x14ac:dyDescent="0.2">
      <c r="A443" s="170" t="s">
        <v>2186</v>
      </c>
      <c r="B443" s="171">
        <v>1490</v>
      </c>
      <c r="C443" s="172" t="s">
        <v>2187</v>
      </c>
      <c r="D443" s="170" t="s">
        <v>1064</v>
      </c>
      <c r="E443" s="171">
        <v>250</v>
      </c>
      <c r="F443" s="170" t="s">
        <v>936</v>
      </c>
    </row>
    <row r="444" spans="1:6" x14ac:dyDescent="0.2">
      <c r="A444" s="170" t="s">
        <v>2188</v>
      </c>
      <c r="B444" s="171">
        <v>3490</v>
      </c>
      <c r="C444" s="172" t="s">
        <v>2189</v>
      </c>
      <c r="D444" s="170" t="s">
        <v>1517</v>
      </c>
      <c r="E444" s="171">
        <v>100</v>
      </c>
      <c r="F444" s="170" t="s">
        <v>936</v>
      </c>
    </row>
    <row r="445" spans="1:6" x14ac:dyDescent="0.2">
      <c r="A445" s="170" t="s">
        <v>2190</v>
      </c>
      <c r="B445" s="171">
        <v>4490</v>
      </c>
      <c r="C445" s="172" t="s">
        <v>2191</v>
      </c>
      <c r="D445" s="170" t="s">
        <v>1517</v>
      </c>
      <c r="E445" s="171">
        <v>70</v>
      </c>
      <c r="F445" s="170" t="s">
        <v>936</v>
      </c>
    </row>
    <row r="446" spans="1:6" x14ac:dyDescent="0.2">
      <c r="A446" s="170" t="s">
        <v>2192</v>
      </c>
      <c r="B446" s="171">
        <v>1090</v>
      </c>
      <c r="C446" s="172" t="s">
        <v>2193</v>
      </c>
      <c r="D446" s="170" t="s">
        <v>1064</v>
      </c>
      <c r="E446" s="171">
        <v>8</v>
      </c>
      <c r="F446" s="170" t="s">
        <v>936</v>
      </c>
    </row>
    <row r="447" spans="1:6" x14ac:dyDescent="0.2">
      <c r="A447" s="170" t="s">
        <v>2194</v>
      </c>
      <c r="B447" s="171">
        <v>1190</v>
      </c>
      <c r="C447" s="172" t="s">
        <v>2195</v>
      </c>
      <c r="D447" s="170" t="s">
        <v>1064</v>
      </c>
      <c r="E447" s="171">
        <v>5</v>
      </c>
      <c r="F447" s="170" t="s">
        <v>952</v>
      </c>
    </row>
    <row r="448" spans="1:6" x14ac:dyDescent="0.2">
      <c r="A448" s="170" t="s">
        <v>2196</v>
      </c>
      <c r="B448" s="171">
        <v>2300</v>
      </c>
      <c r="C448" s="172" t="s">
        <v>2197</v>
      </c>
      <c r="D448" s="170" t="s">
        <v>1064</v>
      </c>
      <c r="E448" s="171">
        <v>150</v>
      </c>
      <c r="F448" s="170" t="s">
        <v>936</v>
      </c>
    </row>
    <row r="449" spans="1:6" x14ac:dyDescent="0.2">
      <c r="A449" s="170" t="s">
        <v>2198</v>
      </c>
      <c r="B449" s="171">
        <v>2490</v>
      </c>
      <c r="C449" s="172" t="s">
        <v>2199</v>
      </c>
      <c r="D449" s="170" t="s">
        <v>1064</v>
      </c>
      <c r="E449" s="171">
        <v>400</v>
      </c>
      <c r="F449" s="170" t="s">
        <v>936</v>
      </c>
    </row>
    <row r="450" spans="1:6" x14ac:dyDescent="0.2">
      <c r="A450" s="170" t="s">
        <v>2200</v>
      </c>
      <c r="B450" s="171">
        <v>4390</v>
      </c>
      <c r="C450" s="172" t="s">
        <v>2201</v>
      </c>
      <c r="D450" s="170" t="s">
        <v>1517</v>
      </c>
      <c r="E450" s="171">
        <v>120</v>
      </c>
      <c r="F450" s="170" t="s">
        <v>936</v>
      </c>
    </row>
    <row r="451" spans="1:6" x14ac:dyDescent="0.2">
      <c r="A451" s="170" t="s">
        <v>2202</v>
      </c>
      <c r="B451" s="171">
        <v>3390</v>
      </c>
      <c r="C451" s="172" t="s">
        <v>2203</v>
      </c>
      <c r="D451" s="170" t="s">
        <v>1064</v>
      </c>
      <c r="E451" s="171">
        <v>150</v>
      </c>
      <c r="F451" s="170" t="s">
        <v>936</v>
      </c>
    </row>
    <row r="452" spans="1:6" x14ac:dyDescent="0.2">
      <c r="A452" s="170" t="s">
        <v>2204</v>
      </c>
      <c r="B452" s="171">
        <v>1090</v>
      </c>
      <c r="C452" s="172" t="s">
        <v>2205</v>
      </c>
      <c r="D452" s="170" t="s">
        <v>1064</v>
      </c>
      <c r="E452" s="171">
        <v>8</v>
      </c>
      <c r="F452" s="170" t="s">
        <v>936</v>
      </c>
    </row>
    <row r="453" spans="1:6" x14ac:dyDescent="0.2">
      <c r="A453" s="170" t="s">
        <v>2206</v>
      </c>
      <c r="B453" s="171">
        <v>4090</v>
      </c>
      <c r="C453" s="172" t="s">
        <v>2207</v>
      </c>
      <c r="D453" s="170" t="s">
        <v>1064</v>
      </c>
      <c r="E453" s="171">
        <v>510</v>
      </c>
      <c r="F453" s="170" t="s">
        <v>936</v>
      </c>
    </row>
    <row r="454" spans="1:6" x14ac:dyDescent="0.2">
      <c r="A454" s="170" t="s">
        <v>2208</v>
      </c>
      <c r="B454" s="171">
        <v>1090</v>
      </c>
      <c r="C454" s="172" t="s">
        <v>2209</v>
      </c>
      <c r="D454" s="170" t="s">
        <v>1064</v>
      </c>
      <c r="E454" s="171">
        <v>5</v>
      </c>
      <c r="F454" s="170" t="s">
        <v>936</v>
      </c>
    </row>
    <row r="455" spans="1:6" x14ac:dyDescent="0.2">
      <c r="A455" s="170" t="s">
        <v>2210</v>
      </c>
      <c r="B455" s="171">
        <v>2290</v>
      </c>
      <c r="C455" s="172" t="s">
        <v>2211</v>
      </c>
      <c r="D455" s="170" t="s">
        <v>1064</v>
      </c>
      <c r="E455" s="171">
        <v>150</v>
      </c>
      <c r="F455" s="170" t="s">
        <v>936</v>
      </c>
    </row>
    <row r="456" spans="1:6" x14ac:dyDescent="0.2">
      <c r="A456" s="170" t="s">
        <v>2212</v>
      </c>
      <c r="B456" s="171">
        <v>10790</v>
      </c>
      <c r="C456" s="172" t="s">
        <v>2213</v>
      </c>
      <c r="D456" s="170" t="s">
        <v>1517</v>
      </c>
      <c r="E456" s="171">
        <v>700</v>
      </c>
      <c r="F456" s="170" t="s">
        <v>936</v>
      </c>
    </row>
    <row r="457" spans="1:6" x14ac:dyDescent="0.2">
      <c r="A457" s="170" t="s">
        <v>2214</v>
      </c>
      <c r="B457" s="171">
        <v>4195</v>
      </c>
      <c r="C457" s="172" t="s">
        <v>2215</v>
      </c>
      <c r="D457" s="170" t="s">
        <v>1064</v>
      </c>
      <c r="E457" s="171">
        <v>1</v>
      </c>
      <c r="F457" s="170" t="s">
        <v>925</v>
      </c>
    </row>
    <row r="458" spans="1:6" x14ac:dyDescent="0.2">
      <c r="A458" s="170" t="s">
        <v>2216</v>
      </c>
      <c r="B458" s="171">
        <v>1090</v>
      </c>
      <c r="C458" s="172" t="s">
        <v>2217</v>
      </c>
      <c r="D458" s="170" t="s">
        <v>1064</v>
      </c>
      <c r="E458" s="171">
        <v>8</v>
      </c>
      <c r="F458" s="170" t="s">
        <v>936</v>
      </c>
    </row>
    <row r="459" spans="1:6" x14ac:dyDescent="0.2">
      <c r="A459" s="170" t="s">
        <v>2218</v>
      </c>
      <c r="B459" s="171">
        <v>2290</v>
      </c>
      <c r="C459" s="172" t="s">
        <v>2219</v>
      </c>
      <c r="D459" s="170" t="s">
        <v>1064</v>
      </c>
      <c r="E459" s="171">
        <v>150</v>
      </c>
      <c r="F459" s="170" t="s">
        <v>936</v>
      </c>
    </row>
    <row r="460" spans="1:6" x14ac:dyDescent="0.2">
      <c r="A460" s="170" t="s">
        <v>2220</v>
      </c>
      <c r="B460" s="171">
        <v>2390</v>
      </c>
      <c r="C460" s="172" t="s">
        <v>2221</v>
      </c>
      <c r="D460" s="170" t="s">
        <v>1517</v>
      </c>
      <c r="E460" s="171">
        <v>250</v>
      </c>
      <c r="F460" s="170" t="s">
        <v>936</v>
      </c>
    </row>
    <row r="461" spans="1:6" x14ac:dyDescent="0.2">
      <c r="A461" s="170" t="s">
        <v>2222</v>
      </c>
      <c r="B461" s="171">
        <v>1090</v>
      </c>
      <c r="C461" s="172" t="s">
        <v>2223</v>
      </c>
      <c r="D461" s="170" t="s">
        <v>1064</v>
      </c>
      <c r="E461" s="171">
        <v>6</v>
      </c>
      <c r="F461" s="170" t="s">
        <v>936</v>
      </c>
    </row>
    <row r="462" spans="1:6" x14ac:dyDescent="0.2">
      <c r="A462" s="170" t="s">
        <v>2224</v>
      </c>
      <c r="B462" s="171">
        <v>3990</v>
      </c>
      <c r="C462" s="172" t="s">
        <v>2225</v>
      </c>
      <c r="D462" s="170" t="s">
        <v>1634</v>
      </c>
      <c r="E462" s="171">
        <v>500</v>
      </c>
      <c r="F462" s="170" t="s">
        <v>936</v>
      </c>
    </row>
    <row r="463" spans="1:6" x14ac:dyDescent="0.2">
      <c r="A463" s="170" t="s">
        <v>2226</v>
      </c>
      <c r="B463" s="171">
        <v>2790</v>
      </c>
      <c r="C463" s="172" t="s">
        <v>2227</v>
      </c>
      <c r="D463" s="170" t="s">
        <v>1064</v>
      </c>
      <c r="E463" s="171">
        <v>600</v>
      </c>
      <c r="F463" s="170" t="s">
        <v>936</v>
      </c>
    </row>
    <row r="464" spans="1:6" x14ac:dyDescent="0.2">
      <c r="A464" s="170" t="s">
        <v>2228</v>
      </c>
      <c r="B464" s="171">
        <v>1090</v>
      </c>
      <c r="C464" s="172" t="s">
        <v>2229</v>
      </c>
      <c r="D464" s="170" t="s">
        <v>1064</v>
      </c>
      <c r="E464" s="171">
        <v>6</v>
      </c>
      <c r="F464" s="170" t="s">
        <v>936</v>
      </c>
    </row>
    <row r="465" spans="1:6" x14ac:dyDescent="0.2">
      <c r="A465" s="170" t="s">
        <v>2230</v>
      </c>
      <c r="B465" s="171">
        <v>1750</v>
      </c>
      <c r="C465" s="172" t="s">
        <v>2231</v>
      </c>
      <c r="D465" s="170" t="s">
        <v>2028</v>
      </c>
      <c r="E465" s="171">
        <v>1</v>
      </c>
      <c r="F465" s="170" t="s">
        <v>952</v>
      </c>
    </row>
    <row r="466" spans="1:6" x14ac:dyDescent="0.2">
      <c r="A466" s="170" t="s">
        <v>2232</v>
      </c>
      <c r="B466" s="171">
        <v>2990</v>
      </c>
      <c r="C466" s="172" t="s">
        <v>2233</v>
      </c>
      <c r="D466" s="170" t="s">
        <v>1064</v>
      </c>
      <c r="E466" s="171">
        <v>340</v>
      </c>
      <c r="F466" s="170" t="s">
        <v>936</v>
      </c>
    </row>
    <row r="467" spans="1:6" x14ac:dyDescent="0.2">
      <c r="A467" s="170" t="s">
        <v>2234</v>
      </c>
      <c r="B467" s="171">
        <v>2390</v>
      </c>
      <c r="C467" s="172" t="s">
        <v>2235</v>
      </c>
      <c r="D467" s="170" t="s">
        <v>1517</v>
      </c>
      <c r="E467" s="171">
        <v>80</v>
      </c>
      <c r="F467" s="170" t="s">
        <v>936</v>
      </c>
    </row>
    <row r="468" spans="1:6" x14ac:dyDescent="0.2">
      <c r="A468" s="170" t="s">
        <v>2236</v>
      </c>
      <c r="B468" s="171">
        <v>9995</v>
      </c>
      <c r="C468" s="172" t="s">
        <v>2237</v>
      </c>
      <c r="D468" s="170" t="s">
        <v>1064</v>
      </c>
      <c r="E468" s="171">
        <v>1</v>
      </c>
      <c r="F468" s="170" t="s">
        <v>925</v>
      </c>
    </row>
    <row r="469" spans="1:6" x14ac:dyDescent="0.2">
      <c r="A469" s="170" t="s">
        <v>2238</v>
      </c>
      <c r="B469" s="171">
        <v>2990</v>
      </c>
      <c r="C469" s="172" t="s">
        <v>2239</v>
      </c>
      <c r="D469" s="170" t="s">
        <v>1064</v>
      </c>
      <c r="E469" s="171">
        <v>340</v>
      </c>
      <c r="F469" s="170" t="s">
        <v>936</v>
      </c>
    </row>
    <row r="470" spans="1:6" x14ac:dyDescent="0.2">
      <c r="A470" s="170" t="s">
        <v>2240</v>
      </c>
      <c r="B470" s="171">
        <v>2290</v>
      </c>
      <c r="C470" s="172" t="s">
        <v>2241</v>
      </c>
      <c r="D470" s="170" t="s">
        <v>1064</v>
      </c>
      <c r="E470" s="171">
        <v>150</v>
      </c>
      <c r="F470" s="170" t="s">
        <v>936</v>
      </c>
    </row>
    <row r="471" spans="1:6" x14ac:dyDescent="0.2">
      <c r="A471" s="170" t="s">
        <v>2242</v>
      </c>
      <c r="B471" s="171">
        <v>14990</v>
      </c>
      <c r="C471" s="172" t="s">
        <v>2243</v>
      </c>
      <c r="D471" s="170" t="s">
        <v>1517</v>
      </c>
      <c r="E471" s="171">
        <v>700</v>
      </c>
      <c r="F471" s="170" t="s">
        <v>936</v>
      </c>
    </row>
    <row r="472" spans="1:6" x14ac:dyDescent="0.2">
      <c r="A472" s="170" t="s">
        <v>2244</v>
      </c>
      <c r="B472" s="171">
        <v>4190</v>
      </c>
      <c r="C472" s="172" t="s">
        <v>2245</v>
      </c>
      <c r="D472" s="170" t="s">
        <v>1064</v>
      </c>
      <c r="E472" s="171">
        <v>2</v>
      </c>
      <c r="F472" s="170" t="s">
        <v>952</v>
      </c>
    </row>
    <row r="473" spans="1:6" x14ac:dyDescent="0.2">
      <c r="A473" s="170" t="s">
        <v>2246</v>
      </c>
      <c r="B473" s="171">
        <v>4490</v>
      </c>
      <c r="C473" s="172" t="s">
        <v>2247</v>
      </c>
      <c r="D473" s="170" t="s">
        <v>1517</v>
      </c>
      <c r="E473" s="171">
        <v>200</v>
      </c>
      <c r="F473" s="170" t="s">
        <v>936</v>
      </c>
    </row>
    <row r="474" spans="1:6" x14ac:dyDescent="0.2">
      <c r="A474" s="170" t="s">
        <v>2248</v>
      </c>
      <c r="B474" s="171">
        <v>14990</v>
      </c>
      <c r="C474" s="172" t="s">
        <v>2249</v>
      </c>
      <c r="D474" s="170" t="s">
        <v>1517</v>
      </c>
      <c r="E474" s="171">
        <v>860</v>
      </c>
      <c r="F474" s="170" t="s">
        <v>936</v>
      </c>
    </row>
    <row r="475" spans="1:6" x14ac:dyDescent="0.2">
      <c r="A475" s="170" t="s">
        <v>2250</v>
      </c>
      <c r="B475" s="171">
        <v>14990</v>
      </c>
      <c r="C475" s="172" t="s">
        <v>2251</v>
      </c>
      <c r="D475" s="170" t="s">
        <v>1517</v>
      </c>
      <c r="E475" s="171">
        <v>800</v>
      </c>
      <c r="F475" s="170" t="s">
        <v>936</v>
      </c>
    </row>
    <row r="476" spans="1:6" x14ac:dyDescent="0.2">
      <c r="A476" s="170" t="s">
        <v>2252</v>
      </c>
      <c r="B476" s="171">
        <v>1599</v>
      </c>
      <c r="C476" s="172" t="s">
        <v>2253</v>
      </c>
      <c r="D476" s="170" t="s">
        <v>1517</v>
      </c>
      <c r="E476" s="171">
        <v>20</v>
      </c>
      <c r="F476" s="170" t="s">
        <v>936</v>
      </c>
    </row>
    <row r="477" spans="1:6" x14ac:dyDescent="0.2">
      <c r="A477" s="170" t="s">
        <v>2254</v>
      </c>
      <c r="B477" s="171">
        <v>14990</v>
      </c>
      <c r="C477" s="172" t="s">
        <v>2255</v>
      </c>
      <c r="D477" s="170" t="s">
        <v>1517</v>
      </c>
      <c r="E477" s="171">
        <v>800</v>
      </c>
      <c r="F477" s="170" t="s">
        <v>936</v>
      </c>
    </row>
    <row r="478" spans="1:6" x14ac:dyDescent="0.2">
      <c r="A478" s="170" t="s">
        <v>2256</v>
      </c>
      <c r="B478" s="171">
        <v>2790</v>
      </c>
      <c r="C478" s="172" t="s">
        <v>2257</v>
      </c>
      <c r="D478" s="170" t="s">
        <v>1064</v>
      </c>
      <c r="E478" s="171">
        <v>150</v>
      </c>
      <c r="F478" s="170" t="s">
        <v>936</v>
      </c>
    </row>
    <row r="479" spans="1:6" x14ac:dyDescent="0.2">
      <c r="A479" s="170" t="s">
        <v>2258</v>
      </c>
      <c r="B479" s="171">
        <v>1990</v>
      </c>
      <c r="C479" s="172" t="s">
        <v>2259</v>
      </c>
      <c r="D479" s="170" t="s">
        <v>1634</v>
      </c>
      <c r="E479" s="171">
        <v>5</v>
      </c>
      <c r="F479" s="170" t="s">
        <v>952</v>
      </c>
    </row>
    <row r="480" spans="1:6" x14ac:dyDescent="0.2">
      <c r="A480" s="170" t="s">
        <v>2260</v>
      </c>
      <c r="B480" s="171">
        <v>2790</v>
      </c>
      <c r="C480" s="172" t="s">
        <v>2261</v>
      </c>
      <c r="D480" s="170" t="s">
        <v>1064</v>
      </c>
      <c r="E480" s="171">
        <v>150</v>
      </c>
      <c r="F480" s="170" t="s">
        <v>936</v>
      </c>
    </row>
    <row r="481" spans="1:6" x14ac:dyDescent="0.2">
      <c r="A481" s="170" t="s">
        <v>2262</v>
      </c>
      <c r="B481" s="171">
        <v>1990</v>
      </c>
      <c r="C481" s="172" t="s">
        <v>2263</v>
      </c>
      <c r="D481" s="170" t="s">
        <v>1634</v>
      </c>
      <c r="E481" s="171">
        <v>200</v>
      </c>
      <c r="F481" s="170" t="s">
        <v>936</v>
      </c>
    </row>
    <row r="482" spans="1:6" x14ac:dyDescent="0.2">
      <c r="A482" s="170" t="s">
        <v>2264</v>
      </c>
      <c r="B482" s="171">
        <v>1690</v>
      </c>
      <c r="C482" s="172" t="s">
        <v>2265</v>
      </c>
      <c r="D482" s="170" t="s">
        <v>1634</v>
      </c>
      <c r="E482" s="171">
        <v>1</v>
      </c>
      <c r="F482" s="170" t="s">
        <v>952</v>
      </c>
    </row>
    <row r="483" spans="1:6" x14ac:dyDescent="0.2">
      <c r="A483" s="170" t="s">
        <v>2266</v>
      </c>
      <c r="B483" s="171">
        <v>2790</v>
      </c>
      <c r="C483" s="172" t="s">
        <v>2267</v>
      </c>
      <c r="D483" s="170" t="s">
        <v>1634</v>
      </c>
      <c r="E483" s="171">
        <v>150</v>
      </c>
      <c r="F483" s="170" t="s">
        <v>936</v>
      </c>
    </row>
    <row r="484" spans="1:6" x14ac:dyDescent="0.2">
      <c r="A484" s="170" t="s">
        <v>2268</v>
      </c>
      <c r="B484" s="171">
        <v>2390</v>
      </c>
      <c r="C484" s="172" t="s">
        <v>2269</v>
      </c>
      <c r="D484" s="170" t="s">
        <v>1634</v>
      </c>
      <c r="E484" s="171">
        <v>150</v>
      </c>
      <c r="F484" s="170" t="s">
        <v>936</v>
      </c>
    </row>
    <row r="485" spans="1:6" x14ac:dyDescent="0.2">
      <c r="A485" s="170" t="s">
        <v>2270</v>
      </c>
      <c r="B485" s="171">
        <v>1290</v>
      </c>
      <c r="C485" s="172" t="s">
        <v>2271</v>
      </c>
      <c r="D485" s="170" t="s">
        <v>1064</v>
      </c>
      <c r="E485" s="171">
        <v>150</v>
      </c>
      <c r="F485" s="170" t="s">
        <v>936</v>
      </c>
    </row>
    <row r="486" spans="1:6" x14ac:dyDescent="0.2">
      <c r="A486" s="170" t="s">
        <v>2272</v>
      </c>
      <c r="B486" s="171">
        <v>2699</v>
      </c>
      <c r="C486" s="172" t="s">
        <v>2273</v>
      </c>
      <c r="D486" s="170" t="s">
        <v>1517</v>
      </c>
      <c r="E486" s="171">
        <v>100</v>
      </c>
      <c r="F486" s="170" t="s">
        <v>936</v>
      </c>
    </row>
    <row r="487" spans="1:6" x14ac:dyDescent="0.2">
      <c r="A487" s="170" t="s">
        <v>2274</v>
      </c>
      <c r="B487" s="171">
        <v>2490</v>
      </c>
      <c r="C487" s="172" t="s">
        <v>2275</v>
      </c>
      <c r="D487" s="170" t="s">
        <v>1634</v>
      </c>
      <c r="E487" s="171">
        <v>200</v>
      </c>
      <c r="F487" s="170" t="s">
        <v>936</v>
      </c>
    </row>
    <row r="488" spans="1:6" x14ac:dyDescent="0.2">
      <c r="A488" s="170" t="s">
        <v>2276</v>
      </c>
      <c r="B488" s="171">
        <v>7990</v>
      </c>
      <c r="C488" s="172" t="s">
        <v>2277</v>
      </c>
      <c r="D488" s="170" t="s">
        <v>1517</v>
      </c>
      <c r="E488" s="171">
        <v>400</v>
      </c>
      <c r="F488" s="170" t="s">
        <v>936</v>
      </c>
    </row>
    <row r="489" spans="1:6" x14ac:dyDescent="0.2">
      <c r="A489" s="170" t="s">
        <v>2278</v>
      </c>
      <c r="B489" s="171">
        <v>3790</v>
      </c>
      <c r="C489" s="172" t="s">
        <v>2279</v>
      </c>
      <c r="D489" s="170" t="s">
        <v>1517</v>
      </c>
      <c r="E489" s="171">
        <v>400</v>
      </c>
      <c r="F489" s="170" t="s">
        <v>936</v>
      </c>
    </row>
    <row r="490" spans="1:6" x14ac:dyDescent="0.2">
      <c r="A490" s="170" t="s">
        <v>2280</v>
      </c>
      <c r="B490" s="171">
        <v>1450</v>
      </c>
      <c r="C490" s="172" t="s">
        <v>2281</v>
      </c>
      <c r="D490" s="170" t="s">
        <v>1064</v>
      </c>
      <c r="E490" s="171">
        <v>30</v>
      </c>
      <c r="F490" s="170" t="s">
        <v>936</v>
      </c>
    </row>
    <row r="491" spans="1:6" x14ac:dyDescent="0.2">
      <c r="A491" s="170" t="s">
        <v>2282</v>
      </c>
      <c r="B491" s="171">
        <v>890</v>
      </c>
      <c r="C491" s="172" t="s">
        <v>2283</v>
      </c>
      <c r="D491" s="170" t="s">
        <v>1517</v>
      </c>
      <c r="E491" s="171">
        <v>100</v>
      </c>
      <c r="F491" s="170" t="s">
        <v>936</v>
      </c>
    </row>
    <row r="492" spans="1:6" x14ac:dyDescent="0.2">
      <c r="A492" s="170" t="s">
        <v>2284</v>
      </c>
      <c r="B492" s="171">
        <v>990</v>
      </c>
      <c r="C492" s="172" t="s">
        <v>2285</v>
      </c>
      <c r="D492" s="170" t="s">
        <v>1517</v>
      </c>
      <c r="E492" s="171">
        <v>100</v>
      </c>
      <c r="F492" s="170" t="s">
        <v>936</v>
      </c>
    </row>
    <row r="493" spans="1:6" x14ac:dyDescent="0.2">
      <c r="A493" s="170" t="s">
        <v>2286</v>
      </c>
      <c r="B493" s="171">
        <v>10990</v>
      </c>
      <c r="C493" s="172" t="s">
        <v>2287</v>
      </c>
      <c r="D493" s="170" t="s">
        <v>1517</v>
      </c>
      <c r="E493" s="171">
        <v>500</v>
      </c>
      <c r="F493" s="170" t="s">
        <v>936</v>
      </c>
    </row>
    <row r="494" spans="1:6" x14ac:dyDescent="0.2">
      <c r="A494" s="170" t="s">
        <v>2288</v>
      </c>
      <c r="B494" s="171">
        <v>1590</v>
      </c>
      <c r="C494" s="172" t="s">
        <v>2289</v>
      </c>
      <c r="D494" s="170" t="s">
        <v>2028</v>
      </c>
      <c r="E494" s="171">
        <v>250</v>
      </c>
      <c r="F494" s="170" t="s">
        <v>936</v>
      </c>
    </row>
    <row r="495" spans="1:6" x14ac:dyDescent="0.2">
      <c r="A495" s="170" t="s">
        <v>774</v>
      </c>
      <c r="B495" s="171">
        <v>999</v>
      </c>
      <c r="C495" s="172" t="s">
        <v>2290</v>
      </c>
      <c r="D495" s="170" t="s">
        <v>1517</v>
      </c>
      <c r="E495" s="171">
        <v>100</v>
      </c>
      <c r="F495" s="170" t="s">
        <v>936</v>
      </c>
    </row>
    <row r="496" spans="1:6" x14ac:dyDescent="0.2">
      <c r="A496" s="170" t="s">
        <v>2291</v>
      </c>
      <c r="B496" s="171">
        <v>4890</v>
      </c>
      <c r="C496" s="172" t="s">
        <v>2292</v>
      </c>
      <c r="D496" s="170" t="s">
        <v>1517</v>
      </c>
      <c r="E496" s="171">
        <v>200</v>
      </c>
      <c r="F496" s="170" t="s">
        <v>936</v>
      </c>
    </row>
    <row r="497" spans="1:6" x14ac:dyDescent="0.2">
      <c r="A497" s="170" t="s">
        <v>2293</v>
      </c>
      <c r="B497" s="171">
        <v>2290</v>
      </c>
      <c r="C497" s="172" t="s">
        <v>2294</v>
      </c>
      <c r="D497" s="170" t="s">
        <v>1517</v>
      </c>
      <c r="E497" s="171">
        <v>300</v>
      </c>
      <c r="F497" s="170" t="s">
        <v>936</v>
      </c>
    </row>
    <row r="498" spans="1:6" x14ac:dyDescent="0.2">
      <c r="A498" s="170" t="s">
        <v>770</v>
      </c>
      <c r="B498" s="171">
        <v>3170</v>
      </c>
      <c r="C498" s="172" t="s">
        <v>2295</v>
      </c>
      <c r="D498" s="170" t="s">
        <v>1517</v>
      </c>
      <c r="E498" s="171">
        <v>300</v>
      </c>
      <c r="F498" s="170" t="s">
        <v>936</v>
      </c>
    </row>
    <row r="499" spans="1:6" x14ac:dyDescent="0.2">
      <c r="A499" s="170" t="s">
        <v>2296</v>
      </c>
      <c r="B499" s="171">
        <v>4390</v>
      </c>
      <c r="C499" s="172" t="s">
        <v>2297</v>
      </c>
      <c r="D499" s="170" t="s">
        <v>1517</v>
      </c>
      <c r="E499" s="171">
        <v>175</v>
      </c>
      <c r="F499" s="170" t="s">
        <v>936</v>
      </c>
    </row>
    <row r="500" spans="1:6" x14ac:dyDescent="0.2">
      <c r="A500" s="170" t="s">
        <v>2298</v>
      </c>
      <c r="B500" s="171">
        <v>6990</v>
      </c>
      <c r="C500" s="172" t="s">
        <v>2299</v>
      </c>
      <c r="D500" s="170" t="s">
        <v>1517</v>
      </c>
      <c r="E500" s="171">
        <v>700</v>
      </c>
      <c r="F500" s="170" t="s">
        <v>936</v>
      </c>
    </row>
    <row r="501" spans="1:6" x14ac:dyDescent="0.2">
      <c r="A501" s="170" t="s">
        <v>2300</v>
      </c>
      <c r="B501" s="171">
        <v>1190</v>
      </c>
      <c r="C501" s="172" t="s">
        <v>2301</v>
      </c>
      <c r="D501" s="170" t="s">
        <v>1517</v>
      </c>
      <c r="E501" s="171">
        <v>100</v>
      </c>
      <c r="F501" s="170" t="s">
        <v>936</v>
      </c>
    </row>
    <row r="502" spans="1:6" x14ac:dyDescent="0.2">
      <c r="A502" s="170" t="s">
        <v>2302</v>
      </c>
      <c r="B502" s="171">
        <v>1990</v>
      </c>
      <c r="C502" s="172" t="s">
        <v>2303</v>
      </c>
      <c r="D502" s="170" t="s">
        <v>1517</v>
      </c>
      <c r="E502" s="171">
        <v>250</v>
      </c>
      <c r="F502" s="170" t="s">
        <v>936</v>
      </c>
    </row>
    <row r="503" spans="1:6" x14ac:dyDescent="0.2">
      <c r="A503" s="170" t="s">
        <v>609</v>
      </c>
      <c r="B503" s="171">
        <v>1650</v>
      </c>
      <c r="C503" s="172" t="s">
        <v>2304</v>
      </c>
      <c r="D503" s="170" t="s">
        <v>1517</v>
      </c>
      <c r="E503" s="171">
        <v>100</v>
      </c>
      <c r="F503" s="170" t="s">
        <v>936</v>
      </c>
    </row>
    <row r="504" spans="1:6" x14ac:dyDescent="0.2">
      <c r="A504" s="170" t="s">
        <v>2305</v>
      </c>
      <c r="B504" s="171">
        <v>2890</v>
      </c>
      <c r="C504" s="172" t="s">
        <v>2306</v>
      </c>
      <c r="D504" s="170" t="s">
        <v>1517</v>
      </c>
      <c r="E504" s="171">
        <v>100</v>
      </c>
      <c r="F504" s="170" t="s">
        <v>936</v>
      </c>
    </row>
    <row r="505" spans="1:6" x14ac:dyDescent="0.2">
      <c r="A505" s="170" t="s">
        <v>2307</v>
      </c>
      <c r="B505" s="171">
        <v>1850</v>
      </c>
      <c r="C505" s="172" t="s">
        <v>2308</v>
      </c>
      <c r="D505" s="170" t="s">
        <v>1064</v>
      </c>
      <c r="E505" s="171">
        <v>40</v>
      </c>
      <c r="F505" s="170" t="s">
        <v>936</v>
      </c>
    </row>
    <row r="506" spans="1:6" x14ac:dyDescent="0.2">
      <c r="A506" s="170" t="s">
        <v>2153</v>
      </c>
      <c r="B506" s="171">
        <v>5890</v>
      </c>
      <c r="C506" s="172" t="s">
        <v>2309</v>
      </c>
      <c r="D506" s="170" t="s">
        <v>1517</v>
      </c>
      <c r="E506" s="171">
        <v>200</v>
      </c>
      <c r="F506" s="170" t="s">
        <v>936</v>
      </c>
    </row>
    <row r="507" spans="1:6" x14ac:dyDescent="0.2">
      <c r="A507" s="170" t="s">
        <v>2310</v>
      </c>
      <c r="B507" s="171">
        <v>3590</v>
      </c>
      <c r="C507" s="172" t="s">
        <v>2311</v>
      </c>
      <c r="D507" s="170" t="s">
        <v>1517</v>
      </c>
      <c r="E507" s="171">
        <v>700</v>
      </c>
      <c r="F507" s="170" t="s">
        <v>936</v>
      </c>
    </row>
    <row r="508" spans="1:6" x14ac:dyDescent="0.2">
      <c r="A508" s="170" t="s">
        <v>2312</v>
      </c>
      <c r="B508" s="171">
        <v>5990</v>
      </c>
      <c r="C508" s="172" t="s">
        <v>2313</v>
      </c>
      <c r="D508" s="170" t="s">
        <v>1517</v>
      </c>
      <c r="E508" s="171">
        <v>250</v>
      </c>
      <c r="F508" s="170" t="s">
        <v>936</v>
      </c>
    </row>
    <row r="509" spans="1:6" x14ac:dyDescent="0.2">
      <c r="A509" s="170" t="s">
        <v>2314</v>
      </c>
      <c r="B509" s="171">
        <v>12990</v>
      </c>
      <c r="C509" s="172" t="s">
        <v>2315</v>
      </c>
      <c r="D509" s="170" t="s">
        <v>1517</v>
      </c>
      <c r="E509" s="171">
        <v>700</v>
      </c>
      <c r="F509" s="170" t="s">
        <v>936</v>
      </c>
    </row>
    <row r="510" spans="1:6" x14ac:dyDescent="0.2">
      <c r="A510" s="170" t="s">
        <v>2316</v>
      </c>
      <c r="B510" s="171">
        <v>4990</v>
      </c>
      <c r="C510" s="172" t="s">
        <v>2317</v>
      </c>
      <c r="D510" s="170" t="s">
        <v>1517</v>
      </c>
      <c r="E510" s="171">
        <v>200</v>
      </c>
      <c r="F510" s="170" t="s">
        <v>936</v>
      </c>
    </row>
    <row r="511" spans="1:6" x14ac:dyDescent="0.2">
      <c r="A511" s="170" t="s">
        <v>2318</v>
      </c>
      <c r="B511" s="171">
        <v>4690</v>
      </c>
      <c r="C511" s="172" t="s">
        <v>2319</v>
      </c>
      <c r="D511" s="170" t="s">
        <v>1517</v>
      </c>
      <c r="E511" s="171">
        <v>400</v>
      </c>
      <c r="F511" s="170" t="s">
        <v>936</v>
      </c>
    </row>
    <row r="512" spans="1:6" x14ac:dyDescent="0.2">
      <c r="A512" s="170" t="s">
        <v>2320</v>
      </c>
      <c r="B512" s="171">
        <v>5990</v>
      </c>
      <c r="C512" s="172" t="s">
        <v>2321</v>
      </c>
      <c r="D512" s="170" t="s">
        <v>1517</v>
      </c>
      <c r="E512" s="171">
        <v>700</v>
      </c>
      <c r="F512" s="170" t="s">
        <v>936</v>
      </c>
    </row>
    <row r="513" spans="1:6" x14ac:dyDescent="0.2">
      <c r="A513" s="170" t="s">
        <v>2322</v>
      </c>
      <c r="B513" s="171">
        <v>6690</v>
      </c>
      <c r="C513" s="172" t="s">
        <v>2323</v>
      </c>
      <c r="D513" s="170" t="s">
        <v>1517</v>
      </c>
      <c r="E513" s="171">
        <v>300</v>
      </c>
      <c r="F513" s="170" t="s">
        <v>936</v>
      </c>
    </row>
    <row r="514" spans="1:6" x14ac:dyDescent="0.2">
      <c r="A514" s="170" t="s">
        <v>2324</v>
      </c>
      <c r="B514" s="171">
        <v>2490</v>
      </c>
      <c r="C514" s="172" t="s">
        <v>2325</v>
      </c>
      <c r="D514" s="170" t="s">
        <v>1517</v>
      </c>
      <c r="E514" s="171">
        <v>300</v>
      </c>
      <c r="F514" s="170" t="s">
        <v>936</v>
      </c>
    </row>
    <row r="515" spans="1:6" x14ac:dyDescent="0.2">
      <c r="A515" s="170" t="s">
        <v>2326</v>
      </c>
      <c r="B515" s="171">
        <v>6990</v>
      </c>
      <c r="C515" s="172" t="s">
        <v>2327</v>
      </c>
      <c r="D515" s="170" t="s">
        <v>1517</v>
      </c>
      <c r="E515" s="171">
        <v>300</v>
      </c>
      <c r="F515" s="170" t="s">
        <v>936</v>
      </c>
    </row>
    <row r="516" spans="1:6" x14ac:dyDescent="0.2">
      <c r="A516" s="170" t="s">
        <v>2328</v>
      </c>
      <c r="B516" s="171">
        <v>8990</v>
      </c>
      <c r="C516" s="172" t="s">
        <v>2329</v>
      </c>
      <c r="D516" s="170" t="s">
        <v>1517</v>
      </c>
      <c r="E516" s="171">
        <v>700</v>
      </c>
      <c r="F516" s="170" t="s">
        <v>936</v>
      </c>
    </row>
    <row r="517" spans="1:6" x14ac:dyDescent="0.2">
      <c r="A517" s="170" t="s">
        <v>2330</v>
      </c>
      <c r="B517" s="171">
        <v>7990</v>
      </c>
      <c r="C517" s="172" t="s">
        <v>2331</v>
      </c>
      <c r="D517" s="170" t="s">
        <v>1517</v>
      </c>
      <c r="E517" s="171">
        <v>700</v>
      </c>
      <c r="F517" s="170" t="s">
        <v>936</v>
      </c>
    </row>
    <row r="518" spans="1:6" x14ac:dyDescent="0.2">
      <c r="A518" s="170" t="s">
        <v>2332</v>
      </c>
      <c r="B518" s="171">
        <v>2390</v>
      </c>
      <c r="C518" s="172" t="s">
        <v>2333</v>
      </c>
      <c r="D518" s="170" t="s">
        <v>1517</v>
      </c>
      <c r="E518" s="171">
        <v>150</v>
      </c>
      <c r="F518" s="170" t="s">
        <v>936</v>
      </c>
    </row>
    <row r="519" spans="1:6" x14ac:dyDescent="0.2">
      <c r="A519" s="170" t="s">
        <v>2334</v>
      </c>
      <c r="B519" s="171">
        <v>3290</v>
      </c>
      <c r="C519" s="172" t="s">
        <v>2335</v>
      </c>
      <c r="D519" s="170" t="s">
        <v>1517</v>
      </c>
      <c r="E519" s="171">
        <v>300</v>
      </c>
      <c r="F519" s="170" t="s">
        <v>936</v>
      </c>
    </row>
    <row r="520" spans="1:6" x14ac:dyDescent="0.2">
      <c r="A520" s="170" t="s">
        <v>2091</v>
      </c>
      <c r="B520" s="171">
        <v>10990</v>
      </c>
      <c r="C520" s="172" t="s">
        <v>2336</v>
      </c>
      <c r="D520" s="170" t="s">
        <v>1517</v>
      </c>
      <c r="E520" s="171">
        <v>1</v>
      </c>
      <c r="F520" s="170" t="s">
        <v>925</v>
      </c>
    </row>
    <row r="521" spans="1:6" x14ac:dyDescent="0.2">
      <c r="A521" s="170" t="s">
        <v>2337</v>
      </c>
      <c r="B521" s="171">
        <v>1095</v>
      </c>
      <c r="C521" s="172" t="s">
        <v>2338</v>
      </c>
      <c r="D521" s="170" t="s">
        <v>924</v>
      </c>
      <c r="E521" s="171">
        <v>1</v>
      </c>
      <c r="F521" s="170" t="s">
        <v>925</v>
      </c>
    </row>
    <row r="522" spans="1:6" x14ac:dyDescent="0.2">
      <c r="A522" s="170" t="s">
        <v>2339</v>
      </c>
      <c r="B522" s="171">
        <v>1690</v>
      </c>
      <c r="C522" s="172" t="s">
        <v>2340</v>
      </c>
      <c r="D522" s="170" t="s">
        <v>1064</v>
      </c>
      <c r="E522" s="171">
        <v>60</v>
      </c>
      <c r="F522" s="170" t="s">
        <v>936</v>
      </c>
    </row>
    <row r="523" spans="1:6" x14ac:dyDescent="0.2">
      <c r="A523" s="170" t="s">
        <v>2341</v>
      </c>
      <c r="B523" s="171">
        <v>1790</v>
      </c>
      <c r="C523" s="172" t="s">
        <v>2342</v>
      </c>
      <c r="D523" s="170" t="s">
        <v>1634</v>
      </c>
      <c r="E523" s="171">
        <v>200</v>
      </c>
      <c r="F523" s="170" t="s">
        <v>936</v>
      </c>
    </row>
    <row r="524" spans="1:6" x14ac:dyDescent="0.2">
      <c r="A524" s="170" t="s">
        <v>585</v>
      </c>
      <c r="B524" s="171">
        <v>1690</v>
      </c>
      <c r="C524" s="172" t="s">
        <v>2343</v>
      </c>
      <c r="D524" s="170" t="s">
        <v>1064</v>
      </c>
      <c r="E524" s="171">
        <v>1</v>
      </c>
      <c r="F524" s="170" t="s">
        <v>952</v>
      </c>
    </row>
    <row r="525" spans="1:6" x14ac:dyDescent="0.2">
      <c r="A525" s="170" t="s">
        <v>2344</v>
      </c>
      <c r="B525" s="171">
        <v>3690</v>
      </c>
      <c r="C525" s="172" t="s">
        <v>2345</v>
      </c>
      <c r="D525" s="170" t="s">
        <v>1064</v>
      </c>
      <c r="E525" s="171">
        <v>1</v>
      </c>
      <c r="F525" s="170" t="s">
        <v>952</v>
      </c>
    </row>
    <row r="526" spans="1:6" x14ac:dyDescent="0.2">
      <c r="A526" s="170" t="s">
        <v>2346</v>
      </c>
      <c r="B526" s="171">
        <v>1600</v>
      </c>
      <c r="C526" s="172" t="s">
        <v>2347</v>
      </c>
      <c r="D526" s="170" t="s">
        <v>1064</v>
      </c>
      <c r="E526" s="171">
        <v>400</v>
      </c>
      <c r="F526" s="170" t="s">
        <v>936</v>
      </c>
    </row>
    <row r="527" spans="1:6" x14ac:dyDescent="0.2">
      <c r="A527" s="170" t="s">
        <v>2348</v>
      </c>
      <c r="B527" s="171">
        <v>2990</v>
      </c>
      <c r="C527" s="172" t="s">
        <v>2349</v>
      </c>
      <c r="D527" s="170" t="s">
        <v>924</v>
      </c>
      <c r="E527" s="171">
        <v>1</v>
      </c>
      <c r="F527" s="170" t="s">
        <v>925</v>
      </c>
    </row>
    <row r="528" spans="1:6" x14ac:dyDescent="0.2">
      <c r="A528" s="170" t="s">
        <v>2350</v>
      </c>
      <c r="B528" s="171">
        <v>1095</v>
      </c>
      <c r="C528" s="172" t="s">
        <v>2351</v>
      </c>
      <c r="D528" s="170" t="s">
        <v>924</v>
      </c>
      <c r="E528" s="171">
        <v>1</v>
      </c>
      <c r="F528" s="170" t="s">
        <v>925</v>
      </c>
    </row>
    <row r="529" spans="1:6" x14ac:dyDescent="0.2">
      <c r="A529" s="170" t="s">
        <v>2352</v>
      </c>
      <c r="B529" s="171">
        <v>2790</v>
      </c>
      <c r="C529" s="172" t="s">
        <v>2353</v>
      </c>
      <c r="D529" s="170" t="s">
        <v>1064</v>
      </c>
      <c r="E529" s="171">
        <v>150</v>
      </c>
      <c r="F529" s="170" t="s">
        <v>936</v>
      </c>
    </row>
    <row r="530" spans="1:6" x14ac:dyDescent="0.2">
      <c r="A530" s="170" t="s">
        <v>470</v>
      </c>
      <c r="B530" s="171">
        <v>2490</v>
      </c>
      <c r="C530" s="172" t="s">
        <v>2354</v>
      </c>
      <c r="D530" s="170" t="s">
        <v>924</v>
      </c>
      <c r="E530" s="171">
        <v>125</v>
      </c>
      <c r="F530" s="170" t="s">
        <v>936</v>
      </c>
    </row>
    <row r="531" spans="1:6" x14ac:dyDescent="0.2">
      <c r="A531" s="170" t="s">
        <v>2355</v>
      </c>
      <c r="B531" s="171">
        <v>2490</v>
      </c>
      <c r="C531" s="172" t="s">
        <v>2356</v>
      </c>
      <c r="D531" s="170" t="s">
        <v>1064</v>
      </c>
      <c r="E531" s="171">
        <v>400</v>
      </c>
      <c r="F531" s="170" t="s">
        <v>936</v>
      </c>
    </row>
    <row r="532" spans="1:6" x14ac:dyDescent="0.2">
      <c r="A532" s="170" t="s">
        <v>2357</v>
      </c>
      <c r="B532" s="171">
        <v>2790</v>
      </c>
      <c r="C532" s="172" t="s">
        <v>2358</v>
      </c>
      <c r="D532" s="170" t="s">
        <v>1064</v>
      </c>
      <c r="E532" s="171">
        <v>150</v>
      </c>
      <c r="F532" s="170" t="s">
        <v>936</v>
      </c>
    </row>
    <row r="533" spans="1:6" x14ac:dyDescent="0.2">
      <c r="A533" s="170" t="s">
        <v>2359</v>
      </c>
      <c r="B533" s="171">
        <v>2990</v>
      </c>
      <c r="C533" s="172" t="s">
        <v>2360</v>
      </c>
      <c r="D533" s="170" t="s">
        <v>1064</v>
      </c>
      <c r="E533" s="171">
        <v>250</v>
      </c>
      <c r="F533" s="170" t="s">
        <v>936</v>
      </c>
    </row>
    <row r="534" spans="1:6" x14ac:dyDescent="0.2">
      <c r="A534" s="170" t="s">
        <v>2361</v>
      </c>
      <c r="B534" s="171">
        <v>1695</v>
      </c>
      <c r="C534" s="172" t="s">
        <v>2362</v>
      </c>
      <c r="D534" s="170" t="s">
        <v>924</v>
      </c>
      <c r="E534" s="171">
        <v>1</v>
      </c>
      <c r="F534" s="170" t="s">
        <v>925</v>
      </c>
    </row>
    <row r="535" spans="1:6" x14ac:dyDescent="0.2">
      <c r="A535" s="170" t="s">
        <v>2363</v>
      </c>
      <c r="B535" s="171">
        <v>2145</v>
      </c>
      <c r="C535" s="172" t="s">
        <v>2364</v>
      </c>
      <c r="D535" s="170" t="s">
        <v>924</v>
      </c>
      <c r="E535" s="171">
        <v>1</v>
      </c>
      <c r="F535" s="170" t="s">
        <v>925</v>
      </c>
    </row>
    <row r="536" spans="1:6" x14ac:dyDescent="0.2">
      <c r="A536" s="170" t="s">
        <v>2365</v>
      </c>
      <c r="B536" s="171">
        <v>1495</v>
      </c>
      <c r="C536" s="172" t="s">
        <v>2366</v>
      </c>
      <c r="D536" s="170" t="s">
        <v>924</v>
      </c>
      <c r="E536" s="171">
        <v>1</v>
      </c>
      <c r="F536" s="170" t="s">
        <v>925</v>
      </c>
    </row>
    <row r="537" spans="1:6" x14ac:dyDescent="0.2">
      <c r="A537" s="170" t="s">
        <v>2367</v>
      </c>
      <c r="B537" s="171">
        <v>2995</v>
      </c>
      <c r="C537" s="172" t="s">
        <v>2368</v>
      </c>
      <c r="D537" s="170" t="s">
        <v>1064</v>
      </c>
      <c r="E537" s="171">
        <v>1</v>
      </c>
      <c r="F537" s="170" t="s">
        <v>925</v>
      </c>
    </row>
    <row r="538" spans="1:6" x14ac:dyDescent="0.2">
      <c r="A538" s="170" t="s">
        <v>2369</v>
      </c>
      <c r="B538" s="171">
        <v>1995</v>
      </c>
      <c r="C538" s="172" t="s">
        <v>2370</v>
      </c>
      <c r="D538" s="170" t="s">
        <v>924</v>
      </c>
      <c r="E538" s="171">
        <v>1</v>
      </c>
      <c r="F538" s="170" t="s">
        <v>925</v>
      </c>
    </row>
    <row r="539" spans="1:6" x14ac:dyDescent="0.2">
      <c r="A539" s="170" t="s">
        <v>2371</v>
      </c>
      <c r="B539" s="171">
        <v>1190</v>
      </c>
      <c r="C539" s="172" t="s">
        <v>2372</v>
      </c>
      <c r="D539" s="170" t="s">
        <v>1634</v>
      </c>
      <c r="E539" s="171">
        <v>1</v>
      </c>
      <c r="F539" s="170" t="s">
        <v>952</v>
      </c>
    </row>
    <row r="540" spans="1:6" x14ac:dyDescent="0.2">
      <c r="A540" s="170" t="s">
        <v>2373</v>
      </c>
      <c r="B540" s="171">
        <v>5490</v>
      </c>
      <c r="C540" s="172" t="s">
        <v>2374</v>
      </c>
      <c r="D540" s="170" t="s">
        <v>1634</v>
      </c>
      <c r="E540" s="171">
        <v>900</v>
      </c>
      <c r="F540" s="170" t="s">
        <v>936</v>
      </c>
    </row>
    <row r="541" spans="1:6" x14ac:dyDescent="0.2">
      <c r="A541" s="170" t="s">
        <v>2375</v>
      </c>
      <c r="B541" s="171">
        <v>1190</v>
      </c>
      <c r="C541" s="172" t="s">
        <v>2376</v>
      </c>
      <c r="D541" s="170" t="s">
        <v>1634</v>
      </c>
      <c r="E541" s="171">
        <v>1</v>
      </c>
      <c r="F541" s="170" t="s">
        <v>952</v>
      </c>
    </row>
    <row r="542" spans="1:6" x14ac:dyDescent="0.2">
      <c r="A542" s="170" t="s">
        <v>898</v>
      </c>
      <c r="B542" s="171">
        <v>5592</v>
      </c>
      <c r="C542" s="172" t="s">
        <v>2377</v>
      </c>
      <c r="D542" s="170" t="s">
        <v>924</v>
      </c>
      <c r="E542" s="171">
        <v>1</v>
      </c>
      <c r="F542" s="170" t="s">
        <v>925</v>
      </c>
    </row>
    <row r="543" spans="1:6" x14ac:dyDescent="0.2">
      <c r="A543" s="170" t="s">
        <v>2378</v>
      </c>
      <c r="B543" s="171">
        <v>1645</v>
      </c>
      <c r="C543" s="172" t="s">
        <v>2379</v>
      </c>
      <c r="D543" s="170" t="s">
        <v>924</v>
      </c>
      <c r="E543" s="171">
        <v>1</v>
      </c>
      <c r="F543" s="170" t="s">
        <v>925</v>
      </c>
    </row>
    <row r="544" spans="1:6" x14ac:dyDescent="0.2">
      <c r="A544" s="170" t="s">
        <v>658</v>
      </c>
      <c r="B544" s="171">
        <v>1360</v>
      </c>
      <c r="C544" s="172" t="s">
        <v>2380</v>
      </c>
      <c r="D544" s="170" t="s">
        <v>1064</v>
      </c>
      <c r="E544" s="171">
        <v>1</v>
      </c>
      <c r="F544" s="170" t="s">
        <v>952</v>
      </c>
    </row>
    <row r="545" spans="1:6" x14ac:dyDescent="0.2">
      <c r="A545" s="170" t="s">
        <v>2381</v>
      </c>
      <c r="B545" s="171">
        <v>2890</v>
      </c>
      <c r="C545" s="172" t="s">
        <v>2382</v>
      </c>
      <c r="D545" s="170" t="s">
        <v>1634</v>
      </c>
      <c r="E545" s="171">
        <v>250</v>
      </c>
      <c r="F545" s="170" t="s">
        <v>936</v>
      </c>
    </row>
    <row r="546" spans="1:6" x14ac:dyDescent="0.2">
      <c r="A546" s="170" t="s">
        <v>2383</v>
      </c>
      <c r="B546" s="171">
        <v>2490</v>
      </c>
      <c r="C546" s="172" t="s">
        <v>2384</v>
      </c>
      <c r="D546" s="170" t="s">
        <v>1634</v>
      </c>
      <c r="E546" s="171">
        <v>900</v>
      </c>
      <c r="F546" s="170" t="s">
        <v>936</v>
      </c>
    </row>
    <row r="547" spans="1:6" x14ac:dyDescent="0.2">
      <c r="A547" s="170" t="s">
        <v>2385</v>
      </c>
      <c r="B547" s="171">
        <v>2490</v>
      </c>
      <c r="C547" s="172" t="s">
        <v>2386</v>
      </c>
      <c r="D547" s="170" t="s">
        <v>1634</v>
      </c>
      <c r="E547" s="171">
        <v>900</v>
      </c>
      <c r="F547" s="170" t="s">
        <v>936</v>
      </c>
    </row>
    <row r="548" spans="1:6" x14ac:dyDescent="0.2">
      <c r="A548" s="170" t="s">
        <v>2387</v>
      </c>
      <c r="B548" s="171">
        <v>2790</v>
      </c>
      <c r="C548" s="172" t="s">
        <v>2388</v>
      </c>
      <c r="D548" s="170" t="s">
        <v>1634</v>
      </c>
      <c r="E548" s="171">
        <v>100</v>
      </c>
      <c r="F548" s="170" t="s">
        <v>936</v>
      </c>
    </row>
    <row r="549" spans="1:6" x14ac:dyDescent="0.2">
      <c r="A549" s="170" t="s">
        <v>2389</v>
      </c>
      <c r="B549" s="171">
        <v>2590</v>
      </c>
      <c r="C549" s="172" t="s">
        <v>2390</v>
      </c>
      <c r="D549" s="170" t="s">
        <v>1634</v>
      </c>
      <c r="E549" s="171">
        <v>120</v>
      </c>
      <c r="F549" s="170" t="s">
        <v>936</v>
      </c>
    </row>
    <row r="550" spans="1:6" x14ac:dyDescent="0.2">
      <c r="A550" s="170" t="s">
        <v>2391</v>
      </c>
      <c r="B550" s="171">
        <v>2190</v>
      </c>
      <c r="C550" s="172" t="s">
        <v>2392</v>
      </c>
      <c r="D550" s="170" t="s">
        <v>1634</v>
      </c>
      <c r="E550" s="171">
        <v>6</v>
      </c>
      <c r="F550" s="170" t="s">
        <v>952</v>
      </c>
    </row>
    <row r="551" spans="1:6" x14ac:dyDescent="0.2">
      <c r="A551" s="170" t="s">
        <v>2393</v>
      </c>
      <c r="B551" s="171">
        <v>1690</v>
      </c>
      <c r="C551" s="172" t="s">
        <v>2394</v>
      </c>
      <c r="D551" s="170" t="s">
        <v>1634</v>
      </c>
      <c r="E551" s="171">
        <v>1</v>
      </c>
      <c r="F551" s="170" t="s">
        <v>952</v>
      </c>
    </row>
    <row r="552" spans="1:6" x14ac:dyDescent="0.2">
      <c r="A552" s="170" t="s">
        <v>2395</v>
      </c>
      <c r="B552" s="171">
        <v>3490</v>
      </c>
      <c r="C552" s="172" t="s">
        <v>2396</v>
      </c>
      <c r="D552" s="170" t="s">
        <v>924</v>
      </c>
      <c r="E552" s="171">
        <v>125</v>
      </c>
      <c r="F552" s="170" t="s">
        <v>936</v>
      </c>
    </row>
    <row r="553" spans="1:6" x14ac:dyDescent="0.2">
      <c r="A553" s="170" t="s">
        <v>2397</v>
      </c>
      <c r="B553" s="171">
        <v>2990</v>
      </c>
      <c r="C553" s="172" t="s">
        <v>2398</v>
      </c>
      <c r="D553" s="170" t="s">
        <v>1064</v>
      </c>
      <c r="E553" s="171">
        <v>150</v>
      </c>
      <c r="F553" s="170" t="s">
        <v>936</v>
      </c>
    </row>
    <row r="554" spans="1:6" x14ac:dyDescent="0.2">
      <c r="A554" s="170" t="s">
        <v>2399</v>
      </c>
      <c r="B554" s="171">
        <v>1360</v>
      </c>
      <c r="C554" s="172" t="s">
        <v>2400</v>
      </c>
      <c r="D554" s="170" t="s">
        <v>1064</v>
      </c>
      <c r="E554" s="171">
        <v>1</v>
      </c>
      <c r="F554" s="170" t="s">
        <v>952</v>
      </c>
    </row>
    <row r="555" spans="1:6" x14ac:dyDescent="0.2">
      <c r="A555" s="170" t="s">
        <v>2401</v>
      </c>
      <c r="B555" s="171">
        <v>1360</v>
      </c>
      <c r="C555" s="172" t="s">
        <v>2402</v>
      </c>
      <c r="D555" s="170" t="s">
        <v>1064</v>
      </c>
      <c r="E555" s="171">
        <v>1</v>
      </c>
      <c r="F555" s="170" t="s">
        <v>952</v>
      </c>
    </row>
    <row r="556" spans="1:6" x14ac:dyDescent="0.2">
      <c r="A556" s="170" t="s">
        <v>2403</v>
      </c>
      <c r="B556" s="171">
        <v>1090</v>
      </c>
      <c r="C556" s="172" t="s">
        <v>2404</v>
      </c>
      <c r="D556" s="170" t="s">
        <v>1064</v>
      </c>
      <c r="E556" s="171">
        <v>8</v>
      </c>
      <c r="F556" s="170" t="s">
        <v>936</v>
      </c>
    </row>
    <row r="557" spans="1:6" x14ac:dyDescent="0.2">
      <c r="A557" s="170" t="s">
        <v>2405</v>
      </c>
      <c r="B557" s="171">
        <v>890</v>
      </c>
      <c r="C557" s="172" t="s">
        <v>2406</v>
      </c>
      <c r="D557" s="170" t="s">
        <v>1064</v>
      </c>
      <c r="E557" s="171">
        <v>1</v>
      </c>
      <c r="F557" s="170" t="s">
        <v>952</v>
      </c>
    </row>
    <row r="558" spans="1:6" x14ac:dyDescent="0.2">
      <c r="A558" s="170" t="s">
        <v>2407</v>
      </c>
      <c r="B558" s="171">
        <v>3490</v>
      </c>
      <c r="C558" s="172" t="s">
        <v>2408</v>
      </c>
      <c r="D558" s="170" t="s">
        <v>1064</v>
      </c>
      <c r="E558" s="171">
        <v>200</v>
      </c>
      <c r="F558" s="170" t="s">
        <v>936</v>
      </c>
    </row>
    <row r="559" spans="1:6" x14ac:dyDescent="0.2">
      <c r="A559" s="170" t="s">
        <v>2409</v>
      </c>
      <c r="B559" s="171">
        <v>2190</v>
      </c>
      <c r="C559" s="172" t="s">
        <v>2410</v>
      </c>
      <c r="D559" s="170" t="s">
        <v>1634</v>
      </c>
      <c r="E559" s="171">
        <v>6</v>
      </c>
      <c r="F559" s="170" t="s">
        <v>952</v>
      </c>
    </row>
    <row r="560" spans="1:6" x14ac:dyDescent="0.2">
      <c r="A560" s="170" t="s">
        <v>2411</v>
      </c>
      <c r="B560" s="171">
        <v>1790</v>
      </c>
      <c r="C560" s="172" t="s">
        <v>2412</v>
      </c>
      <c r="D560" s="170" t="s">
        <v>1634</v>
      </c>
      <c r="E560" s="171">
        <v>1</v>
      </c>
      <c r="F560" s="170" t="s">
        <v>952</v>
      </c>
    </row>
    <row r="561" spans="1:6" x14ac:dyDescent="0.2">
      <c r="A561" s="170" t="s">
        <v>2413</v>
      </c>
      <c r="B561" s="171">
        <v>890</v>
      </c>
      <c r="C561" s="172" t="s">
        <v>2414</v>
      </c>
      <c r="D561" s="170" t="s">
        <v>1064</v>
      </c>
      <c r="E561" s="171">
        <v>1</v>
      </c>
      <c r="F561" s="170" t="s">
        <v>952</v>
      </c>
    </row>
    <row r="562" spans="1:6" x14ac:dyDescent="0.2">
      <c r="A562" s="170" t="s">
        <v>2415</v>
      </c>
      <c r="B562" s="171">
        <v>1990</v>
      </c>
      <c r="C562" s="172" t="s">
        <v>2416</v>
      </c>
      <c r="D562" s="170" t="s">
        <v>1064</v>
      </c>
      <c r="E562" s="171">
        <v>1</v>
      </c>
      <c r="F562" s="170" t="s">
        <v>952</v>
      </c>
    </row>
    <row r="563" spans="1:6" x14ac:dyDescent="0.2">
      <c r="A563" s="170" t="s">
        <v>2417</v>
      </c>
      <c r="B563" s="171">
        <v>2290</v>
      </c>
      <c r="C563" s="172" t="s">
        <v>2418</v>
      </c>
      <c r="D563" s="170" t="s">
        <v>1517</v>
      </c>
      <c r="E563" s="171">
        <v>300</v>
      </c>
      <c r="F563" s="170" t="s">
        <v>936</v>
      </c>
    </row>
    <row r="564" spans="1:6" x14ac:dyDescent="0.2">
      <c r="A564" s="170" t="s">
        <v>2419</v>
      </c>
      <c r="B564" s="171">
        <v>1090</v>
      </c>
      <c r="C564" s="172" t="s">
        <v>2420</v>
      </c>
      <c r="D564" s="170" t="s">
        <v>1064</v>
      </c>
      <c r="E564" s="171">
        <v>8</v>
      </c>
      <c r="F564" s="170" t="s">
        <v>936</v>
      </c>
    </row>
    <row r="565" spans="1:6" x14ac:dyDescent="0.2">
      <c r="A565" s="170" t="s">
        <v>2421</v>
      </c>
      <c r="B565" s="171">
        <v>2690</v>
      </c>
      <c r="C565" s="172" t="s">
        <v>2422</v>
      </c>
      <c r="D565" s="170" t="s">
        <v>1064</v>
      </c>
      <c r="E565" s="171">
        <v>30</v>
      </c>
      <c r="F565" s="170" t="s">
        <v>936</v>
      </c>
    </row>
    <row r="566" spans="1:6" x14ac:dyDescent="0.2">
      <c r="A566" s="170" t="s">
        <v>2423</v>
      </c>
      <c r="B566" s="171">
        <v>3690</v>
      </c>
      <c r="C566" s="172" t="s">
        <v>2424</v>
      </c>
      <c r="D566" s="170" t="s">
        <v>1064</v>
      </c>
      <c r="E566" s="171">
        <v>2</v>
      </c>
      <c r="F566" s="170" t="s">
        <v>952</v>
      </c>
    </row>
    <row r="567" spans="1:6" x14ac:dyDescent="0.2">
      <c r="A567" s="170" t="s">
        <v>2425</v>
      </c>
      <c r="B567" s="171">
        <v>1790</v>
      </c>
      <c r="C567" s="172" t="s">
        <v>2426</v>
      </c>
      <c r="D567" s="170" t="s">
        <v>1634</v>
      </c>
      <c r="E567" s="171">
        <v>200</v>
      </c>
      <c r="F567" s="170" t="s">
        <v>936</v>
      </c>
    </row>
    <row r="568" spans="1:6" x14ac:dyDescent="0.2">
      <c r="A568" s="170" t="s">
        <v>2427</v>
      </c>
      <c r="B568" s="171">
        <v>4290</v>
      </c>
      <c r="C568" s="172" t="s">
        <v>2428</v>
      </c>
      <c r="D568" s="170" t="s">
        <v>1634</v>
      </c>
      <c r="E568" s="171">
        <v>500</v>
      </c>
      <c r="F568" s="170" t="s">
        <v>936</v>
      </c>
    </row>
    <row r="569" spans="1:6" x14ac:dyDescent="0.2">
      <c r="A569" s="170" t="s">
        <v>2429</v>
      </c>
      <c r="B569" s="171">
        <v>3990</v>
      </c>
      <c r="C569" s="172" t="s">
        <v>2430</v>
      </c>
      <c r="D569" s="170" t="s">
        <v>924</v>
      </c>
      <c r="E569" s="171">
        <v>500</v>
      </c>
      <c r="F569" s="170" t="s">
        <v>936</v>
      </c>
    </row>
    <row r="570" spans="1:6" x14ac:dyDescent="0.2">
      <c r="A570" s="170" t="s">
        <v>2431</v>
      </c>
      <c r="B570" s="171">
        <v>4290</v>
      </c>
      <c r="C570" s="172" t="s">
        <v>2432</v>
      </c>
      <c r="D570" s="170" t="s">
        <v>1517</v>
      </c>
      <c r="E570" s="171">
        <v>180</v>
      </c>
      <c r="F570" s="170" t="s">
        <v>936</v>
      </c>
    </row>
    <row r="571" spans="1:6" x14ac:dyDescent="0.2">
      <c r="A571" s="170" t="s">
        <v>2433</v>
      </c>
      <c r="B571" s="171">
        <v>1990</v>
      </c>
      <c r="C571" s="172" t="s">
        <v>2434</v>
      </c>
      <c r="D571" s="170" t="s">
        <v>1517</v>
      </c>
      <c r="E571" s="171">
        <v>100</v>
      </c>
      <c r="F571" s="170" t="s">
        <v>936</v>
      </c>
    </row>
    <row r="572" spans="1:6" x14ac:dyDescent="0.2">
      <c r="A572" s="170" t="s">
        <v>2435</v>
      </c>
      <c r="B572" s="171">
        <v>4490</v>
      </c>
      <c r="C572" s="172" t="s">
        <v>2436</v>
      </c>
      <c r="D572" s="170" t="s">
        <v>1517</v>
      </c>
      <c r="E572" s="171">
        <v>180</v>
      </c>
      <c r="F572" s="170" t="s">
        <v>936</v>
      </c>
    </row>
    <row r="573" spans="1:6" x14ac:dyDescent="0.2">
      <c r="A573" s="170" t="s">
        <v>2437</v>
      </c>
      <c r="B573" s="171">
        <v>3390</v>
      </c>
      <c r="C573" s="172" t="s">
        <v>2438</v>
      </c>
      <c r="D573" s="170" t="s">
        <v>924</v>
      </c>
      <c r="E573" s="171">
        <v>125</v>
      </c>
      <c r="F573" s="170" t="s">
        <v>936</v>
      </c>
    </row>
    <row r="574" spans="1:6" x14ac:dyDescent="0.2">
      <c r="A574" s="170" t="s">
        <v>2439</v>
      </c>
      <c r="B574" s="171">
        <v>3490</v>
      </c>
      <c r="C574" s="172" t="s">
        <v>2440</v>
      </c>
      <c r="D574" s="170" t="s">
        <v>1634</v>
      </c>
      <c r="E574" s="171">
        <v>2</v>
      </c>
      <c r="F574" s="170" t="s">
        <v>952</v>
      </c>
    </row>
    <row r="575" spans="1:6" x14ac:dyDescent="0.2">
      <c r="A575" s="170" t="s">
        <v>2441</v>
      </c>
      <c r="B575" s="171">
        <v>2890</v>
      </c>
      <c r="C575" s="172" t="s">
        <v>2442</v>
      </c>
      <c r="D575" s="170" t="s">
        <v>1064</v>
      </c>
      <c r="E575" s="171">
        <v>200</v>
      </c>
      <c r="F575" s="170" t="s">
        <v>936</v>
      </c>
    </row>
    <row r="576" spans="1:6" x14ac:dyDescent="0.2">
      <c r="A576" s="170" t="s">
        <v>846</v>
      </c>
      <c r="B576" s="171">
        <v>1450</v>
      </c>
      <c r="C576" s="172" t="s">
        <v>2443</v>
      </c>
      <c r="D576" s="170" t="s">
        <v>1064</v>
      </c>
      <c r="E576" s="171">
        <v>8</v>
      </c>
      <c r="F576" s="170" t="s">
        <v>952</v>
      </c>
    </row>
    <row r="577" spans="1:6" x14ac:dyDescent="0.2">
      <c r="A577" s="170" t="s">
        <v>2444</v>
      </c>
      <c r="B577" s="171">
        <v>1599</v>
      </c>
      <c r="C577" s="172" t="s">
        <v>2445</v>
      </c>
      <c r="D577" s="170" t="s">
        <v>1517</v>
      </c>
      <c r="E577" s="171">
        <v>100</v>
      </c>
      <c r="F577" s="170" t="s">
        <v>936</v>
      </c>
    </row>
    <row r="578" spans="1:6" x14ac:dyDescent="0.2">
      <c r="A578" s="170" t="s">
        <v>2446</v>
      </c>
      <c r="B578" s="171">
        <v>2890</v>
      </c>
      <c r="C578" s="172" t="s">
        <v>2447</v>
      </c>
      <c r="D578" s="170" t="s">
        <v>1064</v>
      </c>
      <c r="E578" s="171">
        <v>1</v>
      </c>
      <c r="F578" s="170" t="s">
        <v>952</v>
      </c>
    </row>
    <row r="579" spans="1:6" x14ac:dyDescent="0.2">
      <c r="A579" s="170" t="s">
        <v>2448</v>
      </c>
      <c r="B579" s="171">
        <v>2790</v>
      </c>
      <c r="C579" s="172" t="s">
        <v>2449</v>
      </c>
      <c r="D579" s="170" t="s">
        <v>1064</v>
      </c>
      <c r="E579" s="171">
        <v>120</v>
      </c>
      <c r="F579" s="170" t="s">
        <v>936</v>
      </c>
    </row>
    <row r="580" spans="1:6" x14ac:dyDescent="0.2">
      <c r="A580" s="170" t="s">
        <v>2450</v>
      </c>
      <c r="B580" s="171">
        <v>2490</v>
      </c>
      <c r="C580" s="172" t="s">
        <v>2451</v>
      </c>
      <c r="D580" s="170" t="s">
        <v>1064</v>
      </c>
      <c r="E580" s="171">
        <v>400</v>
      </c>
      <c r="F580" s="170" t="s">
        <v>936</v>
      </c>
    </row>
    <row r="581" spans="1:6" x14ac:dyDescent="0.2">
      <c r="A581" s="170" t="s">
        <v>2452</v>
      </c>
      <c r="B581" s="171">
        <v>1690</v>
      </c>
      <c r="C581" s="172" t="s">
        <v>2453</v>
      </c>
      <c r="D581" s="170" t="s">
        <v>1064</v>
      </c>
      <c r="E581" s="171">
        <v>1</v>
      </c>
      <c r="F581" s="170" t="s">
        <v>952</v>
      </c>
    </row>
    <row r="582" spans="1:6" x14ac:dyDescent="0.2">
      <c r="A582" s="170" t="s">
        <v>2454</v>
      </c>
      <c r="B582" s="171">
        <v>3290</v>
      </c>
      <c r="C582" s="172" t="s">
        <v>2455</v>
      </c>
      <c r="D582" s="170" t="s">
        <v>1634</v>
      </c>
      <c r="E582" s="171">
        <v>1</v>
      </c>
      <c r="F582" s="170" t="s">
        <v>952</v>
      </c>
    </row>
    <row r="583" spans="1:6" x14ac:dyDescent="0.2">
      <c r="A583" s="170" t="s">
        <v>2456</v>
      </c>
      <c r="B583" s="171">
        <v>3290</v>
      </c>
      <c r="C583" s="172" t="s">
        <v>2457</v>
      </c>
      <c r="D583" s="170" t="s">
        <v>1634</v>
      </c>
      <c r="E583" s="171">
        <v>1</v>
      </c>
      <c r="F583" s="170" t="s">
        <v>952</v>
      </c>
    </row>
    <row r="584" spans="1:6" x14ac:dyDescent="0.2">
      <c r="A584" s="170" t="s">
        <v>2458</v>
      </c>
      <c r="B584" s="171">
        <v>1490</v>
      </c>
      <c r="C584" s="172" t="s">
        <v>2459</v>
      </c>
      <c r="D584" s="170" t="s">
        <v>1064</v>
      </c>
      <c r="E584" s="171">
        <v>2</v>
      </c>
      <c r="F584" s="170" t="s">
        <v>952</v>
      </c>
    </row>
    <row r="585" spans="1:6" x14ac:dyDescent="0.2">
      <c r="A585" s="170" t="s">
        <v>2460</v>
      </c>
      <c r="B585" s="171">
        <v>1990</v>
      </c>
      <c r="C585" s="172" t="s">
        <v>2461</v>
      </c>
      <c r="D585" s="170" t="s">
        <v>924</v>
      </c>
      <c r="E585" s="171">
        <v>1</v>
      </c>
      <c r="F585" s="170" t="s">
        <v>925</v>
      </c>
    </row>
    <row r="586" spans="1:6" x14ac:dyDescent="0.2">
      <c r="A586" s="170" t="s">
        <v>757</v>
      </c>
      <c r="B586" s="171">
        <v>5990</v>
      </c>
      <c r="C586" s="172" t="s">
        <v>2462</v>
      </c>
      <c r="D586" s="170" t="s">
        <v>1064</v>
      </c>
      <c r="E586" s="171">
        <v>1</v>
      </c>
      <c r="F586" s="170" t="s">
        <v>925</v>
      </c>
    </row>
    <row r="587" spans="1:6" x14ac:dyDescent="0.2">
      <c r="A587" s="170" t="s">
        <v>2463</v>
      </c>
      <c r="B587" s="171">
        <v>4490</v>
      </c>
      <c r="C587" s="172" t="s">
        <v>2464</v>
      </c>
      <c r="D587" s="170" t="s">
        <v>924</v>
      </c>
      <c r="E587" s="171">
        <v>1</v>
      </c>
      <c r="F587" s="170" t="s">
        <v>925</v>
      </c>
    </row>
    <row r="588" spans="1:6" x14ac:dyDescent="0.2">
      <c r="A588" s="170" t="s">
        <v>2465</v>
      </c>
      <c r="B588" s="171">
        <v>1190</v>
      </c>
      <c r="C588" s="172" t="s">
        <v>2466</v>
      </c>
      <c r="D588" s="170" t="s">
        <v>1064</v>
      </c>
      <c r="E588" s="171">
        <v>150</v>
      </c>
      <c r="F588" s="170" t="s">
        <v>936</v>
      </c>
    </row>
    <row r="589" spans="1:6" x14ac:dyDescent="0.2">
      <c r="A589" s="170" t="s">
        <v>895</v>
      </c>
      <c r="B589" s="171">
        <v>4490</v>
      </c>
      <c r="C589" s="172" t="s">
        <v>2467</v>
      </c>
      <c r="D589" s="170" t="s">
        <v>924</v>
      </c>
      <c r="E589" s="171">
        <v>1</v>
      </c>
      <c r="F589" s="170" t="s">
        <v>925</v>
      </c>
    </row>
    <row r="590" spans="1:6" x14ac:dyDescent="0.2">
      <c r="A590" s="170" t="s">
        <v>2468</v>
      </c>
      <c r="B590" s="171">
        <v>3590</v>
      </c>
      <c r="C590" s="172" t="s">
        <v>2469</v>
      </c>
      <c r="D590" s="170" t="s">
        <v>1064</v>
      </c>
      <c r="E590" s="171">
        <v>200</v>
      </c>
      <c r="F590" s="170" t="s">
        <v>936</v>
      </c>
    </row>
    <row r="591" spans="1:6" x14ac:dyDescent="0.2">
      <c r="A591" s="170" t="s">
        <v>2470</v>
      </c>
      <c r="B591" s="171">
        <v>2990</v>
      </c>
      <c r="C591" s="172" t="s">
        <v>2471</v>
      </c>
      <c r="D591" s="170" t="s">
        <v>1634</v>
      </c>
      <c r="E591" s="171">
        <v>250</v>
      </c>
      <c r="F591" s="170" t="s">
        <v>936</v>
      </c>
    </row>
    <row r="592" spans="1:6" x14ac:dyDescent="0.2">
      <c r="A592" s="170" t="s">
        <v>2472</v>
      </c>
      <c r="B592" s="171">
        <v>1245</v>
      </c>
      <c r="C592" s="172" t="s">
        <v>2473</v>
      </c>
      <c r="D592" s="170" t="s">
        <v>924</v>
      </c>
      <c r="E592" s="171">
        <v>1</v>
      </c>
      <c r="F592" s="170" t="s">
        <v>925</v>
      </c>
    </row>
    <row r="593" spans="1:6" x14ac:dyDescent="0.2">
      <c r="A593" s="170" t="s">
        <v>2474</v>
      </c>
      <c r="B593" s="171">
        <v>1990</v>
      </c>
      <c r="C593" s="172" t="s">
        <v>2475</v>
      </c>
      <c r="D593" s="170" t="s">
        <v>1634</v>
      </c>
      <c r="E593" s="171">
        <v>200</v>
      </c>
      <c r="F593" s="170" t="s">
        <v>936</v>
      </c>
    </row>
    <row r="594" spans="1:6" x14ac:dyDescent="0.2">
      <c r="A594" s="170" t="s">
        <v>2476</v>
      </c>
      <c r="B594" s="171">
        <v>1690</v>
      </c>
      <c r="C594" s="172" t="s">
        <v>2477</v>
      </c>
      <c r="D594" s="170" t="s">
        <v>1064</v>
      </c>
      <c r="E594" s="171">
        <v>1</v>
      </c>
      <c r="F594" s="170" t="s">
        <v>952</v>
      </c>
    </row>
    <row r="595" spans="1:6" x14ac:dyDescent="0.2">
      <c r="A595" s="170" t="s">
        <v>2478</v>
      </c>
      <c r="B595" s="171">
        <v>2890</v>
      </c>
      <c r="C595" s="172" t="s">
        <v>2479</v>
      </c>
      <c r="D595" s="170" t="s">
        <v>1064</v>
      </c>
      <c r="E595" s="171">
        <v>1</v>
      </c>
      <c r="F595" s="170" t="s">
        <v>952</v>
      </c>
    </row>
    <row r="596" spans="1:6" x14ac:dyDescent="0.2">
      <c r="A596" s="170" t="s">
        <v>2480</v>
      </c>
      <c r="B596" s="171">
        <v>2890</v>
      </c>
      <c r="C596" s="172" t="s">
        <v>2481</v>
      </c>
      <c r="D596" s="170" t="s">
        <v>1064</v>
      </c>
      <c r="E596" s="171">
        <v>1</v>
      </c>
      <c r="F596" s="170" t="s">
        <v>952</v>
      </c>
    </row>
    <row r="597" spans="1:6" x14ac:dyDescent="0.2">
      <c r="A597" s="170" t="s">
        <v>2482</v>
      </c>
      <c r="B597" s="171">
        <v>7990</v>
      </c>
      <c r="C597" s="172" t="s">
        <v>2483</v>
      </c>
      <c r="D597" s="170" t="s">
        <v>1517</v>
      </c>
      <c r="E597" s="171">
        <v>40</v>
      </c>
      <c r="F597" s="170" t="s">
        <v>936</v>
      </c>
    </row>
    <row r="598" spans="1:6" x14ac:dyDescent="0.2">
      <c r="A598" s="170" t="s">
        <v>2484</v>
      </c>
      <c r="B598" s="171">
        <v>11990</v>
      </c>
      <c r="C598" s="172" t="s">
        <v>2485</v>
      </c>
      <c r="D598" s="170" t="s">
        <v>1517</v>
      </c>
      <c r="E598" s="171">
        <v>700</v>
      </c>
      <c r="F598" s="170" t="s">
        <v>936</v>
      </c>
    </row>
    <row r="599" spans="1:6" x14ac:dyDescent="0.2">
      <c r="A599" s="170" t="s">
        <v>866</v>
      </c>
      <c r="B599" s="171">
        <v>1990</v>
      </c>
      <c r="C599" s="172" t="s">
        <v>2486</v>
      </c>
      <c r="D599" s="170" t="s">
        <v>1517</v>
      </c>
      <c r="E599" s="171">
        <v>300</v>
      </c>
      <c r="F599" s="170" t="s">
        <v>936</v>
      </c>
    </row>
    <row r="600" spans="1:6" x14ac:dyDescent="0.2">
      <c r="A600" s="170" t="s">
        <v>2487</v>
      </c>
      <c r="B600" s="171">
        <v>1570</v>
      </c>
      <c r="C600" s="172" t="s">
        <v>2488</v>
      </c>
      <c r="D600" s="170" t="s">
        <v>1064</v>
      </c>
      <c r="E600" s="171">
        <v>1</v>
      </c>
      <c r="F600" s="170" t="s">
        <v>952</v>
      </c>
    </row>
    <row r="601" spans="1:6" x14ac:dyDescent="0.2">
      <c r="A601" s="170" t="s">
        <v>2489</v>
      </c>
      <c r="B601" s="171">
        <v>1590</v>
      </c>
      <c r="C601" s="172" t="s">
        <v>2490</v>
      </c>
      <c r="D601" s="170" t="s">
        <v>1064</v>
      </c>
      <c r="E601" s="171">
        <v>1</v>
      </c>
      <c r="F601" s="170" t="s">
        <v>952</v>
      </c>
    </row>
    <row r="602" spans="1:6" x14ac:dyDescent="0.2">
      <c r="A602" s="170" t="s">
        <v>2491</v>
      </c>
      <c r="B602" s="171">
        <v>1845</v>
      </c>
      <c r="C602" s="172" t="s">
        <v>2492</v>
      </c>
      <c r="D602" s="170" t="s">
        <v>1064</v>
      </c>
      <c r="E602" s="171">
        <v>1</v>
      </c>
      <c r="F602" s="170" t="s">
        <v>925</v>
      </c>
    </row>
    <row r="603" spans="1:6" x14ac:dyDescent="0.2">
      <c r="A603" s="170" t="s">
        <v>2493</v>
      </c>
      <c r="B603" s="171">
        <v>2790</v>
      </c>
      <c r="C603" s="172" t="s">
        <v>2494</v>
      </c>
      <c r="D603" s="170" t="s">
        <v>924</v>
      </c>
      <c r="E603" s="171">
        <v>125</v>
      </c>
      <c r="F603" s="170" t="s">
        <v>936</v>
      </c>
    </row>
    <row r="604" spans="1:6" x14ac:dyDescent="0.2">
      <c r="A604" s="170" t="s">
        <v>2495</v>
      </c>
      <c r="B604" s="171">
        <v>2790</v>
      </c>
      <c r="C604" s="172" t="s">
        <v>2496</v>
      </c>
      <c r="D604" s="170" t="s">
        <v>1064</v>
      </c>
      <c r="E604" s="171">
        <v>150</v>
      </c>
      <c r="F604" s="170" t="s">
        <v>936</v>
      </c>
    </row>
    <row r="605" spans="1:6" x14ac:dyDescent="0.2">
      <c r="A605" s="170" t="s">
        <v>2497</v>
      </c>
      <c r="B605" s="171">
        <v>1990</v>
      </c>
      <c r="C605" s="172" t="s">
        <v>2498</v>
      </c>
      <c r="D605" s="170" t="s">
        <v>924</v>
      </c>
      <c r="E605" s="171">
        <v>1</v>
      </c>
      <c r="F605" s="170" t="s">
        <v>925</v>
      </c>
    </row>
    <row r="606" spans="1:6" x14ac:dyDescent="0.2">
      <c r="A606" s="170" t="s">
        <v>2499</v>
      </c>
      <c r="B606" s="171">
        <v>2590</v>
      </c>
      <c r="C606" s="172" t="s">
        <v>2500</v>
      </c>
      <c r="D606" s="170" t="s">
        <v>1064</v>
      </c>
      <c r="E606" s="171">
        <v>450</v>
      </c>
      <c r="F606" s="170" t="s">
        <v>936</v>
      </c>
    </row>
    <row r="607" spans="1:6" x14ac:dyDescent="0.2">
      <c r="A607" s="170" t="s">
        <v>2501</v>
      </c>
      <c r="B607" s="171">
        <v>1390</v>
      </c>
      <c r="C607" s="172" t="s">
        <v>2502</v>
      </c>
      <c r="D607" s="170" t="s">
        <v>1634</v>
      </c>
      <c r="E607" s="171">
        <v>1</v>
      </c>
      <c r="F607" s="170" t="s">
        <v>952</v>
      </c>
    </row>
    <row r="608" spans="1:6" x14ac:dyDescent="0.2">
      <c r="A608" s="170" t="s">
        <v>2503</v>
      </c>
      <c r="B608" s="171">
        <v>1590</v>
      </c>
      <c r="C608" s="172" t="s">
        <v>2504</v>
      </c>
      <c r="D608" s="170" t="s">
        <v>1634</v>
      </c>
      <c r="E608" s="171">
        <v>1</v>
      </c>
      <c r="F608" s="170" t="s">
        <v>925</v>
      </c>
    </row>
    <row r="609" spans="1:6" x14ac:dyDescent="0.2">
      <c r="A609" s="170" t="s">
        <v>2505</v>
      </c>
      <c r="B609" s="171">
        <v>1000</v>
      </c>
      <c r="C609" s="172" t="s">
        <v>2506</v>
      </c>
      <c r="D609" s="170" t="s">
        <v>1634</v>
      </c>
      <c r="E609" s="171">
        <v>1</v>
      </c>
      <c r="F609" s="170" t="s">
        <v>952</v>
      </c>
    </row>
    <row r="610" spans="1:6" x14ac:dyDescent="0.2">
      <c r="A610" s="170" t="s">
        <v>2507</v>
      </c>
      <c r="B610" s="171">
        <v>4590</v>
      </c>
      <c r="C610" s="172" t="s">
        <v>2508</v>
      </c>
      <c r="D610" s="170" t="s">
        <v>924</v>
      </c>
      <c r="E610" s="171">
        <v>1</v>
      </c>
      <c r="F610" s="170" t="s">
        <v>925</v>
      </c>
    </row>
    <row r="611" spans="1:6" x14ac:dyDescent="0.2">
      <c r="A611" s="170" t="s">
        <v>2509</v>
      </c>
      <c r="B611" s="171">
        <v>1040</v>
      </c>
      <c r="C611" s="172" t="s">
        <v>2510</v>
      </c>
      <c r="D611" s="170" t="s">
        <v>1064</v>
      </c>
      <c r="E611" s="171">
        <v>1</v>
      </c>
      <c r="F611" s="170" t="s">
        <v>1569</v>
      </c>
    </row>
    <row r="612" spans="1:6" x14ac:dyDescent="0.2">
      <c r="A612" s="170" t="s">
        <v>2511</v>
      </c>
      <c r="B612" s="171">
        <v>3690</v>
      </c>
      <c r="C612" s="172" t="s">
        <v>2512</v>
      </c>
      <c r="D612" s="170" t="s">
        <v>1064</v>
      </c>
      <c r="E612" s="171">
        <v>225</v>
      </c>
      <c r="F612" s="170" t="s">
        <v>936</v>
      </c>
    </row>
    <row r="613" spans="1:6" x14ac:dyDescent="0.2">
      <c r="A613" s="170" t="s">
        <v>2513</v>
      </c>
      <c r="B613" s="171">
        <v>3690</v>
      </c>
      <c r="C613" s="172" t="s">
        <v>2514</v>
      </c>
      <c r="D613" s="170" t="s">
        <v>1064</v>
      </c>
      <c r="E613" s="171">
        <v>225</v>
      </c>
      <c r="F613" s="170" t="s">
        <v>936</v>
      </c>
    </row>
    <row r="614" spans="1:6" x14ac:dyDescent="0.2">
      <c r="A614" s="170" t="s">
        <v>2515</v>
      </c>
      <c r="B614" s="171">
        <v>3690</v>
      </c>
      <c r="C614" s="172" t="s">
        <v>2516</v>
      </c>
      <c r="D614" s="170" t="s">
        <v>1064</v>
      </c>
      <c r="E614" s="171">
        <v>215</v>
      </c>
      <c r="F614" s="170" t="s">
        <v>936</v>
      </c>
    </row>
    <row r="615" spans="1:6" x14ac:dyDescent="0.2">
      <c r="A615" s="170" t="s">
        <v>2517</v>
      </c>
      <c r="B615" s="171">
        <v>3690</v>
      </c>
      <c r="C615" s="172" t="s">
        <v>2518</v>
      </c>
      <c r="D615" s="170" t="s">
        <v>1064</v>
      </c>
      <c r="E615" s="171">
        <v>245</v>
      </c>
      <c r="F615" s="170" t="s">
        <v>936</v>
      </c>
    </row>
  </sheetData>
  <hyperlinks>
    <hyperlink ref="C2" r:id="rId1" xr:uid="{00000000-0004-0000-0700-000000000000}"/>
    <hyperlink ref="C3" r:id="rId2" xr:uid="{00000000-0004-0000-0700-000001000000}"/>
    <hyperlink ref="C4" r:id="rId3" xr:uid="{00000000-0004-0000-0700-000002000000}"/>
    <hyperlink ref="C5" r:id="rId4" xr:uid="{00000000-0004-0000-0700-000003000000}"/>
    <hyperlink ref="C6" r:id="rId5" xr:uid="{00000000-0004-0000-0700-000004000000}"/>
    <hyperlink ref="C7" r:id="rId6" xr:uid="{00000000-0004-0000-0700-000005000000}"/>
    <hyperlink ref="C8" r:id="rId7" xr:uid="{00000000-0004-0000-0700-000006000000}"/>
    <hyperlink ref="C9" r:id="rId8" xr:uid="{00000000-0004-0000-0700-000007000000}"/>
    <hyperlink ref="C10" r:id="rId9" xr:uid="{00000000-0004-0000-0700-000008000000}"/>
    <hyperlink ref="C11" r:id="rId10" xr:uid="{00000000-0004-0000-0700-000009000000}"/>
    <hyperlink ref="C12" r:id="rId11" xr:uid="{00000000-0004-0000-0700-00000A000000}"/>
    <hyperlink ref="C13" r:id="rId12" xr:uid="{00000000-0004-0000-0700-00000B000000}"/>
    <hyperlink ref="C14" r:id="rId13" xr:uid="{00000000-0004-0000-0700-00000C000000}"/>
    <hyperlink ref="C15" r:id="rId14" xr:uid="{00000000-0004-0000-0700-00000D000000}"/>
    <hyperlink ref="C16" r:id="rId15" xr:uid="{00000000-0004-0000-0700-00000E000000}"/>
    <hyperlink ref="C17" r:id="rId16" xr:uid="{00000000-0004-0000-0700-00000F000000}"/>
    <hyperlink ref="C18" r:id="rId17" xr:uid="{00000000-0004-0000-0700-000010000000}"/>
    <hyperlink ref="C19" r:id="rId18" xr:uid="{00000000-0004-0000-0700-000011000000}"/>
    <hyperlink ref="C20" r:id="rId19" xr:uid="{00000000-0004-0000-0700-000012000000}"/>
    <hyperlink ref="C21" r:id="rId20" xr:uid="{00000000-0004-0000-0700-000013000000}"/>
    <hyperlink ref="C22" r:id="rId21" xr:uid="{00000000-0004-0000-0700-000014000000}"/>
    <hyperlink ref="C23" r:id="rId22" xr:uid="{00000000-0004-0000-0700-000015000000}"/>
    <hyperlink ref="C24" r:id="rId23" xr:uid="{00000000-0004-0000-0700-000016000000}"/>
    <hyperlink ref="C25" r:id="rId24" xr:uid="{00000000-0004-0000-0700-000017000000}"/>
    <hyperlink ref="C26" r:id="rId25" xr:uid="{00000000-0004-0000-0700-000018000000}"/>
    <hyperlink ref="C27" r:id="rId26" xr:uid="{00000000-0004-0000-0700-000019000000}"/>
    <hyperlink ref="C28" r:id="rId27" xr:uid="{00000000-0004-0000-0700-00001A000000}"/>
    <hyperlink ref="C29" r:id="rId28" xr:uid="{00000000-0004-0000-0700-00001B000000}"/>
    <hyperlink ref="C30" r:id="rId29" xr:uid="{00000000-0004-0000-0700-00001C000000}"/>
    <hyperlink ref="C31" r:id="rId30" xr:uid="{00000000-0004-0000-0700-00001D000000}"/>
    <hyperlink ref="C32" r:id="rId31" xr:uid="{00000000-0004-0000-0700-00001E000000}"/>
    <hyperlink ref="C33" r:id="rId32" xr:uid="{00000000-0004-0000-0700-00001F000000}"/>
    <hyperlink ref="C34" r:id="rId33" xr:uid="{00000000-0004-0000-0700-000020000000}"/>
    <hyperlink ref="C35" r:id="rId34" xr:uid="{00000000-0004-0000-0700-000021000000}"/>
    <hyperlink ref="C36" r:id="rId35" xr:uid="{00000000-0004-0000-0700-000022000000}"/>
    <hyperlink ref="C37" r:id="rId36" xr:uid="{00000000-0004-0000-0700-000023000000}"/>
    <hyperlink ref="C38" r:id="rId37" xr:uid="{00000000-0004-0000-0700-000024000000}"/>
    <hyperlink ref="C39" r:id="rId38" xr:uid="{00000000-0004-0000-0700-000025000000}"/>
    <hyperlink ref="C40" r:id="rId39" xr:uid="{00000000-0004-0000-0700-000026000000}"/>
    <hyperlink ref="C41" r:id="rId40" xr:uid="{00000000-0004-0000-0700-000027000000}"/>
    <hyperlink ref="C42" r:id="rId41" xr:uid="{00000000-0004-0000-0700-000028000000}"/>
    <hyperlink ref="C43" r:id="rId42" xr:uid="{00000000-0004-0000-0700-000029000000}"/>
    <hyperlink ref="C44" r:id="rId43" xr:uid="{00000000-0004-0000-0700-00002A000000}"/>
    <hyperlink ref="C45" r:id="rId44" xr:uid="{00000000-0004-0000-0700-00002B000000}"/>
    <hyperlink ref="C46" r:id="rId45" xr:uid="{00000000-0004-0000-0700-00002C000000}"/>
    <hyperlink ref="C47" r:id="rId46" xr:uid="{00000000-0004-0000-0700-00002D000000}"/>
    <hyperlink ref="C48" r:id="rId47" xr:uid="{00000000-0004-0000-0700-00002E000000}"/>
    <hyperlink ref="C49" r:id="rId48" xr:uid="{00000000-0004-0000-0700-00002F000000}"/>
    <hyperlink ref="C50" r:id="rId49" xr:uid="{00000000-0004-0000-0700-000030000000}"/>
    <hyperlink ref="C51" r:id="rId50" xr:uid="{00000000-0004-0000-0700-000031000000}"/>
    <hyperlink ref="C52" r:id="rId51" xr:uid="{00000000-0004-0000-0700-000032000000}"/>
    <hyperlink ref="C53" r:id="rId52" xr:uid="{00000000-0004-0000-0700-000033000000}"/>
    <hyperlink ref="C54" r:id="rId53" xr:uid="{00000000-0004-0000-0700-000034000000}"/>
    <hyperlink ref="C55" r:id="rId54" xr:uid="{00000000-0004-0000-0700-000035000000}"/>
    <hyperlink ref="C56" r:id="rId55" xr:uid="{00000000-0004-0000-0700-000036000000}"/>
    <hyperlink ref="C57" r:id="rId56" xr:uid="{00000000-0004-0000-0700-000037000000}"/>
    <hyperlink ref="C58" r:id="rId57" xr:uid="{00000000-0004-0000-0700-000038000000}"/>
    <hyperlink ref="C59" r:id="rId58" xr:uid="{00000000-0004-0000-0700-000039000000}"/>
    <hyperlink ref="C60" r:id="rId59" xr:uid="{00000000-0004-0000-0700-00003A000000}"/>
    <hyperlink ref="C61" r:id="rId60" xr:uid="{00000000-0004-0000-0700-00003B000000}"/>
    <hyperlink ref="C62" r:id="rId61" xr:uid="{00000000-0004-0000-0700-00003C000000}"/>
    <hyperlink ref="C63" r:id="rId62" xr:uid="{00000000-0004-0000-0700-00003D000000}"/>
    <hyperlink ref="C64" r:id="rId63" xr:uid="{00000000-0004-0000-0700-00003E000000}"/>
    <hyperlink ref="C65" r:id="rId64" xr:uid="{00000000-0004-0000-0700-00003F000000}"/>
    <hyperlink ref="C66" r:id="rId65" xr:uid="{00000000-0004-0000-0700-000040000000}"/>
    <hyperlink ref="C67" r:id="rId66" xr:uid="{00000000-0004-0000-0700-000041000000}"/>
    <hyperlink ref="C68" r:id="rId67" xr:uid="{00000000-0004-0000-0700-000042000000}"/>
    <hyperlink ref="C69" r:id="rId68" xr:uid="{00000000-0004-0000-0700-000043000000}"/>
    <hyperlink ref="C70" r:id="rId69" xr:uid="{00000000-0004-0000-0700-000044000000}"/>
    <hyperlink ref="C71" r:id="rId70" xr:uid="{00000000-0004-0000-0700-000045000000}"/>
    <hyperlink ref="C72" r:id="rId71" xr:uid="{00000000-0004-0000-0700-000046000000}"/>
    <hyperlink ref="C73" r:id="rId72" xr:uid="{00000000-0004-0000-0700-000047000000}"/>
    <hyperlink ref="C74" r:id="rId73" xr:uid="{00000000-0004-0000-0700-000048000000}"/>
    <hyperlink ref="C75" r:id="rId74" xr:uid="{00000000-0004-0000-0700-000049000000}"/>
    <hyperlink ref="C76" r:id="rId75" xr:uid="{00000000-0004-0000-0700-00004A000000}"/>
    <hyperlink ref="C77" r:id="rId76" xr:uid="{00000000-0004-0000-0700-00004B000000}"/>
    <hyperlink ref="C78" r:id="rId77" xr:uid="{00000000-0004-0000-0700-00004C000000}"/>
    <hyperlink ref="C79" r:id="rId78" xr:uid="{00000000-0004-0000-0700-00004D000000}"/>
    <hyperlink ref="C80" r:id="rId79" xr:uid="{00000000-0004-0000-0700-00004E000000}"/>
    <hyperlink ref="C81" r:id="rId80" xr:uid="{00000000-0004-0000-0700-00004F000000}"/>
    <hyperlink ref="C82" r:id="rId81" xr:uid="{00000000-0004-0000-0700-000050000000}"/>
    <hyperlink ref="C83" r:id="rId82" xr:uid="{00000000-0004-0000-0700-000051000000}"/>
    <hyperlink ref="C84" r:id="rId83" xr:uid="{00000000-0004-0000-0700-000052000000}"/>
    <hyperlink ref="C85" r:id="rId84" xr:uid="{00000000-0004-0000-0700-000053000000}"/>
    <hyperlink ref="C86" r:id="rId85" xr:uid="{00000000-0004-0000-0700-000054000000}"/>
    <hyperlink ref="C87" r:id="rId86" xr:uid="{00000000-0004-0000-0700-000055000000}"/>
    <hyperlink ref="C88" r:id="rId87" xr:uid="{00000000-0004-0000-0700-000056000000}"/>
    <hyperlink ref="C89" r:id="rId88" xr:uid="{00000000-0004-0000-0700-000057000000}"/>
    <hyperlink ref="C90" r:id="rId89" xr:uid="{00000000-0004-0000-0700-000058000000}"/>
    <hyperlink ref="C91" r:id="rId90" xr:uid="{00000000-0004-0000-0700-000059000000}"/>
    <hyperlink ref="C92" r:id="rId91" xr:uid="{00000000-0004-0000-0700-00005A000000}"/>
    <hyperlink ref="C93" r:id="rId92" xr:uid="{00000000-0004-0000-0700-00005B000000}"/>
    <hyperlink ref="C94" r:id="rId93" xr:uid="{00000000-0004-0000-0700-00005C000000}"/>
    <hyperlink ref="C95" r:id="rId94" xr:uid="{00000000-0004-0000-0700-00005D000000}"/>
    <hyperlink ref="C96" r:id="rId95" xr:uid="{00000000-0004-0000-0700-00005E000000}"/>
    <hyperlink ref="C97" r:id="rId96" xr:uid="{00000000-0004-0000-0700-00005F000000}"/>
    <hyperlink ref="C98" r:id="rId97" xr:uid="{00000000-0004-0000-0700-000060000000}"/>
    <hyperlink ref="C99" r:id="rId98" xr:uid="{00000000-0004-0000-0700-000061000000}"/>
    <hyperlink ref="C100" r:id="rId99" xr:uid="{00000000-0004-0000-0700-000062000000}"/>
    <hyperlink ref="C101" r:id="rId100" xr:uid="{00000000-0004-0000-0700-000063000000}"/>
    <hyperlink ref="C102" r:id="rId101" xr:uid="{00000000-0004-0000-0700-000064000000}"/>
    <hyperlink ref="C103" r:id="rId102" xr:uid="{00000000-0004-0000-0700-000065000000}"/>
    <hyperlink ref="C104" r:id="rId103" xr:uid="{00000000-0004-0000-0700-000066000000}"/>
    <hyperlink ref="C105" r:id="rId104" xr:uid="{00000000-0004-0000-0700-000067000000}"/>
    <hyperlink ref="C106" r:id="rId105" xr:uid="{00000000-0004-0000-0700-000068000000}"/>
    <hyperlink ref="C107" r:id="rId106" xr:uid="{00000000-0004-0000-0700-000069000000}"/>
    <hyperlink ref="C108" r:id="rId107" xr:uid="{00000000-0004-0000-0700-00006A000000}"/>
    <hyperlink ref="C109" r:id="rId108" xr:uid="{00000000-0004-0000-0700-00006B000000}"/>
    <hyperlink ref="C110" r:id="rId109" xr:uid="{00000000-0004-0000-0700-00006C000000}"/>
    <hyperlink ref="C111" r:id="rId110" xr:uid="{00000000-0004-0000-0700-00006D000000}"/>
    <hyperlink ref="C112" r:id="rId111" xr:uid="{00000000-0004-0000-0700-00006E000000}"/>
    <hyperlink ref="C113" r:id="rId112" xr:uid="{00000000-0004-0000-0700-00006F000000}"/>
    <hyperlink ref="C114" r:id="rId113" xr:uid="{00000000-0004-0000-0700-000070000000}"/>
    <hyperlink ref="C115" r:id="rId114" xr:uid="{00000000-0004-0000-0700-000071000000}"/>
    <hyperlink ref="C116" r:id="rId115" xr:uid="{00000000-0004-0000-0700-000072000000}"/>
    <hyperlink ref="C117" r:id="rId116" xr:uid="{00000000-0004-0000-0700-000073000000}"/>
    <hyperlink ref="C118" r:id="rId117" xr:uid="{00000000-0004-0000-0700-000074000000}"/>
    <hyperlink ref="C119" r:id="rId118" xr:uid="{00000000-0004-0000-0700-000075000000}"/>
    <hyperlink ref="C120" r:id="rId119" xr:uid="{00000000-0004-0000-0700-000076000000}"/>
    <hyperlink ref="C121" r:id="rId120" xr:uid="{00000000-0004-0000-0700-000077000000}"/>
    <hyperlink ref="C122" r:id="rId121" xr:uid="{00000000-0004-0000-0700-000078000000}"/>
    <hyperlink ref="C123" r:id="rId122" xr:uid="{00000000-0004-0000-0700-000079000000}"/>
    <hyperlink ref="C124" r:id="rId123" xr:uid="{00000000-0004-0000-0700-00007A000000}"/>
    <hyperlink ref="C125" r:id="rId124" xr:uid="{00000000-0004-0000-0700-00007B000000}"/>
    <hyperlink ref="C126" r:id="rId125" xr:uid="{00000000-0004-0000-0700-00007C000000}"/>
    <hyperlink ref="C127" r:id="rId126" xr:uid="{00000000-0004-0000-0700-00007D000000}"/>
    <hyperlink ref="C128" r:id="rId127" xr:uid="{00000000-0004-0000-0700-00007E000000}"/>
    <hyperlink ref="C129" r:id="rId128" xr:uid="{00000000-0004-0000-0700-00007F000000}"/>
    <hyperlink ref="C130" r:id="rId129" xr:uid="{00000000-0004-0000-0700-000080000000}"/>
    <hyperlink ref="C131" r:id="rId130" xr:uid="{00000000-0004-0000-0700-000081000000}"/>
    <hyperlink ref="C132" r:id="rId131" xr:uid="{00000000-0004-0000-0700-000082000000}"/>
    <hyperlink ref="C133" r:id="rId132" xr:uid="{00000000-0004-0000-0700-000083000000}"/>
    <hyperlink ref="C134" r:id="rId133" xr:uid="{00000000-0004-0000-0700-000084000000}"/>
    <hyperlink ref="C135" r:id="rId134" xr:uid="{00000000-0004-0000-0700-000085000000}"/>
    <hyperlink ref="C136" r:id="rId135" xr:uid="{00000000-0004-0000-0700-000086000000}"/>
    <hyperlink ref="C137" r:id="rId136" xr:uid="{00000000-0004-0000-0700-000087000000}"/>
    <hyperlink ref="C138" r:id="rId137" xr:uid="{00000000-0004-0000-0700-000088000000}"/>
    <hyperlink ref="C139" r:id="rId138" xr:uid="{00000000-0004-0000-0700-000089000000}"/>
    <hyperlink ref="C140" r:id="rId139" xr:uid="{00000000-0004-0000-0700-00008A000000}"/>
    <hyperlink ref="C141" r:id="rId140" xr:uid="{00000000-0004-0000-0700-00008B000000}"/>
    <hyperlink ref="C142" r:id="rId141" xr:uid="{00000000-0004-0000-0700-00008C000000}"/>
    <hyperlink ref="C143" r:id="rId142" xr:uid="{00000000-0004-0000-0700-00008D000000}"/>
    <hyperlink ref="C144" r:id="rId143" xr:uid="{00000000-0004-0000-0700-00008E000000}"/>
    <hyperlink ref="C145" r:id="rId144" xr:uid="{00000000-0004-0000-0700-00008F000000}"/>
    <hyperlink ref="C146" r:id="rId145" xr:uid="{00000000-0004-0000-0700-000090000000}"/>
    <hyperlink ref="C147" r:id="rId146" xr:uid="{00000000-0004-0000-0700-000091000000}"/>
    <hyperlink ref="C148" r:id="rId147" xr:uid="{00000000-0004-0000-0700-000092000000}"/>
    <hyperlink ref="C149" r:id="rId148" xr:uid="{00000000-0004-0000-0700-000093000000}"/>
    <hyperlink ref="C150" r:id="rId149" xr:uid="{00000000-0004-0000-0700-000094000000}"/>
    <hyperlink ref="C151" r:id="rId150" xr:uid="{00000000-0004-0000-0700-000095000000}"/>
    <hyperlink ref="C152" r:id="rId151" xr:uid="{00000000-0004-0000-0700-000096000000}"/>
    <hyperlink ref="C153" r:id="rId152" xr:uid="{00000000-0004-0000-0700-000097000000}"/>
    <hyperlink ref="C154" r:id="rId153" xr:uid="{00000000-0004-0000-0700-000098000000}"/>
    <hyperlink ref="C155" r:id="rId154" xr:uid="{00000000-0004-0000-0700-000099000000}"/>
    <hyperlink ref="C156" r:id="rId155" xr:uid="{00000000-0004-0000-0700-00009A000000}"/>
    <hyperlink ref="C157" r:id="rId156" xr:uid="{00000000-0004-0000-0700-00009B000000}"/>
    <hyperlink ref="C158" r:id="rId157" xr:uid="{00000000-0004-0000-0700-00009C000000}"/>
    <hyperlink ref="C159" r:id="rId158" xr:uid="{00000000-0004-0000-0700-00009D000000}"/>
    <hyperlink ref="C160" r:id="rId159" xr:uid="{00000000-0004-0000-0700-00009E000000}"/>
    <hyperlink ref="C161" r:id="rId160" xr:uid="{00000000-0004-0000-0700-00009F000000}"/>
    <hyperlink ref="C162" r:id="rId161" xr:uid="{00000000-0004-0000-0700-0000A0000000}"/>
    <hyperlink ref="C163" r:id="rId162" xr:uid="{00000000-0004-0000-0700-0000A1000000}"/>
    <hyperlink ref="C164" r:id="rId163" xr:uid="{00000000-0004-0000-0700-0000A2000000}"/>
    <hyperlink ref="C165" r:id="rId164" xr:uid="{00000000-0004-0000-0700-0000A3000000}"/>
    <hyperlink ref="C166" r:id="rId165" xr:uid="{00000000-0004-0000-0700-0000A4000000}"/>
    <hyperlink ref="C167" r:id="rId166" xr:uid="{00000000-0004-0000-0700-0000A5000000}"/>
    <hyperlink ref="C168" r:id="rId167" xr:uid="{00000000-0004-0000-0700-0000A6000000}"/>
    <hyperlink ref="C169" r:id="rId168" xr:uid="{00000000-0004-0000-0700-0000A7000000}"/>
    <hyperlink ref="C170" r:id="rId169" xr:uid="{00000000-0004-0000-0700-0000A8000000}"/>
    <hyperlink ref="C171" r:id="rId170" xr:uid="{00000000-0004-0000-0700-0000A9000000}"/>
    <hyperlink ref="C172" r:id="rId171" xr:uid="{00000000-0004-0000-0700-0000AA000000}"/>
    <hyperlink ref="C173" r:id="rId172" xr:uid="{00000000-0004-0000-0700-0000AB000000}"/>
    <hyperlink ref="C174" r:id="rId173" xr:uid="{00000000-0004-0000-0700-0000AC000000}"/>
    <hyperlink ref="C175" r:id="rId174" xr:uid="{00000000-0004-0000-0700-0000AD000000}"/>
    <hyperlink ref="C176" r:id="rId175" xr:uid="{00000000-0004-0000-0700-0000AE000000}"/>
    <hyperlink ref="C177" r:id="rId176" xr:uid="{00000000-0004-0000-0700-0000AF000000}"/>
    <hyperlink ref="C178" r:id="rId177" xr:uid="{00000000-0004-0000-0700-0000B0000000}"/>
    <hyperlink ref="C179" r:id="rId178" xr:uid="{00000000-0004-0000-0700-0000B1000000}"/>
    <hyperlink ref="C180" r:id="rId179" xr:uid="{00000000-0004-0000-0700-0000B2000000}"/>
    <hyperlink ref="C181" r:id="rId180" xr:uid="{00000000-0004-0000-0700-0000B3000000}"/>
    <hyperlink ref="C182" r:id="rId181" xr:uid="{00000000-0004-0000-0700-0000B4000000}"/>
    <hyperlink ref="C183" r:id="rId182" xr:uid="{00000000-0004-0000-0700-0000B5000000}"/>
    <hyperlink ref="C184" r:id="rId183" xr:uid="{00000000-0004-0000-0700-0000B6000000}"/>
    <hyperlink ref="C185" r:id="rId184" xr:uid="{00000000-0004-0000-0700-0000B7000000}"/>
    <hyperlink ref="C186" r:id="rId185" xr:uid="{00000000-0004-0000-0700-0000B8000000}"/>
    <hyperlink ref="C187" r:id="rId186" xr:uid="{00000000-0004-0000-0700-0000B9000000}"/>
    <hyperlink ref="C188" r:id="rId187" xr:uid="{00000000-0004-0000-0700-0000BA000000}"/>
    <hyperlink ref="C189" r:id="rId188" xr:uid="{00000000-0004-0000-0700-0000BB000000}"/>
    <hyperlink ref="C190" r:id="rId189" xr:uid="{00000000-0004-0000-0700-0000BC000000}"/>
    <hyperlink ref="C191" r:id="rId190" xr:uid="{00000000-0004-0000-0700-0000BD000000}"/>
    <hyperlink ref="C192" r:id="rId191" xr:uid="{00000000-0004-0000-0700-0000BE000000}"/>
    <hyperlink ref="C193" r:id="rId192" xr:uid="{00000000-0004-0000-0700-0000BF000000}"/>
    <hyperlink ref="C194" r:id="rId193" xr:uid="{00000000-0004-0000-0700-0000C0000000}"/>
    <hyperlink ref="C195" r:id="rId194" xr:uid="{00000000-0004-0000-0700-0000C1000000}"/>
    <hyperlink ref="C196" r:id="rId195" xr:uid="{00000000-0004-0000-0700-0000C2000000}"/>
    <hyperlink ref="C197" r:id="rId196" xr:uid="{00000000-0004-0000-0700-0000C3000000}"/>
    <hyperlink ref="C198" r:id="rId197" xr:uid="{00000000-0004-0000-0700-0000C4000000}"/>
    <hyperlink ref="C199" r:id="rId198" xr:uid="{00000000-0004-0000-0700-0000C5000000}"/>
    <hyperlink ref="C200" r:id="rId199" xr:uid="{00000000-0004-0000-0700-0000C6000000}"/>
    <hyperlink ref="C201" r:id="rId200" xr:uid="{00000000-0004-0000-0700-0000C7000000}"/>
    <hyperlink ref="C202" r:id="rId201" xr:uid="{00000000-0004-0000-0700-0000C8000000}"/>
    <hyperlink ref="C203" r:id="rId202" xr:uid="{00000000-0004-0000-0700-0000C9000000}"/>
    <hyperlink ref="C204" r:id="rId203" xr:uid="{00000000-0004-0000-0700-0000CA000000}"/>
    <hyperlink ref="C205" r:id="rId204" xr:uid="{00000000-0004-0000-0700-0000CB000000}"/>
    <hyperlink ref="C206" r:id="rId205" xr:uid="{00000000-0004-0000-0700-0000CC000000}"/>
    <hyperlink ref="C207" r:id="rId206" xr:uid="{00000000-0004-0000-0700-0000CD000000}"/>
    <hyperlink ref="C208" r:id="rId207" xr:uid="{00000000-0004-0000-0700-0000CE000000}"/>
    <hyperlink ref="C209" r:id="rId208" xr:uid="{00000000-0004-0000-0700-0000CF000000}"/>
    <hyperlink ref="C210" r:id="rId209" xr:uid="{00000000-0004-0000-0700-0000D0000000}"/>
    <hyperlink ref="C211" r:id="rId210" xr:uid="{00000000-0004-0000-0700-0000D1000000}"/>
    <hyperlink ref="C212" r:id="rId211" xr:uid="{00000000-0004-0000-0700-0000D2000000}"/>
    <hyperlink ref="C213" r:id="rId212" xr:uid="{00000000-0004-0000-0700-0000D3000000}"/>
    <hyperlink ref="C214" r:id="rId213" xr:uid="{00000000-0004-0000-0700-0000D4000000}"/>
    <hyperlink ref="C215" r:id="rId214" xr:uid="{00000000-0004-0000-0700-0000D5000000}"/>
    <hyperlink ref="C216" r:id="rId215" xr:uid="{00000000-0004-0000-0700-0000D6000000}"/>
    <hyperlink ref="C217" r:id="rId216" xr:uid="{00000000-0004-0000-0700-0000D7000000}"/>
    <hyperlink ref="C218" r:id="rId217" xr:uid="{00000000-0004-0000-0700-0000D8000000}"/>
    <hyperlink ref="C219" r:id="rId218" xr:uid="{00000000-0004-0000-0700-0000D9000000}"/>
    <hyperlink ref="C220" r:id="rId219" xr:uid="{00000000-0004-0000-0700-0000DA000000}"/>
    <hyperlink ref="C221" r:id="rId220" xr:uid="{00000000-0004-0000-0700-0000DB000000}"/>
    <hyperlink ref="C222" r:id="rId221" xr:uid="{00000000-0004-0000-0700-0000DC000000}"/>
    <hyperlink ref="C223" r:id="rId222" xr:uid="{00000000-0004-0000-0700-0000DD000000}"/>
    <hyperlink ref="C224" r:id="rId223" xr:uid="{00000000-0004-0000-0700-0000DE000000}"/>
    <hyperlink ref="C225" r:id="rId224" xr:uid="{00000000-0004-0000-0700-0000DF000000}"/>
    <hyperlink ref="C226" r:id="rId225" xr:uid="{00000000-0004-0000-0700-0000E0000000}"/>
    <hyperlink ref="C227" r:id="rId226" xr:uid="{00000000-0004-0000-0700-0000E1000000}"/>
    <hyperlink ref="C228" r:id="rId227" xr:uid="{00000000-0004-0000-0700-0000E2000000}"/>
    <hyperlink ref="C229" r:id="rId228" xr:uid="{00000000-0004-0000-0700-0000E3000000}"/>
    <hyperlink ref="C230" r:id="rId229" xr:uid="{00000000-0004-0000-0700-0000E4000000}"/>
    <hyperlink ref="C231" r:id="rId230" xr:uid="{00000000-0004-0000-0700-0000E5000000}"/>
    <hyperlink ref="C232" r:id="rId231" xr:uid="{00000000-0004-0000-0700-0000E6000000}"/>
    <hyperlink ref="C233" r:id="rId232" xr:uid="{00000000-0004-0000-0700-0000E7000000}"/>
    <hyperlink ref="C234" r:id="rId233" xr:uid="{00000000-0004-0000-0700-0000E8000000}"/>
    <hyperlink ref="C235" r:id="rId234" xr:uid="{00000000-0004-0000-0700-0000E9000000}"/>
    <hyperlink ref="C236" r:id="rId235" xr:uid="{00000000-0004-0000-0700-0000EA000000}"/>
    <hyperlink ref="C237" r:id="rId236" xr:uid="{00000000-0004-0000-0700-0000EB000000}"/>
    <hyperlink ref="C238" r:id="rId237" xr:uid="{00000000-0004-0000-0700-0000EC000000}"/>
    <hyperlink ref="C239" r:id="rId238" xr:uid="{00000000-0004-0000-0700-0000ED000000}"/>
    <hyperlink ref="C240" r:id="rId239" xr:uid="{00000000-0004-0000-0700-0000EE000000}"/>
    <hyperlink ref="C241" r:id="rId240" xr:uid="{00000000-0004-0000-0700-0000EF000000}"/>
    <hyperlink ref="C242" r:id="rId241" xr:uid="{00000000-0004-0000-0700-0000F0000000}"/>
    <hyperlink ref="C243" r:id="rId242" xr:uid="{00000000-0004-0000-0700-0000F1000000}"/>
    <hyperlink ref="C244" r:id="rId243" xr:uid="{00000000-0004-0000-0700-0000F2000000}"/>
    <hyperlink ref="C245" r:id="rId244" xr:uid="{00000000-0004-0000-0700-0000F3000000}"/>
    <hyperlink ref="C246" r:id="rId245" xr:uid="{00000000-0004-0000-0700-0000F4000000}"/>
    <hyperlink ref="C247" r:id="rId246" xr:uid="{00000000-0004-0000-0700-0000F5000000}"/>
    <hyperlink ref="C248" r:id="rId247" xr:uid="{00000000-0004-0000-0700-0000F6000000}"/>
    <hyperlink ref="C249" r:id="rId248" xr:uid="{00000000-0004-0000-0700-0000F7000000}"/>
    <hyperlink ref="C250" r:id="rId249" xr:uid="{00000000-0004-0000-0700-0000F8000000}"/>
    <hyperlink ref="C251" r:id="rId250" xr:uid="{00000000-0004-0000-0700-0000F9000000}"/>
    <hyperlink ref="C252" r:id="rId251" xr:uid="{00000000-0004-0000-0700-0000FA000000}"/>
    <hyperlink ref="C253" r:id="rId252" xr:uid="{00000000-0004-0000-0700-0000FB000000}"/>
    <hyperlink ref="C254" r:id="rId253" xr:uid="{00000000-0004-0000-0700-0000FC000000}"/>
    <hyperlink ref="C255" r:id="rId254" xr:uid="{00000000-0004-0000-0700-0000FD000000}"/>
    <hyperlink ref="C256" r:id="rId255" xr:uid="{00000000-0004-0000-0700-0000FE000000}"/>
    <hyperlink ref="C257" r:id="rId256" xr:uid="{00000000-0004-0000-0700-0000FF000000}"/>
    <hyperlink ref="C258" r:id="rId257" xr:uid="{00000000-0004-0000-0700-000000010000}"/>
    <hyperlink ref="C259" r:id="rId258" xr:uid="{00000000-0004-0000-0700-000001010000}"/>
    <hyperlink ref="C260" r:id="rId259" xr:uid="{00000000-0004-0000-0700-000002010000}"/>
    <hyperlink ref="C261" r:id="rId260" xr:uid="{00000000-0004-0000-0700-000003010000}"/>
    <hyperlink ref="C262" r:id="rId261" xr:uid="{00000000-0004-0000-0700-000004010000}"/>
    <hyperlink ref="C263" r:id="rId262" xr:uid="{00000000-0004-0000-0700-000005010000}"/>
    <hyperlink ref="C264" r:id="rId263" xr:uid="{00000000-0004-0000-0700-000006010000}"/>
    <hyperlink ref="C265" r:id="rId264" xr:uid="{00000000-0004-0000-0700-000007010000}"/>
    <hyperlink ref="C266" r:id="rId265" xr:uid="{00000000-0004-0000-0700-000008010000}"/>
    <hyperlink ref="C267" r:id="rId266" xr:uid="{00000000-0004-0000-0700-000009010000}"/>
    <hyperlink ref="C268" r:id="rId267" xr:uid="{00000000-0004-0000-0700-00000A010000}"/>
    <hyperlink ref="C269" r:id="rId268" xr:uid="{00000000-0004-0000-0700-00000B010000}"/>
    <hyperlink ref="C270" r:id="rId269" xr:uid="{00000000-0004-0000-0700-00000C010000}"/>
    <hyperlink ref="C271" r:id="rId270" xr:uid="{00000000-0004-0000-0700-00000D010000}"/>
    <hyperlink ref="C272" r:id="rId271" xr:uid="{00000000-0004-0000-0700-00000E010000}"/>
    <hyperlink ref="C273" r:id="rId272" xr:uid="{00000000-0004-0000-0700-00000F010000}"/>
    <hyperlink ref="C274" r:id="rId273" xr:uid="{00000000-0004-0000-0700-000010010000}"/>
    <hyperlink ref="C275" r:id="rId274" xr:uid="{00000000-0004-0000-0700-000011010000}"/>
    <hyperlink ref="C276" r:id="rId275" xr:uid="{00000000-0004-0000-0700-000012010000}"/>
    <hyperlink ref="C277" r:id="rId276" xr:uid="{00000000-0004-0000-0700-000013010000}"/>
    <hyperlink ref="C278" r:id="rId277" xr:uid="{00000000-0004-0000-0700-000014010000}"/>
    <hyperlink ref="C279" r:id="rId278" xr:uid="{00000000-0004-0000-0700-000015010000}"/>
    <hyperlink ref="C280" r:id="rId279" xr:uid="{00000000-0004-0000-0700-000016010000}"/>
    <hyperlink ref="C281" r:id="rId280" xr:uid="{00000000-0004-0000-0700-000017010000}"/>
    <hyperlink ref="C282" r:id="rId281" xr:uid="{00000000-0004-0000-0700-000018010000}"/>
    <hyperlink ref="C283" r:id="rId282" xr:uid="{00000000-0004-0000-0700-000019010000}"/>
    <hyperlink ref="C284" r:id="rId283" xr:uid="{00000000-0004-0000-0700-00001A010000}"/>
    <hyperlink ref="C285" r:id="rId284" xr:uid="{00000000-0004-0000-0700-00001B010000}"/>
    <hyperlink ref="C286" r:id="rId285" xr:uid="{00000000-0004-0000-0700-00001C010000}"/>
    <hyperlink ref="C287" r:id="rId286" xr:uid="{00000000-0004-0000-0700-00001D010000}"/>
    <hyperlink ref="C288" r:id="rId287" xr:uid="{00000000-0004-0000-0700-00001E010000}"/>
    <hyperlink ref="C289" r:id="rId288" xr:uid="{00000000-0004-0000-0700-00001F010000}"/>
    <hyperlink ref="C290" r:id="rId289" xr:uid="{00000000-0004-0000-0700-000020010000}"/>
    <hyperlink ref="C291" r:id="rId290" xr:uid="{00000000-0004-0000-0700-000021010000}"/>
    <hyperlink ref="C292" r:id="rId291" xr:uid="{00000000-0004-0000-0700-000022010000}"/>
    <hyperlink ref="C293" r:id="rId292" xr:uid="{00000000-0004-0000-0700-000023010000}"/>
    <hyperlink ref="C294" r:id="rId293" xr:uid="{00000000-0004-0000-0700-000024010000}"/>
    <hyperlink ref="C295" r:id="rId294" xr:uid="{00000000-0004-0000-0700-000025010000}"/>
    <hyperlink ref="C296" r:id="rId295" xr:uid="{00000000-0004-0000-0700-000026010000}"/>
    <hyperlink ref="C297" r:id="rId296" xr:uid="{00000000-0004-0000-0700-000027010000}"/>
    <hyperlink ref="C298" r:id="rId297" xr:uid="{00000000-0004-0000-0700-000028010000}"/>
    <hyperlink ref="C299" r:id="rId298" xr:uid="{00000000-0004-0000-0700-000029010000}"/>
    <hyperlink ref="C300" r:id="rId299" xr:uid="{00000000-0004-0000-0700-00002A010000}"/>
    <hyperlink ref="C301" r:id="rId300" xr:uid="{00000000-0004-0000-0700-00002B010000}"/>
    <hyperlink ref="C302" r:id="rId301" xr:uid="{00000000-0004-0000-0700-00002C010000}"/>
    <hyperlink ref="C303" r:id="rId302" xr:uid="{00000000-0004-0000-0700-00002D010000}"/>
    <hyperlink ref="C304" r:id="rId303" xr:uid="{00000000-0004-0000-0700-00002E010000}"/>
    <hyperlink ref="C305" r:id="rId304" xr:uid="{00000000-0004-0000-0700-00002F010000}"/>
    <hyperlink ref="C306" r:id="rId305" xr:uid="{00000000-0004-0000-0700-000030010000}"/>
    <hyperlink ref="C307" r:id="rId306" xr:uid="{00000000-0004-0000-0700-000031010000}"/>
    <hyperlink ref="C308" r:id="rId307" xr:uid="{00000000-0004-0000-0700-000032010000}"/>
    <hyperlink ref="C309" r:id="rId308" xr:uid="{00000000-0004-0000-0700-000033010000}"/>
    <hyperlink ref="C310" r:id="rId309" xr:uid="{00000000-0004-0000-0700-000034010000}"/>
    <hyperlink ref="C311" r:id="rId310" xr:uid="{00000000-0004-0000-0700-000035010000}"/>
    <hyperlink ref="C312" r:id="rId311" xr:uid="{00000000-0004-0000-0700-000036010000}"/>
    <hyperlink ref="C313" r:id="rId312" xr:uid="{00000000-0004-0000-0700-000037010000}"/>
    <hyperlink ref="C314" r:id="rId313" xr:uid="{00000000-0004-0000-0700-000038010000}"/>
    <hyperlink ref="C315" r:id="rId314" xr:uid="{00000000-0004-0000-0700-000039010000}"/>
    <hyperlink ref="C316" r:id="rId315" xr:uid="{00000000-0004-0000-0700-00003A010000}"/>
    <hyperlink ref="C317" r:id="rId316" xr:uid="{00000000-0004-0000-0700-00003B010000}"/>
    <hyperlink ref="C318" r:id="rId317" xr:uid="{00000000-0004-0000-0700-00003C010000}"/>
    <hyperlink ref="C319" r:id="rId318" xr:uid="{00000000-0004-0000-0700-00003D010000}"/>
    <hyperlink ref="C320" r:id="rId319" xr:uid="{00000000-0004-0000-0700-00003E010000}"/>
    <hyperlink ref="C321" r:id="rId320" xr:uid="{00000000-0004-0000-0700-00003F010000}"/>
    <hyperlink ref="C322" r:id="rId321" xr:uid="{00000000-0004-0000-0700-000040010000}"/>
    <hyperlink ref="C323" r:id="rId322" xr:uid="{00000000-0004-0000-0700-000041010000}"/>
    <hyperlink ref="C324" r:id="rId323" xr:uid="{00000000-0004-0000-0700-000042010000}"/>
    <hyperlink ref="C325" r:id="rId324" xr:uid="{00000000-0004-0000-0700-000043010000}"/>
    <hyperlink ref="C326" r:id="rId325" xr:uid="{00000000-0004-0000-0700-000044010000}"/>
    <hyperlink ref="C327" r:id="rId326" xr:uid="{00000000-0004-0000-0700-000045010000}"/>
    <hyperlink ref="C328" r:id="rId327" xr:uid="{00000000-0004-0000-0700-000046010000}"/>
    <hyperlink ref="C329" r:id="rId328" xr:uid="{00000000-0004-0000-0700-000047010000}"/>
    <hyperlink ref="C330" r:id="rId329" xr:uid="{00000000-0004-0000-0700-000048010000}"/>
    <hyperlink ref="C331" r:id="rId330" xr:uid="{00000000-0004-0000-0700-000049010000}"/>
    <hyperlink ref="C332" r:id="rId331" xr:uid="{00000000-0004-0000-0700-00004A010000}"/>
    <hyperlink ref="C333" r:id="rId332" xr:uid="{00000000-0004-0000-0700-00004B010000}"/>
    <hyperlink ref="C334" r:id="rId333" xr:uid="{00000000-0004-0000-0700-00004C010000}"/>
    <hyperlink ref="C335" r:id="rId334" xr:uid="{00000000-0004-0000-0700-00004D010000}"/>
    <hyperlink ref="C336" r:id="rId335" xr:uid="{00000000-0004-0000-0700-00004E010000}"/>
    <hyperlink ref="C337" r:id="rId336" xr:uid="{00000000-0004-0000-0700-00004F010000}"/>
    <hyperlink ref="C338" r:id="rId337" xr:uid="{00000000-0004-0000-0700-000050010000}"/>
    <hyperlink ref="C339" r:id="rId338" xr:uid="{00000000-0004-0000-0700-000051010000}"/>
    <hyperlink ref="C340" r:id="rId339" xr:uid="{00000000-0004-0000-0700-000052010000}"/>
    <hyperlink ref="C341" r:id="rId340" xr:uid="{00000000-0004-0000-0700-000053010000}"/>
    <hyperlink ref="C342" r:id="rId341" xr:uid="{00000000-0004-0000-0700-000054010000}"/>
    <hyperlink ref="C343" r:id="rId342" xr:uid="{00000000-0004-0000-0700-000055010000}"/>
    <hyperlink ref="C344" r:id="rId343" xr:uid="{00000000-0004-0000-0700-000056010000}"/>
    <hyperlink ref="C345" r:id="rId344" xr:uid="{00000000-0004-0000-0700-000057010000}"/>
    <hyperlink ref="C346" r:id="rId345" xr:uid="{00000000-0004-0000-0700-000058010000}"/>
    <hyperlink ref="C347" r:id="rId346" xr:uid="{00000000-0004-0000-0700-000059010000}"/>
    <hyperlink ref="C348" r:id="rId347" xr:uid="{00000000-0004-0000-0700-00005A010000}"/>
    <hyperlink ref="C349" r:id="rId348" xr:uid="{00000000-0004-0000-0700-00005B010000}"/>
    <hyperlink ref="C350" r:id="rId349" xr:uid="{00000000-0004-0000-0700-00005C010000}"/>
    <hyperlink ref="C351" r:id="rId350" xr:uid="{00000000-0004-0000-0700-00005D010000}"/>
    <hyperlink ref="C352" r:id="rId351" xr:uid="{00000000-0004-0000-0700-00005E010000}"/>
    <hyperlink ref="C353" r:id="rId352" xr:uid="{00000000-0004-0000-0700-00005F010000}"/>
    <hyperlink ref="C354" r:id="rId353" xr:uid="{00000000-0004-0000-0700-000060010000}"/>
    <hyperlink ref="C355" r:id="rId354" xr:uid="{00000000-0004-0000-0700-000061010000}"/>
    <hyperlink ref="C356" r:id="rId355" xr:uid="{00000000-0004-0000-0700-000062010000}"/>
    <hyperlink ref="C357" r:id="rId356" xr:uid="{00000000-0004-0000-0700-000063010000}"/>
    <hyperlink ref="C358" r:id="rId357" xr:uid="{00000000-0004-0000-0700-000064010000}"/>
    <hyperlink ref="C359" r:id="rId358" xr:uid="{00000000-0004-0000-0700-000065010000}"/>
    <hyperlink ref="C360" r:id="rId359" xr:uid="{00000000-0004-0000-0700-000066010000}"/>
    <hyperlink ref="C361" r:id="rId360" xr:uid="{00000000-0004-0000-0700-000067010000}"/>
    <hyperlink ref="C362" r:id="rId361" xr:uid="{00000000-0004-0000-0700-000068010000}"/>
    <hyperlink ref="C363" r:id="rId362" xr:uid="{00000000-0004-0000-0700-000069010000}"/>
    <hyperlink ref="C364" r:id="rId363" xr:uid="{00000000-0004-0000-0700-00006A010000}"/>
    <hyperlink ref="C365" r:id="rId364" xr:uid="{00000000-0004-0000-0700-00006B010000}"/>
    <hyperlink ref="C366" r:id="rId365" xr:uid="{00000000-0004-0000-0700-00006C010000}"/>
    <hyperlink ref="C367" r:id="rId366" xr:uid="{00000000-0004-0000-0700-00006D010000}"/>
    <hyperlink ref="C368" r:id="rId367" xr:uid="{00000000-0004-0000-0700-00006E010000}"/>
    <hyperlink ref="C369" r:id="rId368" xr:uid="{00000000-0004-0000-0700-00006F010000}"/>
    <hyperlink ref="C370" r:id="rId369" xr:uid="{00000000-0004-0000-0700-000070010000}"/>
    <hyperlink ref="C371" r:id="rId370" xr:uid="{00000000-0004-0000-0700-000071010000}"/>
    <hyperlink ref="C372" r:id="rId371" xr:uid="{00000000-0004-0000-0700-000072010000}"/>
    <hyperlink ref="C373" r:id="rId372" xr:uid="{00000000-0004-0000-0700-000073010000}"/>
    <hyperlink ref="C374" r:id="rId373" xr:uid="{00000000-0004-0000-0700-000074010000}"/>
    <hyperlink ref="C375" r:id="rId374" xr:uid="{00000000-0004-0000-0700-000075010000}"/>
    <hyperlink ref="C376" r:id="rId375" xr:uid="{00000000-0004-0000-0700-000076010000}"/>
    <hyperlink ref="C377" r:id="rId376" xr:uid="{00000000-0004-0000-0700-000077010000}"/>
    <hyperlink ref="C378" r:id="rId377" xr:uid="{00000000-0004-0000-0700-000078010000}"/>
    <hyperlink ref="C379" r:id="rId378" xr:uid="{00000000-0004-0000-0700-000079010000}"/>
    <hyperlink ref="C380" r:id="rId379" xr:uid="{00000000-0004-0000-0700-00007A010000}"/>
    <hyperlink ref="C381" r:id="rId380" xr:uid="{00000000-0004-0000-0700-00007B010000}"/>
    <hyperlink ref="C382" r:id="rId381" xr:uid="{00000000-0004-0000-0700-00007C010000}"/>
    <hyperlink ref="C383" r:id="rId382" xr:uid="{00000000-0004-0000-0700-00007D010000}"/>
    <hyperlink ref="C384" r:id="rId383" xr:uid="{00000000-0004-0000-0700-00007E010000}"/>
    <hyperlink ref="C385" r:id="rId384" xr:uid="{00000000-0004-0000-0700-00007F010000}"/>
    <hyperlink ref="C386" r:id="rId385" xr:uid="{00000000-0004-0000-0700-000080010000}"/>
    <hyperlink ref="C387" r:id="rId386" xr:uid="{00000000-0004-0000-0700-000081010000}"/>
    <hyperlink ref="C388" r:id="rId387" xr:uid="{00000000-0004-0000-0700-000082010000}"/>
    <hyperlink ref="C389" r:id="rId388" xr:uid="{00000000-0004-0000-0700-000083010000}"/>
    <hyperlink ref="C390" r:id="rId389" xr:uid="{00000000-0004-0000-0700-000084010000}"/>
    <hyperlink ref="C391" r:id="rId390" xr:uid="{00000000-0004-0000-0700-000085010000}"/>
    <hyperlink ref="C392" r:id="rId391" xr:uid="{00000000-0004-0000-0700-000086010000}"/>
    <hyperlink ref="C393" r:id="rId392" xr:uid="{00000000-0004-0000-0700-000087010000}"/>
    <hyperlink ref="C394" r:id="rId393" xr:uid="{00000000-0004-0000-0700-000088010000}"/>
    <hyperlink ref="C395" r:id="rId394" xr:uid="{00000000-0004-0000-0700-000089010000}"/>
    <hyperlink ref="C396" r:id="rId395" xr:uid="{00000000-0004-0000-0700-00008A010000}"/>
    <hyperlink ref="C397" r:id="rId396" xr:uid="{00000000-0004-0000-0700-00008B010000}"/>
    <hyperlink ref="C398" r:id="rId397" xr:uid="{00000000-0004-0000-0700-00008C010000}"/>
    <hyperlink ref="C399" r:id="rId398" xr:uid="{00000000-0004-0000-0700-00008D010000}"/>
    <hyperlink ref="C400" r:id="rId399" xr:uid="{00000000-0004-0000-0700-00008E010000}"/>
    <hyperlink ref="C401" r:id="rId400" xr:uid="{00000000-0004-0000-0700-00008F010000}"/>
    <hyperlink ref="C402" r:id="rId401" xr:uid="{00000000-0004-0000-0700-000090010000}"/>
    <hyperlink ref="C403" r:id="rId402" xr:uid="{00000000-0004-0000-0700-000091010000}"/>
    <hyperlink ref="C404" r:id="rId403" xr:uid="{00000000-0004-0000-0700-000092010000}"/>
    <hyperlink ref="C405" r:id="rId404" xr:uid="{00000000-0004-0000-0700-000093010000}"/>
    <hyperlink ref="C406" r:id="rId405" xr:uid="{00000000-0004-0000-0700-000094010000}"/>
    <hyperlink ref="C407" r:id="rId406" xr:uid="{00000000-0004-0000-0700-000095010000}"/>
    <hyperlink ref="C408" r:id="rId407" xr:uid="{00000000-0004-0000-0700-000096010000}"/>
    <hyperlink ref="C409" r:id="rId408" xr:uid="{00000000-0004-0000-0700-000097010000}"/>
    <hyperlink ref="C410" r:id="rId409" xr:uid="{00000000-0004-0000-0700-000098010000}"/>
    <hyperlink ref="C411" r:id="rId410" xr:uid="{00000000-0004-0000-0700-000099010000}"/>
    <hyperlink ref="C412" r:id="rId411" xr:uid="{00000000-0004-0000-0700-00009A010000}"/>
    <hyperlink ref="C413" r:id="rId412" xr:uid="{00000000-0004-0000-0700-00009B010000}"/>
    <hyperlink ref="C414" r:id="rId413" xr:uid="{00000000-0004-0000-0700-00009C010000}"/>
    <hyperlink ref="C415" r:id="rId414" xr:uid="{00000000-0004-0000-0700-00009D010000}"/>
    <hyperlink ref="C416" r:id="rId415" xr:uid="{00000000-0004-0000-0700-00009E010000}"/>
    <hyperlink ref="C417" r:id="rId416" xr:uid="{00000000-0004-0000-0700-00009F010000}"/>
    <hyperlink ref="C418" r:id="rId417" xr:uid="{00000000-0004-0000-0700-0000A0010000}"/>
    <hyperlink ref="C419" r:id="rId418" xr:uid="{00000000-0004-0000-0700-0000A1010000}"/>
    <hyperlink ref="C420" r:id="rId419" xr:uid="{00000000-0004-0000-0700-0000A2010000}"/>
    <hyperlink ref="C421" r:id="rId420" xr:uid="{00000000-0004-0000-0700-0000A3010000}"/>
    <hyperlink ref="C422" r:id="rId421" xr:uid="{00000000-0004-0000-0700-0000A4010000}"/>
    <hyperlink ref="C423" r:id="rId422" xr:uid="{00000000-0004-0000-0700-0000A5010000}"/>
    <hyperlink ref="C424" r:id="rId423" xr:uid="{00000000-0004-0000-0700-0000A6010000}"/>
    <hyperlink ref="C425" r:id="rId424" xr:uid="{00000000-0004-0000-0700-0000A7010000}"/>
    <hyperlink ref="C426" r:id="rId425" xr:uid="{00000000-0004-0000-0700-0000A8010000}"/>
    <hyperlink ref="C427" r:id="rId426" xr:uid="{00000000-0004-0000-0700-0000A9010000}"/>
    <hyperlink ref="C428" r:id="rId427" xr:uid="{00000000-0004-0000-0700-0000AA010000}"/>
    <hyperlink ref="C429" r:id="rId428" xr:uid="{00000000-0004-0000-0700-0000AB010000}"/>
    <hyperlink ref="C430" r:id="rId429" xr:uid="{00000000-0004-0000-0700-0000AC010000}"/>
    <hyperlink ref="C431" r:id="rId430" xr:uid="{00000000-0004-0000-0700-0000AD010000}"/>
    <hyperlink ref="C432" r:id="rId431" xr:uid="{00000000-0004-0000-0700-0000AE010000}"/>
    <hyperlink ref="C433" r:id="rId432" xr:uid="{00000000-0004-0000-0700-0000AF010000}"/>
    <hyperlink ref="C434" r:id="rId433" xr:uid="{00000000-0004-0000-0700-0000B0010000}"/>
    <hyperlink ref="C435" r:id="rId434" xr:uid="{00000000-0004-0000-0700-0000B1010000}"/>
    <hyperlink ref="C436" r:id="rId435" xr:uid="{00000000-0004-0000-0700-0000B2010000}"/>
    <hyperlink ref="C437" r:id="rId436" xr:uid="{00000000-0004-0000-0700-0000B3010000}"/>
    <hyperlink ref="C438" r:id="rId437" xr:uid="{00000000-0004-0000-0700-0000B4010000}"/>
    <hyperlink ref="C439" r:id="rId438" xr:uid="{00000000-0004-0000-0700-0000B5010000}"/>
    <hyperlink ref="C440" r:id="rId439" xr:uid="{00000000-0004-0000-0700-0000B6010000}"/>
    <hyperlink ref="C441" r:id="rId440" xr:uid="{00000000-0004-0000-0700-0000B7010000}"/>
    <hyperlink ref="C442" r:id="rId441" xr:uid="{00000000-0004-0000-0700-0000B8010000}"/>
    <hyperlink ref="C443" r:id="rId442" xr:uid="{00000000-0004-0000-0700-0000B9010000}"/>
    <hyperlink ref="C444" r:id="rId443" xr:uid="{00000000-0004-0000-0700-0000BA010000}"/>
    <hyperlink ref="C445" r:id="rId444" xr:uid="{00000000-0004-0000-0700-0000BB010000}"/>
    <hyperlink ref="C446" r:id="rId445" xr:uid="{00000000-0004-0000-0700-0000BC010000}"/>
    <hyperlink ref="C447" r:id="rId446" xr:uid="{00000000-0004-0000-0700-0000BD010000}"/>
    <hyperlink ref="C448" r:id="rId447" xr:uid="{00000000-0004-0000-0700-0000BE010000}"/>
    <hyperlink ref="C449" r:id="rId448" xr:uid="{00000000-0004-0000-0700-0000BF010000}"/>
    <hyperlink ref="C450" r:id="rId449" xr:uid="{00000000-0004-0000-0700-0000C0010000}"/>
    <hyperlink ref="C451" r:id="rId450" xr:uid="{00000000-0004-0000-0700-0000C1010000}"/>
    <hyperlink ref="C452" r:id="rId451" xr:uid="{00000000-0004-0000-0700-0000C2010000}"/>
    <hyperlink ref="C453" r:id="rId452" xr:uid="{00000000-0004-0000-0700-0000C3010000}"/>
    <hyperlink ref="C454" r:id="rId453" xr:uid="{00000000-0004-0000-0700-0000C4010000}"/>
    <hyperlink ref="C455" r:id="rId454" xr:uid="{00000000-0004-0000-0700-0000C5010000}"/>
    <hyperlink ref="C456" r:id="rId455" xr:uid="{00000000-0004-0000-0700-0000C6010000}"/>
    <hyperlink ref="C457" r:id="rId456" xr:uid="{00000000-0004-0000-0700-0000C7010000}"/>
    <hyperlink ref="C458" r:id="rId457" xr:uid="{00000000-0004-0000-0700-0000C8010000}"/>
    <hyperlink ref="C459" r:id="rId458" xr:uid="{00000000-0004-0000-0700-0000C9010000}"/>
    <hyperlink ref="C460" r:id="rId459" xr:uid="{00000000-0004-0000-0700-0000CA010000}"/>
    <hyperlink ref="C461" r:id="rId460" xr:uid="{00000000-0004-0000-0700-0000CB010000}"/>
    <hyperlink ref="C462" r:id="rId461" xr:uid="{00000000-0004-0000-0700-0000CC010000}"/>
    <hyperlink ref="C463" r:id="rId462" xr:uid="{00000000-0004-0000-0700-0000CD010000}"/>
    <hyperlink ref="C464" r:id="rId463" xr:uid="{00000000-0004-0000-0700-0000CE010000}"/>
    <hyperlink ref="C465" r:id="rId464" xr:uid="{00000000-0004-0000-0700-0000CF010000}"/>
    <hyperlink ref="C466" r:id="rId465" xr:uid="{00000000-0004-0000-0700-0000D0010000}"/>
    <hyperlink ref="C467" r:id="rId466" xr:uid="{00000000-0004-0000-0700-0000D1010000}"/>
    <hyperlink ref="C468" r:id="rId467" xr:uid="{00000000-0004-0000-0700-0000D2010000}"/>
    <hyperlink ref="C469" r:id="rId468" xr:uid="{00000000-0004-0000-0700-0000D3010000}"/>
    <hyperlink ref="C470" r:id="rId469" xr:uid="{00000000-0004-0000-0700-0000D4010000}"/>
    <hyperlink ref="C471" r:id="rId470" xr:uid="{00000000-0004-0000-0700-0000D5010000}"/>
    <hyperlink ref="C472" r:id="rId471" xr:uid="{00000000-0004-0000-0700-0000D6010000}"/>
    <hyperlink ref="C473" r:id="rId472" xr:uid="{00000000-0004-0000-0700-0000D7010000}"/>
    <hyperlink ref="C474" r:id="rId473" xr:uid="{00000000-0004-0000-0700-0000D8010000}"/>
    <hyperlink ref="C475" r:id="rId474" xr:uid="{00000000-0004-0000-0700-0000D9010000}"/>
    <hyperlink ref="C476" r:id="rId475" xr:uid="{00000000-0004-0000-0700-0000DA010000}"/>
    <hyperlink ref="C477" r:id="rId476" xr:uid="{00000000-0004-0000-0700-0000DB010000}"/>
    <hyperlink ref="C478" r:id="rId477" xr:uid="{00000000-0004-0000-0700-0000DC010000}"/>
    <hyperlink ref="C479" r:id="rId478" xr:uid="{00000000-0004-0000-0700-0000DD010000}"/>
    <hyperlink ref="C480" r:id="rId479" xr:uid="{00000000-0004-0000-0700-0000DE010000}"/>
    <hyperlink ref="C481" r:id="rId480" xr:uid="{00000000-0004-0000-0700-0000DF010000}"/>
    <hyperlink ref="C482" r:id="rId481" xr:uid="{00000000-0004-0000-0700-0000E0010000}"/>
    <hyperlink ref="C483" r:id="rId482" xr:uid="{00000000-0004-0000-0700-0000E1010000}"/>
    <hyperlink ref="C484" r:id="rId483" xr:uid="{00000000-0004-0000-0700-0000E2010000}"/>
    <hyperlink ref="C485" r:id="rId484" xr:uid="{00000000-0004-0000-0700-0000E3010000}"/>
    <hyperlink ref="C486" r:id="rId485" xr:uid="{00000000-0004-0000-0700-0000E4010000}"/>
    <hyperlink ref="C487" r:id="rId486" xr:uid="{00000000-0004-0000-0700-0000E5010000}"/>
    <hyperlink ref="C488" r:id="rId487" xr:uid="{00000000-0004-0000-0700-0000E6010000}"/>
    <hyperlink ref="C489" r:id="rId488" xr:uid="{00000000-0004-0000-0700-0000E7010000}"/>
    <hyperlink ref="C490" r:id="rId489" xr:uid="{00000000-0004-0000-0700-0000E8010000}"/>
    <hyperlink ref="C491" r:id="rId490" xr:uid="{00000000-0004-0000-0700-0000E9010000}"/>
    <hyperlink ref="C492" r:id="rId491" xr:uid="{00000000-0004-0000-0700-0000EA010000}"/>
    <hyperlink ref="C493" r:id="rId492" xr:uid="{00000000-0004-0000-0700-0000EB010000}"/>
    <hyperlink ref="C494" r:id="rId493" xr:uid="{00000000-0004-0000-0700-0000EC010000}"/>
    <hyperlink ref="C495" r:id="rId494" xr:uid="{00000000-0004-0000-0700-0000ED010000}"/>
    <hyperlink ref="C496" r:id="rId495" xr:uid="{00000000-0004-0000-0700-0000EE010000}"/>
    <hyperlink ref="C497" r:id="rId496" xr:uid="{00000000-0004-0000-0700-0000EF010000}"/>
    <hyperlink ref="C498" r:id="rId497" xr:uid="{00000000-0004-0000-0700-0000F0010000}"/>
    <hyperlink ref="C499" r:id="rId498" xr:uid="{00000000-0004-0000-0700-0000F1010000}"/>
    <hyperlink ref="C500" r:id="rId499" xr:uid="{00000000-0004-0000-0700-0000F2010000}"/>
    <hyperlink ref="C501" r:id="rId500" xr:uid="{00000000-0004-0000-0700-0000F3010000}"/>
    <hyperlink ref="C502" r:id="rId501" xr:uid="{00000000-0004-0000-0700-0000F4010000}"/>
    <hyperlink ref="C503" r:id="rId502" xr:uid="{00000000-0004-0000-0700-0000F5010000}"/>
    <hyperlink ref="C504" r:id="rId503" xr:uid="{00000000-0004-0000-0700-0000F6010000}"/>
    <hyperlink ref="C505" r:id="rId504" xr:uid="{00000000-0004-0000-0700-0000F7010000}"/>
    <hyperlink ref="C506" r:id="rId505" xr:uid="{00000000-0004-0000-0700-0000F8010000}"/>
    <hyperlink ref="C507" r:id="rId506" xr:uid="{00000000-0004-0000-0700-0000F9010000}"/>
    <hyperlink ref="C508" r:id="rId507" xr:uid="{00000000-0004-0000-0700-0000FA010000}"/>
    <hyperlink ref="C509" r:id="rId508" xr:uid="{00000000-0004-0000-0700-0000FB010000}"/>
    <hyperlink ref="C510" r:id="rId509" xr:uid="{00000000-0004-0000-0700-0000FC010000}"/>
    <hyperlink ref="C511" r:id="rId510" xr:uid="{00000000-0004-0000-0700-0000FD010000}"/>
    <hyperlink ref="C512" r:id="rId511" xr:uid="{00000000-0004-0000-0700-0000FE010000}"/>
    <hyperlink ref="C513" r:id="rId512" xr:uid="{00000000-0004-0000-0700-0000FF010000}"/>
    <hyperlink ref="C514" r:id="rId513" xr:uid="{00000000-0004-0000-0700-000000020000}"/>
    <hyperlink ref="C515" r:id="rId514" xr:uid="{00000000-0004-0000-0700-000001020000}"/>
    <hyperlink ref="C516" r:id="rId515" xr:uid="{00000000-0004-0000-0700-000002020000}"/>
    <hyperlink ref="C517" r:id="rId516" xr:uid="{00000000-0004-0000-0700-000003020000}"/>
    <hyperlink ref="C518" r:id="rId517" xr:uid="{00000000-0004-0000-0700-000004020000}"/>
    <hyperlink ref="C519" r:id="rId518" xr:uid="{00000000-0004-0000-0700-000005020000}"/>
    <hyperlink ref="C520" r:id="rId519" xr:uid="{00000000-0004-0000-0700-000006020000}"/>
    <hyperlink ref="C521" r:id="rId520" xr:uid="{00000000-0004-0000-0700-000007020000}"/>
    <hyperlink ref="C522" r:id="rId521" xr:uid="{00000000-0004-0000-0700-000008020000}"/>
    <hyperlink ref="C523" r:id="rId522" xr:uid="{00000000-0004-0000-0700-000009020000}"/>
    <hyperlink ref="C524" r:id="rId523" xr:uid="{00000000-0004-0000-0700-00000A020000}"/>
    <hyperlink ref="C525" r:id="rId524" xr:uid="{00000000-0004-0000-0700-00000B020000}"/>
    <hyperlink ref="C526" r:id="rId525" xr:uid="{00000000-0004-0000-0700-00000C020000}"/>
    <hyperlink ref="C527" r:id="rId526" xr:uid="{00000000-0004-0000-0700-00000D020000}"/>
    <hyperlink ref="C528" r:id="rId527" xr:uid="{00000000-0004-0000-0700-00000E020000}"/>
    <hyperlink ref="C529" r:id="rId528" xr:uid="{00000000-0004-0000-0700-00000F020000}"/>
    <hyperlink ref="C530" r:id="rId529" xr:uid="{00000000-0004-0000-0700-000010020000}"/>
    <hyperlink ref="C531" r:id="rId530" xr:uid="{00000000-0004-0000-0700-000011020000}"/>
    <hyperlink ref="C532" r:id="rId531" xr:uid="{00000000-0004-0000-0700-000012020000}"/>
    <hyperlink ref="C533" r:id="rId532" xr:uid="{00000000-0004-0000-0700-000013020000}"/>
    <hyperlink ref="C534" r:id="rId533" xr:uid="{00000000-0004-0000-0700-000014020000}"/>
    <hyperlink ref="C535" r:id="rId534" xr:uid="{00000000-0004-0000-0700-000015020000}"/>
    <hyperlink ref="C536" r:id="rId535" xr:uid="{00000000-0004-0000-0700-000016020000}"/>
    <hyperlink ref="C537" r:id="rId536" xr:uid="{00000000-0004-0000-0700-000017020000}"/>
    <hyperlink ref="C538" r:id="rId537" xr:uid="{00000000-0004-0000-0700-000018020000}"/>
    <hyperlink ref="C539" r:id="rId538" xr:uid="{00000000-0004-0000-0700-000019020000}"/>
    <hyperlink ref="C540" r:id="rId539" xr:uid="{00000000-0004-0000-0700-00001A020000}"/>
    <hyperlink ref="C541" r:id="rId540" xr:uid="{00000000-0004-0000-0700-00001B020000}"/>
    <hyperlink ref="C542" r:id="rId541" xr:uid="{00000000-0004-0000-0700-00001C020000}"/>
    <hyperlink ref="C543" r:id="rId542" xr:uid="{00000000-0004-0000-0700-00001D020000}"/>
    <hyperlink ref="C544" r:id="rId543" xr:uid="{00000000-0004-0000-0700-00001E020000}"/>
    <hyperlink ref="C545" r:id="rId544" xr:uid="{00000000-0004-0000-0700-00001F020000}"/>
    <hyperlink ref="C546" r:id="rId545" xr:uid="{00000000-0004-0000-0700-000020020000}"/>
    <hyperlink ref="C547" r:id="rId546" xr:uid="{00000000-0004-0000-0700-000021020000}"/>
    <hyperlink ref="C548" r:id="rId547" xr:uid="{00000000-0004-0000-0700-000022020000}"/>
    <hyperlink ref="C549" r:id="rId548" xr:uid="{00000000-0004-0000-0700-000023020000}"/>
    <hyperlink ref="C550" r:id="rId549" xr:uid="{00000000-0004-0000-0700-000024020000}"/>
    <hyperlink ref="C551" r:id="rId550" xr:uid="{00000000-0004-0000-0700-000025020000}"/>
    <hyperlink ref="C552" r:id="rId551" xr:uid="{00000000-0004-0000-0700-000026020000}"/>
    <hyperlink ref="C553" r:id="rId552" xr:uid="{00000000-0004-0000-0700-000027020000}"/>
    <hyperlink ref="C554" r:id="rId553" xr:uid="{00000000-0004-0000-0700-000028020000}"/>
    <hyperlink ref="C555" r:id="rId554" xr:uid="{00000000-0004-0000-0700-000029020000}"/>
    <hyperlink ref="C556" r:id="rId555" xr:uid="{00000000-0004-0000-0700-00002A020000}"/>
    <hyperlink ref="C557" r:id="rId556" xr:uid="{00000000-0004-0000-0700-00002B020000}"/>
    <hyperlink ref="C558" r:id="rId557" xr:uid="{00000000-0004-0000-0700-00002C020000}"/>
    <hyperlink ref="C559" r:id="rId558" xr:uid="{00000000-0004-0000-0700-00002D020000}"/>
    <hyperlink ref="C560" r:id="rId559" xr:uid="{00000000-0004-0000-0700-00002E020000}"/>
    <hyperlink ref="C561" r:id="rId560" xr:uid="{00000000-0004-0000-0700-00002F020000}"/>
    <hyperlink ref="C562" r:id="rId561" xr:uid="{00000000-0004-0000-0700-000030020000}"/>
    <hyperlink ref="C563" r:id="rId562" xr:uid="{00000000-0004-0000-0700-000031020000}"/>
    <hyperlink ref="C564" r:id="rId563" xr:uid="{00000000-0004-0000-0700-000032020000}"/>
    <hyperlink ref="C565" r:id="rId564" xr:uid="{00000000-0004-0000-0700-000033020000}"/>
    <hyperlink ref="C566" r:id="rId565" xr:uid="{00000000-0004-0000-0700-000034020000}"/>
    <hyperlink ref="C567" r:id="rId566" xr:uid="{00000000-0004-0000-0700-000035020000}"/>
    <hyperlink ref="C568" r:id="rId567" xr:uid="{00000000-0004-0000-0700-000036020000}"/>
    <hyperlink ref="C569" r:id="rId568" xr:uid="{00000000-0004-0000-0700-000037020000}"/>
    <hyperlink ref="C570" r:id="rId569" xr:uid="{00000000-0004-0000-0700-000038020000}"/>
    <hyperlink ref="C571" r:id="rId570" xr:uid="{00000000-0004-0000-0700-000039020000}"/>
    <hyperlink ref="C572" r:id="rId571" xr:uid="{00000000-0004-0000-0700-00003A020000}"/>
    <hyperlink ref="C573" r:id="rId572" xr:uid="{00000000-0004-0000-0700-00003B020000}"/>
    <hyperlink ref="C574" r:id="rId573" xr:uid="{00000000-0004-0000-0700-00003C020000}"/>
    <hyperlink ref="C575" r:id="rId574" xr:uid="{00000000-0004-0000-0700-00003D020000}"/>
    <hyperlink ref="C576" r:id="rId575" xr:uid="{00000000-0004-0000-0700-00003E020000}"/>
    <hyperlink ref="C577" r:id="rId576" xr:uid="{00000000-0004-0000-0700-00003F020000}"/>
    <hyperlink ref="C578" r:id="rId577" xr:uid="{00000000-0004-0000-0700-000040020000}"/>
    <hyperlink ref="C579" r:id="rId578" xr:uid="{00000000-0004-0000-0700-000041020000}"/>
    <hyperlink ref="C580" r:id="rId579" xr:uid="{00000000-0004-0000-0700-000042020000}"/>
    <hyperlink ref="C581" r:id="rId580" xr:uid="{00000000-0004-0000-0700-000043020000}"/>
    <hyperlink ref="C582" r:id="rId581" xr:uid="{00000000-0004-0000-0700-000044020000}"/>
    <hyperlink ref="C583" r:id="rId582" xr:uid="{00000000-0004-0000-0700-000045020000}"/>
    <hyperlink ref="C584" r:id="rId583" xr:uid="{00000000-0004-0000-0700-000046020000}"/>
    <hyperlink ref="C585" r:id="rId584" xr:uid="{00000000-0004-0000-0700-000047020000}"/>
    <hyperlink ref="C586" r:id="rId585" xr:uid="{00000000-0004-0000-0700-000048020000}"/>
    <hyperlink ref="C587" r:id="rId586" xr:uid="{00000000-0004-0000-0700-000049020000}"/>
    <hyperlink ref="C588" r:id="rId587" xr:uid="{00000000-0004-0000-0700-00004A020000}"/>
    <hyperlink ref="C589" r:id="rId588" xr:uid="{00000000-0004-0000-0700-00004B020000}"/>
    <hyperlink ref="C590" r:id="rId589" xr:uid="{00000000-0004-0000-0700-00004C020000}"/>
    <hyperlink ref="C591" r:id="rId590" xr:uid="{00000000-0004-0000-0700-00004D020000}"/>
    <hyperlink ref="C592" r:id="rId591" xr:uid="{00000000-0004-0000-0700-00004E020000}"/>
    <hyperlink ref="C593" r:id="rId592" xr:uid="{00000000-0004-0000-0700-00004F020000}"/>
    <hyperlink ref="C594" r:id="rId593" xr:uid="{00000000-0004-0000-0700-000050020000}"/>
    <hyperlink ref="C595" r:id="rId594" xr:uid="{00000000-0004-0000-0700-000051020000}"/>
    <hyperlink ref="C596" r:id="rId595" xr:uid="{00000000-0004-0000-0700-000052020000}"/>
    <hyperlink ref="C597" r:id="rId596" xr:uid="{00000000-0004-0000-0700-000053020000}"/>
    <hyperlink ref="C598" r:id="rId597" xr:uid="{00000000-0004-0000-0700-000054020000}"/>
    <hyperlink ref="C599" r:id="rId598" xr:uid="{00000000-0004-0000-0700-000055020000}"/>
    <hyperlink ref="C600" r:id="rId599" xr:uid="{00000000-0004-0000-0700-000056020000}"/>
    <hyperlink ref="C601" r:id="rId600" xr:uid="{00000000-0004-0000-0700-000057020000}"/>
    <hyperlink ref="C602" r:id="rId601" xr:uid="{00000000-0004-0000-0700-000058020000}"/>
    <hyperlink ref="C603" r:id="rId602" xr:uid="{00000000-0004-0000-0700-000059020000}"/>
    <hyperlink ref="C604" r:id="rId603" xr:uid="{00000000-0004-0000-0700-00005A020000}"/>
    <hyperlink ref="C605" r:id="rId604" xr:uid="{00000000-0004-0000-0700-00005B020000}"/>
    <hyperlink ref="C606" r:id="rId605" xr:uid="{00000000-0004-0000-0700-00005C020000}"/>
    <hyperlink ref="C607" r:id="rId606" xr:uid="{00000000-0004-0000-0700-00005D020000}"/>
    <hyperlink ref="C608" r:id="rId607" xr:uid="{00000000-0004-0000-0700-00005E020000}"/>
    <hyperlink ref="C609" r:id="rId608" xr:uid="{00000000-0004-0000-0700-00005F020000}"/>
    <hyperlink ref="C610" r:id="rId609" xr:uid="{00000000-0004-0000-0700-000060020000}"/>
    <hyperlink ref="C611" r:id="rId610" xr:uid="{00000000-0004-0000-0700-000061020000}"/>
    <hyperlink ref="C612" r:id="rId611" xr:uid="{00000000-0004-0000-0700-000062020000}"/>
    <hyperlink ref="C613" r:id="rId612" xr:uid="{00000000-0004-0000-0700-000063020000}"/>
    <hyperlink ref="C614" r:id="rId613" xr:uid="{00000000-0004-0000-0700-000064020000}"/>
    <hyperlink ref="C615" r:id="rId614" xr:uid="{00000000-0004-0000-0700-00006502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113"/>
  <sheetViews>
    <sheetView workbookViewId="0"/>
  </sheetViews>
  <sheetFormatPr baseColWidth="10" defaultColWidth="12.6640625" defaultRowHeight="15.75" customHeight="1" x14ac:dyDescent="0.15"/>
  <cols>
    <col min="1" max="1" width="24.1640625" customWidth="1"/>
  </cols>
  <sheetData>
    <row r="1" spans="1:6" x14ac:dyDescent="0.2">
      <c r="A1" s="169" t="s">
        <v>917</v>
      </c>
      <c r="B1" s="169" t="s">
        <v>918</v>
      </c>
      <c r="C1" s="169" t="s">
        <v>919</v>
      </c>
      <c r="D1" s="169" t="s">
        <v>920</v>
      </c>
      <c r="E1" s="169" t="s">
        <v>921</v>
      </c>
      <c r="F1" s="169" t="s">
        <v>116</v>
      </c>
    </row>
    <row r="2" spans="1:6" x14ac:dyDescent="0.2">
      <c r="A2" s="170" t="s">
        <v>2519</v>
      </c>
      <c r="B2" s="171">
        <v>22950</v>
      </c>
      <c r="C2" s="172" t="s">
        <v>2520</v>
      </c>
      <c r="D2" s="170" t="s">
        <v>924</v>
      </c>
      <c r="E2" s="171">
        <v>1</v>
      </c>
      <c r="F2" s="170" t="s">
        <v>1569</v>
      </c>
    </row>
    <row r="3" spans="1:6" x14ac:dyDescent="0.2">
      <c r="A3" s="170" t="s">
        <v>2521</v>
      </c>
      <c r="B3" s="171">
        <v>22950</v>
      </c>
      <c r="C3" s="172" t="s">
        <v>2520</v>
      </c>
      <c r="D3" s="170" t="s">
        <v>924</v>
      </c>
      <c r="E3" s="171">
        <v>1</v>
      </c>
      <c r="F3" s="170" t="s">
        <v>1569</v>
      </c>
    </row>
    <row r="4" spans="1:6" x14ac:dyDescent="0.2">
      <c r="A4" s="170" t="s">
        <v>2522</v>
      </c>
      <c r="B4" s="171">
        <v>22950</v>
      </c>
      <c r="C4" s="172" t="s">
        <v>2520</v>
      </c>
      <c r="D4" s="170" t="s">
        <v>924</v>
      </c>
      <c r="E4" s="171">
        <v>1</v>
      </c>
      <c r="F4" s="170" t="s">
        <v>1569</v>
      </c>
    </row>
    <row r="5" spans="1:6" x14ac:dyDescent="0.2">
      <c r="A5" s="170" t="s">
        <v>2523</v>
      </c>
      <c r="B5" s="171">
        <v>22950</v>
      </c>
      <c r="C5" s="172" t="s">
        <v>2520</v>
      </c>
      <c r="D5" s="170" t="s">
        <v>924</v>
      </c>
      <c r="E5" s="171">
        <v>1</v>
      </c>
      <c r="F5" s="170" t="s">
        <v>1569</v>
      </c>
    </row>
    <row r="6" spans="1:6" x14ac:dyDescent="0.2">
      <c r="A6" s="170" t="s">
        <v>2524</v>
      </c>
      <c r="B6" s="171">
        <v>37735</v>
      </c>
      <c r="C6" s="172" t="s">
        <v>2525</v>
      </c>
      <c r="D6" s="170" t="s">
        <v>924</v>
      </c>
      <c r="E6" s="171">
        <v>1</v>
      </c>
      <c r="F6" s="170" t="s">
        <v>1569</v>
      </c>
    </row>
    <row r="7" spans="1:6" x14ac:dyDescent="0.2">
      <c r="A7" s="170" t="s">
        <v>2526</v>
      </c>
      <c r="B7" s="171">
        <v>37735</v>
      </c>
      <c r="C7" s="172" t="s">
        <v>2525</v>
      </c>
      <c r="D7" s="170" t="s">
        <v>924</v>
      </c>
      <c r="E7" s="171">
        <v>1</v>
      </c>
      <c r="F7" s="170" t="s">
        <v>1569</v>
      </c>
    </row>
    <row r="8" spans="1:6" x14ac:dyDescent="0.2">
      <c r="A8" s="170" t="s">
        <v>2527</v>
      </c>
      <c r="B8" s="171">
        <v>37735</v>
      </c>
      <c r="C8" s="172" t="s">
        <v>2525</v>
      </c>
      <c r="D8" s="170" t="s">
        <v>924</v>
      </c>
      <c r="E8" s="171">
        <v>1</v>
      </c>
      <c r="F8" s="170" t="s">
        <v>1569</v>
      </c>
    </row>
    <row r="9" spans="1:6" x14ac:dyDescent="0.2">
      <c r="A9" s="170" t="s">
        <v>2528</v>
      </c>
      <c r="B9" s="171">
        <v>37735</v>
      </c>
      <c r="C9" s="172" t="s">
        <v>2525</v>
      </c>
      <c r="D9" s="170" t="s">
        <v>924</v>
      </c>
      <c r="E9" s="171">
        <v>1</v>
      </c>
      <c r="F9" s="170" t="s">
        <v>1569</v>
      </c>
    </row>
    <row r="10" spans="1:6" x14ac:dyDescent="0.2">
      <c r="A10" s="170" t="s">
        <v>2529</v>
      </c>
      <c r="B10" s="171">
        <v>64065</v>
      </c>
      <c r="C10" s="172" t="s">
        <v>2530</v>
      </c>
      <c r="D10" s="170" t="s">
        <v>924</v>
      </c>
      <c r="E10" s="171">
        <v>1</v>
      </c>
      <c r="F10" s="170" t="s">
        <v>1569</v>
      </c>
    </row>
    <row r="11" spans="1:6" x14ac:dyDescent="0.2">
      <c r="A11" s="170" t="s">
        <v>2531</v>
      </c>
      <c r="B11" s="171">
        <v>64065</v>
      </c>
      <c r="C11" s="172" t="s">
        <v>2530</v>
      </c>
      <c r="D11" s="170" t="s">
        <v>924</v>
      </c>
      <c r="E11" s="171">
        <v>1</v>
      </c>
      <c r="F11" s="170" t="s">
        <v>1569</v>
      </c>
    </row>
    <row r="12" spans="1:6" x14ac:dyDescent="0.2">
      <c r="A12" s="170" t="s">
        <v>2532</v>
      </c>
      <c r="B12" s="171">
        <v>64065</v>
      </c>
      <c r="C12" s="172" t="s">
        <v>2530</v>
      </c>
      <c r="D12" s="170" t="s">
        <v>924</v>
      </c>
      <c r="E12" s="171">
        <v>1</v>
      </c>
      <c r="F12" s="170" t="s">
        <v>1569</v>
      </c>
    </row>
    <row r="13" spans="1:6" x14ac:dyDescent="0.2">
      <c r="A13" s="170" t="s">
        <v>2533</v>
      </c>
      <c r="B13" s="171">
        <v>64065</v>
      </c>
      <c r="C13" s="172" t="s">
        <v>2530</v>
      </c>
      <c r="D13" s="170" t="s">
        <v>924</v>
      </c>
      <c r="E13" s="171">
        <v>1</v>
      </c>
      <c r="F13" s="170" t="s">
        <v>1569</v>
      </c>
    </row>
    <row r="14" spans="1:6" x14ac:dyDescent="0.2">
      <c r="A14" s="170" t="s">
        <v>471</v>
      </c>
      <c r="B14" s="171">
        <v>10490</v>
      </c>
      <c r="C14" s="172" t="s">
        <v>2534</v>
      </c>
      <c r="D14" s="170" t="s">
        <v>924</v>
      </c>
      <c r="E14" s="171">
        <v>250</v>
      </c>
      <c r="F14" s="170" t="s">
        <v>936</v>
      </c>
    </row>
    <row r="15" spans="1:6" x14ac:dyDescent="0.2">
      <c r="A15" s="170" t="s">
        <v>2535</v>
      </c>
      <c r="B15" s="171">
        <v>19990</v>
      </c>
      <c r="C15" s="172" t="s">
        <v>2536</v>
      </c>
      <c r="D15" s="170" t="s">
        <v>924</v>
      </c>
      <c r="E15" s="171">
        <v>500</v>
      </c>
      <c r="F15" s="170" t="s">
        <v>936</v>
      </c>
    </row>
    <row r="16" spans="1:6" x14ac:dyDescent="0.2">
      <c r="A16" s="170" t="s">
        <v>2537</v>
      </c>
      <c r="B16" s="171">
        <v>2990</v>
      </c>
      <c r="C16" s="172" t="s">
        <v>2538</v>
      </c>
      <c r="D16" s="170" t="s">
        <v>924</v>
      </c>
      <c r="E16" s="171">
        <v>500</v>
      </c>
      <c r="F16" s="170" t="s">
        <v>936</v>
      </c>
    </row>
    <row r="17" spans="1:6" x14ac:dyDescent="0.2">
      <c r="A17" s="170" t="s">
        <v>604</v>
      </c>
      <c r="B17" s="171">
        <v>4690</v>
      </c>
      <c r="C17" s="172" t="s">
        <v>2539</v>
      </c>
      <c r="D17" s="170" t="s">
        <v>924</v>
      </c>
      <c r="E17" s="171">
        <v>500</v>
      </c>
      <c r="F17" s="170" t="s">
        <v>936</v>
      </c>
    </row>
    <row r="18" spans="1:6" x14ac:dyDescent="0.2">
      <c r="A18" s="170" t="s">
        <v>2540</v>
      </c>
      <c r="B18" s="171">
        <v>2990</v>
      </c>
      <c r="C18" s="172" t="s">
        <v>2541</v>
      </c>
      <c r="D18" s="170" t="s">
        <v>924</v>
      </c>
      <c r="E18" s="171">
        <v>500</v>
      </c>
      <c r="F18" s="170" t="s">
        <v>936</v>
      </c>
    </row>
    <row r="19" spans="1:6" x14ac:dyDescent="0.2">
      <c r="A19" s="170" t="s">
        <v>626</v>
      </c>
      <c r="B19" s="171">
        <v>2190</v>
      </c>
      <c r="C19" s="172" t="s">
        <v>2542</v>
      </c>
      <c r="D19" s="170" t="s">
        <v>924</v>
      </c>
      <c r="E19" s="171">
        <v>3</v>
      </c>
      <c r="F19" s="170" t="s">
        <v>952</v>
      </c>
    </row>
    <row r="20" spans="1:6" x14ac:dyDescent="0.2">
      <c r="A20" s="170" t="s">
        <v>685</v>
      </c>
      <c r="B20" s="171">
        <v>1445</v>
      </c>
      <c r="C20" s="172" t="s">
        <v>2543</v>
      </c>
      <c r="D20" s="170" t="s">
        <v>924</v>
      </c>
      <c r="E20" s="171">
        <v>6</v>
      </c>
      <c r="F20" s="170" t="s">
        <v>952</v>
      </c>
    </row>
    <row r="21" spans="1:6" x14ac:dyDescent="0.2">
      <c r="A21" s="170" t="s">
        <v>692</v>
      </c>
      <c r="B21" s="171">
        <v>2690</v>
      </c>
      <c r="C21" s="172" t="s">
        <v>2544</v>
      </c>
      <c r="D21" s="170" t="s">
        <v>924</v>
      </c>
      <c r="E21" s="171">
        <v>1</v>
      </c>
      <c r="F21" s="170" t="s">
        <v>952</v>
      </c>
    </row>
    <row r="22" spans="1:6" x14ac:dyDescent="0.2">
      <c r="A22" s="170" t="s">
        <v>2545</v>
      </c>
      <c r="B22" s="171">
        <v>2690</v>
      </c>
      <c r="C22" s="172" t="s">
        <v>2544</v>
      </c>
      <c r="D22" s="170" t="s">
        <v>924</v>
      </c>
      <c r="E22" s="171">
        <v>1</v>
      </c>
      <c r="F22" s="170" t="s">
        <v>952</v>
      </c>
    </row>
    <row r="23" spans="1:6" x14ac:dyDescent="0.2">
      <c r="A23" s="170" t="s">
        <v>722</v>
      </c>
      <c r="B23" s="171">
        <v>1445</v>
      </c>
      <c r="C23" s="172" t="s">
        <v>2546</v>
      </c>
      <c r="D23" s="170" t="s">
        <v>924</v>
      </c>
      <c r="E23" s="171">
        <v>2</v>
      </c>
      <c r="F23" s="170" t="s">
        <v>952</v>
      </c>
    </row>
    <row r="24" spans="1:6" x14ac:dyDescent="0.2">
      <c r="A24" s="170" t="s">
        <v>728</v>
      </c>
      <c r="B24" s="171">
        <v>1445</v>
      </c>
      <c r="C24" s="172" t="s">
        <v>2547</v>
      </c>
      <c r="D24" s="170" t="s">
        <v>924</v>
      </c>
      <c r="E24" s="171">
        <v>2</v>
      </c>
      <c r="F24" s="170" t="s">
        <v>952</v>
      </c>
    </row>
    <row r="25" spans="1:6" x14ac:dyDescent="0.2">
      <c r="A25" s="170" t="s">
        <v>733</v>
      </c>
      <c r="B25" s="171">
        <v>1445</v>
      </c>
      <c r="C25" s="172" t="s">
        <v>2548</v>
      </c>
      <c r="D25" s="170" t="s">
        <v>924</v>
      </c>
      <c r="E25" s="171">
        <v>2</v>
      </c>
      <c r="F25" s="170" t="s">
        <v>952</v>
      </c>
    </row>
    <row r="26" spans="1:6" x14ac:dyDescent="0.2">
      <c r="A26" s="170" t="s">
        <v>743</v>
      </c>
      <c r="B26" s="171">
        <v>1445</v>
      </c>
      <c r="C26" s="172" t="s">
        <v>2549</v>
      </c>
      <c r="D26" s="170" t="s">
        <v>924</v>
      </c>
      <c r="E26" s="171">
        <v>2</v>
      </c>
      <c r="F26" s="170" t="s">
        <v>952</v>
      </c>
    </row>
    <row r="27" spans="1:6" x14ac:dyDescent="0.2">
      <c r="A27" s="170" t="s">
        <v>2550</v>
      </c>
      <c r="B27" s="171">
        <v>13990</v>
      </c>
      <c r="C27" s="172" t="s">
        <v>2551</v>
      </c>
      <c r="D27" s="170" t="s">
        <v>924</v>
      </c>
      <c r="E27" s="171">
        <v>5</v>
      </c>
      <c r="F27" s="170" t="s">
        <v>925</v>
      </c>
    </row>
    <row r="28" spans="1:6" x14ac:dyDescent="0.2">
      <c r="A28" s="170" t="s">
        <v>781</v>
      </c>
      <c r="B28" s="171">
        <v>1695</v>
      </c>
      <c r="C28" s="172" t="s">
        <v>2552</v>
      </c>
      <c r="D28" s="170" t="s">
        <v>924</v>
      </c>
      <c r="E28" s="171">
        <v>2</v>
      </c>
      <c r="F28" s="170" t="s">
        <v>952</v>
      </c>
    </row>
    <row r="29" spans="1:6" x14ac:dyDescent="0.2">
      <c r="A29" s="170" t="s">
        <v>794</v>
      </c>
      <c r="B29" s="171">
        <v>1345</v>
      </c>
      <c r="C29" s="172" t="s">
        <v>2553</v>
      </c>
      <c r="D29" s="170" t="s">
        <v>924</v>
      </c>
      <c r="E29" s="171">
        <v>2</v>
      </c>
      <c r="F29" s="170" t="s">
        <v>952</v>
      </c>
    </row>
    <row r="30" spans="1:6" x14ac:dyDescent="0.2">
      <c r="A30" s="170" t="s">
        <v>821</v>
      </c>
      <c r="B30" s="171">
        <v>3990</v>
      </c>
      <c r="C30" s="172" t="s">
        <v>2554</v>
      </c>
      <c r="D30" s="170" t="s">
        <v>924</v>
      </c>
      <c r="E30" s="171">
        <v>1</v>
      </c>
      <c r="F30" s="170" t="s">
        <v>952</v>
      </c>
    </row>
    <row r="31" spans="1:6" x14ac:dyDescent="0.2">
      <c r="A31" s="170" t="s">
        <v>830</v>
      </c>
      <c r="B31" s="171">
        <v>1990</v>
      </c>
      <c r="C31" s="172" t="s">
        <v>2555</v>
      </c>
      <c r="D31" s="170" t="s">
        <v>924</v>
      </c>
      <c r="E31" s="171">
        <v>4</v>
      </c>
      <c r="F31" s="170" t="s">
        <v>952</v>
      </c>
    </row>
    <row r="32" spans="1:6" x14ac:dyDescent="0.2">
      <c r="A32" s="170" t="s">
        <v>2556</v>
      </c>
      <c r="B32" s="171">
        <v>1990</v>
      </c>
      <c r="C32" s="172" t="s">
        <v>2555</v>
      </c>
      <c r="D32" s="170" t="s">
        <v>924</v>
      </c>
      <c r="E32" s="171">
        <v>4</v>
      </c>
      <c r="F32" s="170" t="s">
        <v>952</v>
      </c>
    </row>
    <row r="33" spans="1:6" x14ac:dyDescent="0.2">
      <c r="A33" s="170" t="s">
        <v>2557</v>
      </c>
      <c r="B33" s="171">
        <v>1390</v>
      </c>
      <c r="C33" s="172" t="s">
        <v>2558</v>
      </c>
      <c r="D33" s="170" t="s">
        <v>924</v>
      </c>
      <c r="E33" s="171">
        <v>4</v>
      </c>
      <c r="F33" s="170" t="s">
        <v>952</v>
      </c>
    </row>
    <row r="34" spans="1:6" x14ac:dyDescent="0.2">
      <c r="A34" s="170" t="s">
        <v>835</v>
      </c>
      <c r="B34" s="171">
        <v>1595</v>
      </c>
      <c r="C34" s="172" t="s">
        <v>2559</v>
      </c>
      <c r="D34" s="170" t="s">
        <v>924</v>
      </c>
      <c r="E34" s="171">
        <v>1</v>
      </c>
      <c r="F34" s="170" t="s">
        <v>952</v>
      </c>
    </row>
    <row r="35" spans="1:6" x14ac:dyDescent="0.2">
      <c r="A35" s="170" t="s">
        <v>2519</v>
      </c>
      <c r="B35" s="171">
        <v>22950</v>
      </c>
      <c r="C35" s="172" t="s">
        <v>2520</v>
      </c>
      <c r="D35" s="170" t="s">
        <v>1064</v>
      </c>
      <c r="E35" s="171">
        <v>1</v>
      </c>
      <c r="F35" s="170" t="s">
        <v>1569</v>
      </c>
    </row>
    <row r="36" spans="1:6" x14ac:dyDescent="0.2">
      <c r="A36" s="170" t="s">
        <v>2521</v>
      </c>
      <c r="B36" s="171">
        <v>22950</v>
      </c>
      <c r="C36" s="172" t="s">
        <v>2520</v>
      </c>
      <c r="D36" s="170" t="s">
        <v>1064</v>
      </c>
      <c r="E36" s="171">
        <v>1</v>
      </c>
      <c r="F36" s="170" t="s">
        <v>1569</v>
      </c>
    </row>
    <row r="37" spans="1:6" x14ac:dyDescent="0.2">
      <c r="A37" s="170" t="s">
        <v>2522</v>
      </c>
      <c r="B37" s="171">
        <v>22950</v>
      </c>
      <c r="C37" s="172" t="s">
        <v>2520</v>
      </c>
      <c r="D37" s="170" t="s">
        <v>1064</v>
      </c>
      <c r="E37" s="171">
        <v>1</v>
      </c>
      <c r="F37" s="170" t="s">
        <v>1569</v>
      </c>
    </row>
    <row r="38" spans="1:6" x14ac:dyDescent="0.2">
      <c r="A38" s="170" t="s">
        <v>2523</v>
      </c>
      <c r="B38" s="171">
        <v>22950</v>
      </c>
      <c r="C38" s="172" t="s">
        <v>2520</v>
      </c>
      <c r="D38" s="170" t="s">
        <v>1064</v>
      </c>
      <c r="E38" s="171">
        <v>1</v>
      </c>
      <c r="F38" s="170" t="s">
        <v>1569</v>
      </c>
    </row>
    <row r="39" spans="1:6" x14ac:dyDescent="0.2">
      <c r="A39" s="170" t="s">
        <v>2524</v>
      </c>
      <c r="B39" s="171">
        <v>37735</v>
      </c>
      <c r="C39" s="172" t="s">
        <v>2525</v>
      </c>
      <c r="D39" s="170" t="s">
        <v>1064</v>
      </c>
      <c r="E39" s="171">
        <v>1</v>
      </c>
      <c r="F39" s="170" t="s">
        <v>1569</v>
      </c>
    </row>
    <row r="40" spans="1:6" x14ac:dyDescent="0.2">
      <c r="A40" s="170" t="s">
        <v>2526</v>
      </c>
      <c r="B40" s="171">
        <v>37735</v>
      </c>
      <c r="C40" s="172" t="s">
        <v>2525</v>
      </c>
      <c r="D40" s="170" t="s">
        <v>1064</v>
      </c>
      <c r="E40" s="171">
        <v>1</v>
      </c>
      <c r="F40" s="170" t="s">
        <v>1569</v>
      </c>
    </row>
    <row r="41" spans="1:6" x14ac:dyDescent="0.2">
      <c r="A41" s="170" t="s">
        <v>2527</v>
      </c>
      <c r="B41" s="171">
        <v>37735</v>
      </c>
      <c r="C41" s="172" t="s">
        <v>2525</v>
      </c>
      <c r="D41" s="170" t="s">
        <v>1064</v>
      </c>
      <c r="E41" s="171">
        <v>1</v>
      </c>
      <c r="F41" s="170" t="s">
        <v>1569</v>
      </c>
    </row>
    <row r="42" spans="1:6" x14ac:dyDescent="0.2">
      <c r="A42" s="170" t="s">
        <v>2528</v>
      </c>
      <c r="B42" s="171">
        <v>37735</v>
      </c>
      <c r="C42" s="172" t="s">
        <v>2525</v>
      </c>
      <c r="D42" s="170" t="s">
        <v>1064</v>
      </c>
      <c r="E42" s="171">
        <v>1</v>
      </c>
      <c r="F42" s="170" t="s">
        <v>1569</v>
      </c>
    </row>
    <row r="43" spans="1:6" x14ac:dyDescent="0.2">
      <c r="A43" s="170" t="s">
        <v>2529</v>
      </c>
      <c r="B43" s="171">
        <v>64065</v>
      </c>
      <c r="C43" s="172" t="s">
        <v>2530</v>
      </c>
      <c r="D43" s="170" t="s">
        <v>1064</v>
      </c>
      <c r="E43" s="171">
        <v>1</v>
      </c>
      <c r="F43" s="170" t="s">
        <v>1569</v>
      </c>
    </row>
    <row r="44" spans="1:6" x14ac:dyDescent="0.2">
      <c r="A44" s="170" t="s">
        <v>2531</v>
      </c>
      <c r="B44" s="171">
        <v>64065</v>
      </c>
      <c r="C44" s="172" t="s">
        <v>2530</v>
      </c>
      <c r="D44" s="170" t="s">
        <v>1064</v>
      </c>
      <c r="E44" s="171">
        <v>1</v>
      </c>
      <c r="F44" s="170" t="s">
        <v>1569</v>
      </c>
    </row>
    <row r="45" spans="1:6" x14ac:dyDescent="0.2">
      <c r="A45" s="170" t="s">
        <v>2532</v>
      </c>
      <c r="B45" s="171">
        <v>64065</v>
      </c>
      <c r="C45" s="172" t="s">
        <v>2530</v>
      </c>
      <c r="D45" s="170" t="s">
        <v>1064</v>
      </c>
      <c r="E45" s="171">
        <v>1</v>
      </c>
      <c r="F45" s="170" t="s">
        <v>1569</v>
      </c>
    </row>
    <row r="46" spans="1:6" x14ac:dyDescent="0.2">
      <c r="A46" s="170" t="s">
        <v>2533</v>
      </c>
      <c r="B46" s="171">
        <v>64065</v>
      </c>
      <c r="C46" s="172" t="s">
        <v>2530</v>
      </c>
      <c r="D46" s="170" t="s">
        <v>1064</v>
      </c>
      <c r="E46" s="171">
        <v>1</v>
      </c>
      <c r="F46" s="170" t="s">
        <v>1569</v>
      </c>
    </row>
    <row r="47" spans="1:6" x14ac:dyDescent="0.2">
      <c r="A47" s="170" t="s">
        <v>423</v>
      </c>
      <c r="B47" s="171">
        <v>1390</v>
      </c>
      <c r="C47" s="172" t="s">
        <v>2560</v>
      </c>
      <c r="D47" s="170" t="s">
        <v>1064</v>
      </c>
      <c r="E47" s="171">
        <v>100</v>
      </c>
      <c r="F47" s="170" t="s">
        <v>936</v>
      </c>
    </row>
    <row r="48" spans="1:6" x14ac:dyDescent="0.2">
      <c r="A48" s="170" t="s">
        <v>427</v>
      </c>
      <c r="B48" s="171">
        <v>590</v>
      </c>
      <c r="C48" s="172" t="s">
        <v>2561</v>
      </c>
      <c r="D48" s="170" t="s">
        <v>1064</v>
      </c>
      <c r="E48" s="171">
        <v>1</v>
      </c>
      <c r="F48" s="170" t="s">
        <v>952</v>
      </c>
    </row>
    <row r="49" spans="1:6" x14ac:dyDescent="0.2">
      <c r="A49" s="170" t="s">
        <v>434</v>
      </c>
      <c r="B49" s="171">
        <v>400</v>
      </c>
      <c r="C49" s="172" t="s">
        <v>2562</v>
      </c>
      <c r="D49" s="170" t="s">
        <v>1064</v>
      </c>
      <c r="E49" s="171">
        <v>1</v>
      </c>
      <c r="F49" s="170" t="s">
        <v>952</v>
      </c>
    </row>
    <row r="50" spans="1:6" x14ac:dyDescent="0.2">
      <c r="A50" s="170" t="s">
        <v>148</v>
      </c>
      <c r="B50" s="171">
        <v>1690</v>
      </c>
      <c r="C50" s="172" t="s">
        <v>2563</v>
      </c>
      <c r="D50" s="170" t="s">
        <v>1064</v>
      </c>
      <c r="E50" s="171">
        <v>1</v>
      </c>
      <c r="F50" s="170" t="s">
        <v>952</v>
      </c>
    </row>
    <row r="51" spans="1:6" x14ac:dyDescent="0.2">
      <c r="A51" s="170" t="s">
        <v>446</v>
      </c>
      <c r="B51" s="171">
        <v>1290</v>
      </c>
      <c r="C51" s="172" t="s">
        <v>2564</v>
      </c>
      <c r="D51" s="170" t="s">
        <v>1064</v>
      </c>
      <c r="E51" s="171">
        <v>1</v>
      </c>
      <c r="F51" s="170" t="s">
        <v>952</v>
      </c>
    </row>
    <row r="52" spans="1:6" x14ac:dyDescent="0.2">
      <c r="A52" s="170" t="s">
        <v>464</v>
      </c>
      <c r="B52" s="171">
        <v>1990</v>
      </c>
      <c r="C52" s="172" t="s">
        <v>2565</v>
      </c>
      <c r="D52" s="170" t="s">
        <v>1064</v>
      </c>
      <c r="E52" s="171">
        <v>1</v>
      </c>
      <c r="F52" s="170" t="s">
        <v>952</v>
      </c>
    </row>
    <row r="53" spans="1:6" x14ac:dyDescent="0.2">
      <c r="A53" s="170" t="s">
        <v>481</v>
      </c>
      <c r="B53" s="171">
        <v>890</v>
      </c>
      <c r="C53" s="172" t="s">
        <v>2566</v>
      </c>
      <c r="D53" s="170" t="s">
        <v>1064</v>
      </c>
      <c r="E53" s="171">
        <v>1</v>
      </c>
      <c r="F53" s="170" t="s">
        <v>952</v>
      </c>
    </row>
    <row r="54" spans="1:6" x14ac:dyDescent="0.2">
      <c r="A54" s="170" t="s">
        <v>486</v>
      </c>
      <c r="B54" s="171">
        <v>2690</v>
      </c>
      <c r="C54" s="172" t="s">
        <v>2567</v>
      </c>
      <c r="D54" s="170" t="s">
        <v>1064</v>
      </c>
      <c r="E54" s="171">
        <v>200</v>
      </c>
      <c r="F54" s="170" t="s">
        <v>936</v>
      </c>
    </row>
    <row r="55" spans="1:6" x14ac:dyDescent="0.2">
      <c r="A55" s="170" t="s">
        <v>493</v>
      </c>
      <c r="B55" s="171">
        <v>2190</v>
      </c>
      <c r="C55" s="172" t="s">
        <v>2568</v>
      </c>
      <c r="D55" s="170" t="s">
        <v>1064</v>
      </c>
      <c r="E55" s="171">
        <v>4</v>
      </c>
      <c r="F55" s="170" t="s">
        <v>952</v>
      </c>
    </row>
    <row r="56" spans="1:6" x14ac:dyDescent="0.2">
      <c r="A56" s="170" t="s">
        <v>500</v>
      </c>
      <c r="B56" s="171">
        <v>1990</v>
      </c>
      <c r="C56" s="172" t="s">
        <v>2569</v>
      </c>
      <c r="D56" s="170" t="s">
        <v>1064</v>
      </c>
      <c r="E56" s="171">
        <v>1</v>
      </c>
      <c r="F56" s="170" t="s">
        <v>952</v>
      </c>
    </row>
    <row r="57" spans="1:6" x14ac:dyDescent="0.2">
      <c r="A57" s="170" t="s">
        <v>505</v>
      </c>
      <c r="B57" s="171">
        <v>2490</v>
      </c>
      <c r="C57" s="172" t="s">
        <v>2570</v>
      </c>
      <c r="D57" s="170" t="s">
        <v>1064</v>
      </c>
      <c r="E57" s="171">
        <v>500</v>
      </c>
      <c r="F57" s="170" t="s">
        <v>936</v>
      </c>
    </row>
    <row r="58" spans="1:6" x14ac:dyDescent="0.2">
      <c r="A58" s="170" t="s">
        <v>522</v>
      </c>
      <c r="B58" s="171">
        <v>795</v>
      </c>
      <c r="C58" s="172" t="s">
        <v>2571</v>
      </c>
      <c r="D58" s="170" t="s">
        <v>1064</v>
      </c>
      <c r="E58" s="171">
        <v>2</v>
      </c>
      <c r="F58" s="170" t="s">
        <v>952</v>
      </c>
    </row>
    <row r="59" spans="1:6" x14ac:dyDescent="0.2">
      <c r="A59" s="170" t="s">
        <v>529</v>
      </c>
      <c r="B59" s="171">
        <v>995</v>
      </c>
      <c r="C59" s="172" t="s">
        <v>2572</v>
      </c>
      <c r="D59" s="170" t="s">
        <v>1064</v>
      </c>
      <c r="E59" s="171">
        <v>2</v>
      </c>
      <c r="F59" s="170" t="s">
        <v>952</v>
      </c>
    </row>
    <row r="60" spans="1:6" x14ac:dyDescent="0.2">
      <c r="A60" s="170" t="s">
        <v>536</v>
      </c>
      <c r="B60" s="171">
        <v>990</v>
      </c>
      <c r="C60" s="172" t="s">
        <v>2573</v>
      </c>
      <c r="D60" s="170" t="s">
        <v>1064</v>
      </c>
      <c r="E60" s="171">
        <v>3</v>
      </c>
      <c r="F60" s="170" t="s">
        <v>952</v>
      </c>
    </row>
    <row r="61" spans="1:6" x14ac:dyDescent="0.2">
      <c r="A61" s="170" t="s">
        <v>544</v>
      </c>
      <c r="B61" s="171">
        <v>2190</v>
      </c>
      <c r="C61" s="172" t="s">
        <v>2574</v>
      </c>
      <c r="D61" s="170" t="s">
        <v>1064</v>
      </c>
      <c r="E61" s="171">
        <v>200</v>
      </c>
      <c r="F61" s="170" t="s">
        <v>936</v>
      </c>
    </row>
    <row r="62" spans="1:6" x14ac:dyDescent="0.2">
      <c r="A62" s="170" t="s">
        <v>2575</v>
      </c>
      <c r="B62" s="171">
        <v>2990</v>
      </c>
      <c r="C62" s="172" t="s">
        <v>2576</v>
      </c>
      <c r="D62" s="170" t="s">
        <v>1064</v>
      </c>
      <c r="E62" s="171">
        <v>200</v>
      </c>
      <c r="F62" s="170" t="s">
        <v>936</v>
      </c>
    </row>
    <row r="63" spans="1:6" x14ac:dyDescent="0.2">
      <c r="A63" s="170" t="s">
        <v>555</v>
      </c>
      <c r="B63" s="171">
        <v>990</v>
      </c>
      <c r="C63" s="172" t="s">
        <v>2577</v>
      </c>
      <c r="D63" s="170" t="s">
        <v>1064</v>
      </c>
      <c r="E63" s="171">
        <v>1</v>
      </c>
      <c r="F63" s="170" t="s">
        <v>952</v>
      </c>
    </row>
    <row r="64" spans="1:6" x14ac:dyDescent="0.2">
      <c r="A64" s="170" t="s">
        <v>562</v>
      </c>
      <c r="B64" s="171">
        <v>790</v>
      </c>
      <c r="C64" s="172" t="s">
        <v>2578</v>
      </c>
      <c r="D64" s="170" t="s">
        <v>1064</v>
      </c>
      <c r="E64" s="171">
        <v>20</v>
      </c>
      <c r="F64" s="170" t="s">
        <v>936</v>
      </c>
    </row>
    <row r="65" spans="1:6" x14ac:dyDescent="0.2">
      <c r="A65" s="170" t="s">
        <v>569</v>
      </c>
      <c r="B65" s="171">
        <v>1290</v>
      </c>
      <c r="C65" s="172" t="s">
        <v>2579</v>
      </c>
      <c r="D65" s="170" t="s">
        <v>1064</v>
      </c>
      <c r="E65" s="171">
        <v>100</v>
      </c>
      <c r="F65" s="170" t="s">
        <v>936</v>
      </c>
    </row>
    <row r="66" spans="1:6" x14ac:dyDescent="0.2">
      <c r="A66" s="170" t="s">
        <v>586</v>
      </c>
      <c r="B66" s="171">
        <v>1990</v>
      </c>
      <c r="C66" s="172" t="s">
        <v>2580</v>
      </c>
      <c r="D66" s="170" t="s">
        <v>1064</v>
      </c>
      <c r="E66" s="171">
        <v>1</v>
      </c>
      <c r="F66" s="170" t="s">
        <v>952</v>
      </c>
    </row>
    <row r="67" spans="1:6" x14ac:dyDescent="0.2">
      <c r="A67" s="170" t="s">
        <v>2581</v>
      </c>
      <c r="B67" s="171">
        <v>2590</v>
      </c>
      <c r="C67" s="172" t="s">
        <v>2582</v>
      </c>
      <c r="D67" s="170" t="s">
        <v>1064</v>
      </c>
      <c r="E67" s="171">
        <v>200</v>
      </c>
      <c r="F67" s="170" t="s">
        <v>936</v>
      </c>
    </row>
    <row r="68" spans="1:6" x14ac:dyDescent="0.2">
      <c r="A68" s="170" t="s">
        <v>2583</v>
      </c>
      <c r="B68" s="171">
        <v>3990</v>
      </c>
      <c r="C68" s="172" t="s">
        <v>2584</v>
      </c>
      <c r="D68" s="170" t="s">
        <v>1064</v>
      </c>
      <c r="E68" s="171">
        <v>500</v>
      </c>
      <c r="F68" s="170" t="s">
        <v>936</v>
      </c>
    </row>
    <row r="69" spans="1:6" x14ac:dyDescent="0.2">
      <c r="A69" s="170" t="s">
        <v>2585</v>
      </c>
      <c r="B69" s="171">
        <v>4990</v>
      </c>
      <c r="C69" s="172" t="s">
        <v>2586</v>
      </c>
      <c r="D69" s="170" t="s">
        <v>1064</v>
      </c>
      <c r="E69" s="171">
        <v>1</v>
      </c>
      <c r="F69" s="170" t="s">
        <v>952</v>
      </c>
    </row>
    <row r="70" spans="1:6" x14ac:dyDescent="0.2">
      <c r="A70" s="170" t="s">
        <v>620</v>
      </c>
      <c r="B70" s="171">
        <v>1390</v>
      </c>
      <c r="C70" s="172" t="s">
        <v>2587</v>
      </c>
      <c r="D70" s="170" t="s">
        <v>1064</v>
      </c>
      <c r="E70" s="171">
        <v>100</v>
      </c>
      <c r="F70" s="170" t="s">
        <v>936</v>
      </c>
    </row>
    <row r="71" spans="1:6" x14ac:dyDescent="0.2">
      <c r="A71" s="170" t="s">
        <v>2588</v>
      </c>
      <c r="B71" s="171">
        <v>2390</v>
      </c>
      <c r="C71" s="172" t="s">
        <v>2589</v>
      </c>
      <c r="D71" s="170" t="s">
        <v>1064</v>
      </c>
      <c r="E71" s="171">
        <v>200</v>
      </c>
      <c r="F71" s="170" t="s">
        <v>936</v>
      </c>
    </row>
    <row r="72" spans="1:6" x14ac:dyDescent="0.2">
      <c r="A72" s="170" t="s">
        <v>2590</v>
      </c>
      <c r="B72" s="171">
        <v>1990</v>
      </c>
      <c r="C72" s="172" t="s">
        <v>2591</v>
      </c>
      <c r="D72" s="170" t="s">
        <v>1064</v>
      </c>
      <c r="E72" s="171">
        <v>100</v>
      </c>
      <c r="F72" s="170" t="s">
        <v>936</v>
      </c>
    </row>
    <row r="73" spans="1:6" x14ac:dyDescent="0.2">
      <c r="A73" s="170" t="s">
        <v>2592</v>
      </c>
      <c r="B73" s="171">
        <v>3890</v>
      </c>
      <c r="C73" s="172" t="s">
        <v>2593</v>
      </c>
      <c r="D73" s="170" t="s">
        <v>1064</v>
      </c>
      <c r="E73" s="171">
        <v>200</v>
      </c>
      <c r="F73" s="170" t="s">
        <v>936</v>
      </c>
    </row>
    <row r="74" spans="1:6" x14ac:dyDescent="0.2">
      <c r="A74" s="170" t="s">
        <v>635</v>
      </c>
      <c r="B74" s="171">
        <v>1490</v>
      </c>
      <c r="C74" s="172" t="s">
        <v>2594</v>
      </c>
      <c r="D74" s="170" t="s">
        <v>1064</v>
      </c>
      <c r="E74" s="171">
        <v>1</v>
      </c>
      <c r="F74" s="170" t="s">
        <v>952</v>
      </c>
    </row>
    <row r="75" spans="1:6" x14ac:dyDescent="0.2">
      <c r="A75" s="170" t="s">
        <v>640</v>
      </c>
      <c r="B75" s="171">
        <v>1490</v>
      </c>
      <c r="C75" s="172" t="s">
        <v>2595</v>
      </c>
      <c r="D75" s="170" t="s">
        <v>1064</v>
      </c>
      <c r="E75" s="171">
        <v>1</v>
      </c>
      <c r="F75" s="170" t="s">
        <v>952</v>
      </c>
    </row>
    <row r="76" spans="1:6" x14ac:dyDescent="0.2">
      <c r="A76" s="170" t="s">
        <v>646</v>
      </c>
      <c r="B76" s="171">
        <v>1890</v>
      </c>
      <c r="C76" s="172" t="s">
        <v>2596</v>
      </c>
      <c r="D76" s="170" t="s">
        <v>1064</v>
      </c>
      <c r="E76" s="171">
        <v>1</v>
      </c>
      <c r="F76" s="170" t="s">
        <v>952</v>
      </c>
    </row>
    <row r="77" spans="1:6" x14ac:dyDescent="0.2">
      <c r="A77" s="170" t="s">
        <v>2597</v>
      </c>
      <c r="B77" s="171">
        <v>3990</v>
      </c>
      <c r="C77" s="172" t="s">
        <v>2598</v>
      </c>
      <c r="D77" s="170" t="s">
        <v>1064</v>
      </c>
      <c r="E77" s="171">
        <v>200</v>
      </c>
      <c r="F77" s="170" t="s">
        <v>936</v>
      </c>
    </row>
    <row r="78" spans="1:6" x14ac:dyDescent="0.2">
      <c r="A78" s="170" t="s">
        <v>663</v>
      </c>
      <c r="B78" s="171">
        <v>995</v>
      </c>
      <c r="C78" s="172" t="s">
        <v>2599</v>
      </c>
      <c r="D78" s="170" t="s">
        <v>1064</v>
      </c>
      <c r="E78" s="171">
        <v>3</v>
      </c>
      <c r="F78" s="170" t="s">
        <v>952</v>
      </c>
    </row>
    <row r="79" spans="1:6" x14ac:dyDescent="0.2">
      <c r="A79" s="170" t="s">
        <v>2600</v>
      </c>
      <c r="B79" s="171">
        <v>5690</v>
      </c>
      <c r="C79" s="172" t="s">
        <v>2601</v>
      </c>
      <c r="D79" s="170" t="s">
        <v>1064</v>
      </c>
      <c r="E79" s="171">
        <v>3</v>
      </c>
      <c r="F79" s="170" t="s">
        <v>925</v>
      </c>
    </row>
    <row r="80" spans="1:6" x14ac:dyDescent="0.2">
      <c r="A80" s="170" t="s">
        <v>671</v>
      </c>
      <c r="B80" s="171">
        <v>1790</v>
      </c>
      <c r="C80" s="172" t="s">
        <v>2602</v>
      </c>
      <c r="D80" s="170" t="s">
        <v>1064</v>
      </c>
      <c r="E80" s="171">
        <v>8</v>
      </c>
      <c r="F80" s="170" t="s">
        <v>952</v>
      </c>
    </row>
    <row r="81" spans="1:6" x14ac:dyDescent="0.2">
      <c r="A81" s="170" t="s">
        <v>737</v>
      </c>
      <c r="B81" s="171">
        <v>2690</v>
      </c>
      <c r="C81" s="172" t="s">
        <v>2603</v>
      </c>
      <c r="D81" s="170" t="s">
        <v>1064</v>
      </c>
      <c r="E81" s="171">
        <v>100</v>
      </c>
      <c r="F81" s="170" t="s">
        <v>936</v>
      </c>
    </row>
    <row r="82" spans="1:6" x14ac:dyDescent="0.2">
      <c r="A82" s="170" t="s">
        <v>2604</v>
      </c>
      <c r="B82" s="171">
        <v>2990</v>
      </c>
      <c r="C82" s="172" t="s">
        <v>2605</v>
      </c>
      <c r="D82" s="170" t="s">
        <v>1064</v>
      </c>
      <c r="E82" s="171">
        <v>100</v>
      </c>
      <c r="F82" s="170" t="s">
        <v>936</v>
      </c>
    </row>
    <row r="83" spans="1:6" x14ac:dyDescent="0.2">
      <c r="A83" s="170" t="s">
        <v>753</v>
      </c>
      <c r="B83" s="171">
        <v>6490</v>
      </c>
      <c r="C83" s="172" t="s">
        <v>2606</v>
      </c>
      <c r="D83" s="170" t="s">
        <v>1064</v>
      </c>
      <c r="E83" s="171">
        <v>4</v>
      </c>
      <c r="F83" s="170" t="s">
        <v>952</v>
      </c>
    </row>
    <row r="84" spans="1:6" x14ac:dyDescent="0.2">
      <c r="A84" s="170" t="s">
        <v>2607</v>
      </c>
      <c r="B84" s="171">
        <v>6490</v>
      </c>
      <c r="C84" s="172" t="s">
        <v>2606</v>
      </c>
      <c r="D84" s="170" t="s">
        <v>1064</v>
      </c>
      <c r="E84" s="171">
        <v>4</v>
      </c>
      <c r="F84" s="170" t="s">
        <v>952</v>
      </c>
    </row>
    <row r="85" spans="1:6" x14ac:dyDescent="0.2">
      <c r="A85" s="170" t="s">
        <v>762</v>
      </c>
      <c r="B85" s="171">
        <v>795</v>
      </c>
      <c r="C85" s="172" t="s">
        <v>2608</v>
      </c>
      <c r="D85" s="170" t="s">
        <v>1064</v>
      </c>
      <c r="E85" s="171">
        <v>4</v>
      </c>
      <c r="F85" s="170" t="s">
        <v>952</v>
      </c>
    </row>
    <row r="86" spans="1:6" x14ac:dyDescent="0.2">
      <c r="A86" s="170" t="s">
        <v>2609</v>
      </c>
      <c r="B86" s="171">
        <v>4750</v>
      </c>
      <c r="C86" s="172" t="s">
        <v>2610</v>
      </c>
      <c r="D86" s="170" t="s">
        <v>1064</v>
      </c>
      <c r="E86" s="171">
        <v>3</v>
      </c>
      <c r="F86" s="170" t="s">
        <v>925</v>
      </c>
    </row>
    <row r="87" spans="1:6" x14ac:dyDescent="0.2">
      <c r="A87" s="170" t="s">
        <v>512</v>
      </c>
      <c r="B87" s="171">
        <v>1395</v>
      </c>
      <c r="C87" s="172" t="s">
        <v>2611</v>
      </c>
      <c r="D87" s="170" t="s">
        <v>1064</v>
      </c>
      <c r="E87" s="171">
        <v>2</v>
      </c>
      <c r="F87" s="170" t="s">
        <v>952</v>
      </c>
    </row>
    <row r="88" spans="1:6" x14ac:dyDescent="0.2">
      <c r="A88" s="170" t="s">
        <v>2612</v>
      </c>
      <c r="B88" s="171">
        <v>2390</v>
      </c>
      <c r="C88" s="172" t="s">
        <v>2613</v>
      </c>
      <c r="D88" s="170" t="s">
        <v>1064</v>
      </c>
      <c r="E88" s="171">
        <v>650</v>
      </c>
      <c r="F88" s="170" t="s">
        <v>936</v>
      </c>
    </row>
    <row r="89" spans="1:6" x14ac:dyDescent="0.2">
      <c r="A89" s="170" t="s">
        <v>2614</v>
      </c>
      <c r="B89" s="171">
        <v>1245</v>
      </c>
      <c r="C89" s="172" t="s">
        <v>2615</v>
      </c>
      <c r="D89" s="170" t="s">
        <v>1064</v>
      </c>
      <c r="E89" s="171">
        <v>6</v>
      </c>
      <c r="F89" s="170" t="s">
        <v>952</v>
      </c>
    </row>
    <row r="90" spans="1:6" x14ac:dyDescent="0.2">
      <c r="A90" s="170" t="s">
        <v>788</v>
      </c>
      <c r="B90" s="171">
        <v>790</v>
      </c>
      <c r="C90" s="172" t="s">
        <v>2616</v>
      </c>
      <c r="D90" s="170" t="s">
        <v>1064</v>
      </c>
      <c r="E90" s="171">
        <v>1</v>
      </c>
      <c r="F90" s="170" t="s">
        <v>952</v>
      </c>
    </row>
    <row r="91" spans="1:6" x14ac:dyDescent="0.2">
      <c r="A91" s="170" t="s">
        <v>800</v>
      </c>
      <c r="B91" s="171">
        <v>1250</v>
      </c>
      <c r="C91" s="172" t="s">
        <v>2617</v>
      </c>
      <c r="D91" s="170" t="s">
        <v>1064</v>
      </c>
      <c r="E91" s="171">
        <v>100</v>
      </c>
      <c r="F91" s="170" t="s">
        <v>936</v>
      </c>
    </row>
    <row r="92" spans="1:6" x14ac:dyDescent="0.2">
      <c r="A92" s="170" t="s">
        <v>811</v>
      </c>
      <c r="B92" s="171">
        <v>1790</v>
      </c>
      <c r="C92" s="172" t="s">
        <v>2618</v>
      </c>
      <c r="D92" s="170" t="s">
        <v>1064</v>
      </c>
      <c r="E92" s="171">
        <v>1</v>
      </c>
      <c r="F92" s="170" t="s">
        <v>952</v>
      </c>
    </row>
    <row r="93" spans="1:6" x14ac:dyDescent="0.2">
      <c r="A93" s="170" t="s">
        <v>815</v>
      </c>
      <c r="B93" s="171">
        <v>1190</v>
      </c>
      <c r="C93" s="172" t="s">
        <v>2619</v>
      </c>
      <c r="D93" s="170" t="s">
        <v>1064</v>
      </c>
      <c r="E93" s="171">
        <v>1</v>
      </c>
      <c r="F93" s="170" t="s">
        <v>952</v>
      </c>
    </row>
    <row r="94" spans="1:6" x14ac:dyDescent="0.2">
      <c r="A94" s="170" t="s">
        <v>2620</v>
      </c>
      <c r="B94" s="171">
        <v>2990</v>
      </c>
      <c r="C94" s="172" t="s">
        <v>2621</v>
      </c>
      <c r="D94" s="170" t="s">
        <v>1064</v>
      </c>
      <c r="E94" s="171">
        <v>1</v>
      </c>
      <c r="F94" s="170" t="s">
        <v>952</v>
      </c>
    </row>
    <row r="95" spans="1:6" x14ac:dyDescent="0.2">
      <c r="A95" s="170" t="s">
        <v>2622</v>
      </c>
      <c r="B95" s="171">
        <v>1890</v>
      </c>
      <c r="C95" s="172" t="s">
        <v>2623</v>
      </c>
      <c r="D95" s="170" t="s">
        <v>1064</v>
      </c>
      <c r="E95" s="171">
        <v>1</v>
      </c>
      <c r="F95" s="170" t="s">
        <v>952</v>
      </c>
    </row>
    <row r="96" spans="1:6" x14ac:dyDescent="0.2">
      <c r="A96" s="170" t="s">
        <v>847</v>
      </c>
      <c r="B96" s="171">
        <v>1990</v>
      </c>
      <c r="C96" s="172" t="s">
        <v>2624</v>
      </c>
      <c r="D96" s="170" t="s">
        <v>1064</v>
      </c>
      <c r="E96" s="171">
        <v>220</v>
      </c>
      <c r="F96" s="170" t="s">
        <v>936</v>
      </c>
    </row>
    <row r="97" spans="1:6" x14ac:dyDescent="0.2">
      <c r="A97" s="170" t="s">
        <v>854</v>
      </c>
      <c r="B97" s="171">
        <v>3990</v>
      </c>
      <c r="C97" s="172" t="s">
        <v>2625</v>
      </c>
      <c r="D97" s="170" t="s">
        <v>1064</v>
      </c>
      <c r="E97" s="171">
        <v>1</v>
      </c>
      <c r="F97" s="170" t="s">
        <v>952</v>
      </c>
    </row>
    <row r="98" spans="1:6" x14ac:dyDescent="0.2">
      <c r="A98" s="170" t="s">
        <v>859</v>
      </c>
      <c r="B98" s="171">
        <v>3990</v>
      </c>
      <c r="C98" s="172" t="s">
        <v>2626</v>
      </c>
      <c r="D98" s="170" t="s">
        <v>1064</v>
      </c>
      <c r="E98" s="171">
        <v>1</v>
      </c>
      <c r="F98" s="170" t="s">
        <v>952</v>
      </c>
    </row>
    <row r="99" spans="1:6" x14ac:dyDescent="0.2">
      <c r="A99" s="170" t="s">
        <v>2627</v>
      </c>
      <c r="B99" s="171">
        <v>2990</v>
      </c>
      <c r="C99" s="172" t="s">
        <v>2628</v>
      </c>
      <c r="D99" s="170" t="s">
        <v>1064</v>
      </c>
      <c r="E99" s="171">
        <v>100</v>
      </c>
      <c r="F99" s="170" t="s">
        <v>936</v>
      </c>
    </row>
    <row r="100" spans="1:6" x14ac:dyDescent="0.2">
      <c r="A100" s="170" t="s">
        <v>863</v>
      </c>
      <c r="B100" s="171">
        <v>2690</v>
      </c>
      <c r="C100" s="172" t="s">
        <v>2629</v>
      </c>
      <c r="D100" s="170" t="s">
        <v>1064</v>
      </c>
      <c r="E100" s="171">
        <v>200</v>
      </c>
      <c r="F100" s="170" t="s">
        <v>936</v>
      </c>
    </row>
    <row r="101" spans="1:6" x14ac:dyDescent="0.2">
      <c r="A101" s="170" t="s">
        <v>883</v>
      </c>
      <c r="B101" s="171">
        <v>1095</v>
      </c>
      <c r="C101" s="172" t="s">
        <v>2630</v>
      </c>
      <c r="D101" s="170" t="s">
        <v>1064</v>
      </c>
      <c r="E101" s="171">
        <v>2</v>
      </c>
      <c r="F101" s="170" t="s">
        <v>952</v>
      </c>
    </row>
    <row r="102" spans="1:6" x14ac:dyDescent="0.2">
      <c r="A102" s="170" t="s">
        <v>871</v>
      </c>
      <c r="B102" s="171">
        <v>2990</v>
      </c>
      <c r="C102" s="172" t="s">
        <v>2631</v>
      </c>
      <c r="D102" s="170" t="s">
        <v>1064</v>
      </c>
      <c r="E102" s="171">
        <v>500</v>
      </c>
      <c r="F102" s="170" t="s">
        <v>936</v>
      </c>
    </row>
    <row r="103" spans="1:6" x14ac:dyDescent="0.2">
      <c r="A103" s="170" t="s">
        <v>2632</v>
      </c>
      <c r="B103" s="171">
        <v>2990</v>
      </c>
      <c r="C103" s="172" t="s">
        <v>2633</v>
      </c>
      <c r="D103" s="170" t="s">
        <v>1064</v>
      </c>
      <c r="E103" s="171">
        <v>250</v>
      </c>
      <c r="F103" s="170" t="s">
        <v>936</v>
      </c>
    </row>
    <row r="104" spans="1:6" x14ac:dyDescent="0.2">
      <c r="A104" s="170" t="s">
        <v>887</v>
      </c>
      <c r="B104" s="171">
        <v>845</v>
      </c>
      <c r="C104" s="172" t="s">
        <v>2634</v>
      </c>
      <c r="D104" s="170" t="s">
        <v>1064</v>
      </c>
      <c r="E104" s="171">
        <v>500</v>
      </c>
      <c r="F104" s="170" t="s">
        <v>936</v>
      </c>
    </row>
    <row r="105" spans="1:6" x14ac:dyDescent="0.2">
      <c r="A105" s="170" t="s">
        <v>2635</v>
      </c>
      <c r="B105" s="171">
        <v>1495</v>
      </c>
      <c r="C105" s="172" t="s">
        <v>2636</v>
      </c>
      <c r="D105" s="170" t="s">
        <v>1064</v>
      </c>
      <c r="E105" s="171">
        <v>3</v>
      </c>
      <c r="F105" s="170" t="s">
        <v>952</v>
      </c>
    </row>
    <row r="106" spans="1:6" x14ac:dyDescent="0.2">
      <c r="A106" s="170" t="s">
        <v>2637</v>
      </c>
      <c r="B106" s="171">
        <v>2990</v>
      </c>
      <c r="C106" s="172" t="s">
        <v>2638</v>
      </c>
      <c r="D106" s="170" t="s">
        <v>1064</v>
      </c>
      <c r="E106" s="171">
        <v>100</v>
      </c>
      <c r="F106" s="170" t="s">
        <v>936</v>
      </c>
    </row>
    <row r="107" spans="1:6" x14ac:dyDescent="0.2">
      <c r="A107" s="170" t="s">
        <v>903</v>
      </c>
      <c r="B107" s="171">
        <v>695</v>
      </c>
      <c r="C107" s="172" t="s">
        <v>2639</v>
      </c>
      <c r="D107" s="170" t="s">
        <v>1064</v>
      </c>
      <c r="E107" s="171">
        <v>4</v>
      </c>
      <c r="F107" s="170" t="s">
        <v>952</v>
      </c>
    </row>
    <row r="108" spans="1:6" x14ac:dyDescent="0.2">
      <c r="A108" s="170" t="s">
        <v>2640</v>
      </c>
      <c r="B108" s="171">
        <v>2990</v>
      </c>
      <c r="C108" s="172" t="s">
        <v>2641</v>
      </c>
      <c r="D108" s="170" t="s">
        <v>1064</v>
      </c>
      <c r="E108" s="171">
        <v>250</v>
      </c>
      <c r="F108" s="170" t="s">
        <v>936</v>
      </c>
    </row>
    <row r="109" spans="1:6" x14ac:dyDescent="0.2">
      <c r="A109" s="170" t="s">
        <v>2642</v>
      </c>
      <c r="B109" s="171">
        <v>2990</v>
      </c>
      <c r="C109" s="172" t="s">
        <v>2643</v>
      </c>
      <c r="D109" s="170" t="s">
        <v>1064</v>
      </c>
      <c r="E109" s="171">
        <v>250</v>
      </c>
      <c r="F109" s="170" t="s">
        <v>936</v>
      </c>
    </row>
    <row r="110" spans="1:6" x14ac:dyDescent="0.2">
      <c r="A110" s="170" t="s">
        <v>910</v>
      </c>
      <c r="B110" s="171">
        <v>2490</v>
      </c>
      <c r="C110" s="172" t="s">
        <v>2644</v>
      </c>
      <c r="D110" s="170" t="s">
        <v>1064</v>
      </c>
      <c r="E110" s="171">
        <v>1</v>
      </c>
      <c r="F110" s="170" t="s">
        <v>952</v>
      </c>
    </row>
    <row r="111" spans="1:6" x14ac:dyDescent="0.2">
      <c r="A111" s="170" t="s">
        <v>2645</v>
      </c>
      <c r="B111" s="171">
        <v>2990</v>
      </c>
      <c r="C111" s="172" t="s">
        <v>2646</v>
      </c>
      <c r="D111" s="170" t="s">
        <v>1064</v>
      </c>
      <c r="E111" s="171">
        <v>1</v>
      </c>
      <c r="F111" s="170" t="s">
        <v>952</v>
      </c>
    </row>
    <row r="112" spans="1:6" x14ac:dyDescent="0.2">
      <c r="A112" s="170" t="s">
        <v>916</v>
      </c>
      <c r="B112" s="171">
        <v>790</v>
      </c>
      <c r="C112" s="172" t="s">
        <v>2647</v>
      </c>
      <c r="D112" s="170" t="s">
        <v>1064</v>
      </c>
      <c r="E112" s="171">
        <v>1</v>
      </c>
      <c r="F112" s="170" t="s">
        <v>952</v>
      </c>
    </row>
    <row r="113" spans="1:6" x14ac:dyDescent="0.2">
      <c r="A113" s="170" t="s">
        <v>2648</v>
      </c>
      <c r="B113" s="171">
        <v>1290</v>
      </c>
      <c r="C113" s="172" t="s">
        <v>2649</v>
      </c>
      <c r="D113" s="170" t="s">
        <v>1064</v>
      </c>
      <c r="E113" s="171">
        <v>500</v>
      </c>
      <c r="F113" s="170" t="s">
        <v>936</v>
      </c>
    </row>
  </sheetData>
  <hyperlinks>
    <hyperlink ref="C2" r:id="rId1" xr:uid="{00000000-0004-0000-0800-000000000000}"/>
    <hyperlink ref="C3" r:id="rId2" xr:uid="{00000000-0004-0000-0800-000001000000}"/>
    <hyperlink ref="C4" r:id="rId3" xr:uid="{00000000-0004-0000-0800-000002000000}"/>
    <hyperlink ref="C5" r:id="rId4" xr:uid="{00000000-0004-0000-0800-000003000000}"/>
    <hyperlink ref="C6" r:id="rId5" xr:uid="{00000000-0004-0000-0800-000004000000}"/>
    <hyperlink ref="C7" r:id="rId6" xr:uid="{00000000-0004-0000-0800-000005000000}"/>
    <hyperlink ref="C8" r:id="rId7" xr:uid="{00000000-0004-0000-0800-000006000000}"/>
    <hyperlink ref="C9" r:id="rId8" xr:uid="{00000000-0004-0000-0800-000007000000}"/>
    <hyperlink ref="C10" r:id="rId9" xr:uid="{00000000-0004-0000-0800-000008000000}"/>
    <hyperlink ref="C11" r:id="rId10" xr:uid="{00000000-0004-0000-0800-000009000000}"/>
    <hyperlink ref="C12" r:id="rId11" xr:uid="{00000000-0004-0000-0800-00000A000000}"/>
    <hyperlink ref="C13" r:id="rId12" xr:uid="{00000000-0004-0000-0800-00000B000000}"/>
    <hyperlink ref="C14" r:id="rId13" xr:uid="{00000000-0004-0000-0800-00000C000000}"/>
    <hyperlink ref="C15" r:id="rId14" xr:uid="{00000000-0004-0000-0800-00000D000000}"/>
    <hyperlink ref="C16" r:id="rId15" xr:uid="{00000000-0004-0000-0800-00000E000000}"/>
    <hyperlink ref="C17" r:id="rId16" xr:uid="{00000000-0004-0000-0800-00000F000000}"/>
    <hyperlink ref="C18" r:id="rId17" xr:uid="{00000000-0004-0000-0800-000010000000}"/>
    <hyperlink ref="C19" r:id="rId18" xr:uid="{00000000-0004-0000-0800-000011000000}"/>
    <hyperlink ref="C20" r:id="rId19" xr:uid="{00000000-0004-0000-0800-000012000000}"/>
    <hyperlink ref="C21" r:id="rId20" xr:uid="{00000000-0004-0000-0800-000013000000}"/>
    <hyperlink ref="C22" r:id="rId21" xr:uid="{00000000-0004-0000-0800-000014000000}"/>
    <hyperlink ref="C23" r:id="rId22" xr:uid="{00000000-0004-0000-0800-000015000000}"/>
    <hyperlink ref="C24" r:id="rId23" xr:uid="{00000000-0004-0000-0800-000016000000}"/>
    <hyperlink ref="C25" r:id="rId24" xr:uid="{00000000-0004-0000-0800-000017000000}"/>
    <hyperlink ref="C26" r:id="rId25" xr:uid="{00000000-0004-0000-0800-000018000000}"/>
    <hyperlink ref="C27" r:id="rId26" xr:uid="{00000000-0004-0000-0800-000019000000}"/>
    <hyperlink ref="C28" r:id="rId27" xr:uid="{00000000-0004-0000-0800-00001A000000}"/>
    <hyperlink ref="C29" r:id="rId28" xr:uid="{00000000-0004-0000-0800-00001B000000}"/>
    <hyperlink ref="C30" r:id="rId29" xr:uid="{00000000-0004-0000-0800-00001C000000}"/>
    <hyperlink ref="C31" r:id="rId30" xr:uid="{00000000-0004-0000-0800-00001D000000}"/>
    <hyperlink ref="C32" r:id="rId31" xr:uid="{00000000-0004-0000-0800-00001E000000}"/>
    <hyperlink ref="C33" r:id="rId32" xr:uid="{00000000-0004-0000-0800-00001F000000}"/>
    <hyperlink ref="C34" r:id="rId33" xr:uid="{00000000-0004-0000-0800-000020000000}"/>
    <hyperlink ref="C35" r:id="rId34" xr:uid="{00000000-0004-0000-0800-000021000000}"/>
    <hyperlink ref="C36" r:id="rId35" xr:uid="{00000000-0004-0000-0800-000022000000}"/>
    <hyperlink ref="C37" r:id="rId36" xr:uid="{00000000-0004-0000-0800-000023000000}"/>
    <hyperlink ref="C38" r:id="rId37" xr:uid="{00000000-0004-0000-0800-000024000000}"/>
    <hyperlink ref="C39" r:id="rId38" xr:uid="{00000000-0004-0000-0800-000025000000}"/>
    <hyperlink ref="C40" r:id="rId39" xr:uid="{00000000-0004-0000-0800-000026000000}"/>
    <hyperlink ref="C41" r:id="rId40" xr:uid="{00000000-0004-0000-0800-000027000000}"/>
    <hyperlink ref="C42" r:id="rId41" xr:uid="{00000000-0004-0000-0800-000028000000}"/>
    <hyperlink ref="C43" r:id="rId42" xr:uid="{00000000-0004-0000-0800-000029000000}"/>
    <hyperlink ref="C44" r:id="rId43" xr:uid="{00000000-0004-0000-0800-00002A000000}"/>
    <hyperlink ref="C45" r:id="rId44" xr:uid="{00000000-0004-0000-0800-00002B000000}"/>
    <hyperlink ref="C46" r:id="rId45" xr:uid="{00000000-0004-0000-0800-00002C000000}"/>
    <hyperlink ref="C47" r:id="rId46" xr:uid="{00000000-0004-0000-0800-00002D000000}"/>
    <hyperlink ref="C48" r:id="rId47" xr:uid="{00000000-0004-0000-0800-00002E000000}"/>
    <hyperlink ref="C49" r:id="rId48" xr:uid="{00000000-0004-0000-0800-00002F000000}"/>
    <hyperlink ref="C50" r:id="rId49" xr:uid="{00000000-0004-0000-0800-000030000000}"/>
    <hyperlink ref="C51" r:id="rId50" xr:uid="{00000000-0004-0000-0800-000031000000}"/>
    <hyperlink ref="C52" r:id="rId51" xr:uid="{00000000-0004-0000-0800-000032000000}"/>
    <hyperlink ref="C53" r:id="rId52" xr:uid="{00000000-0004-0000-0800-000033000000}"/>
    <hyperlink ref="C54" r:id="rId53" xr:uid="{00000000-0004-0000-0800-000034000000}"/>
    <hyperlink ref="C55" r:id="rId54" xr:uid="{00000000-0004-0000-0800-000035000000}"/>
    <hyperlink ref="C56" r:id="rId55" xr:uid="{00000000-0004-0000-0800-000036000000}"/>
    <hyperlink ref="C57" r:id="rId56" xr:uid="{00000000-0004-0000-0800-000037000000}"/>
    <hyperlink ref="C58" r:id="rId57" xr:uid="{00000000-0004-0000-0800-000038000000}"/>
    <hyperlink ref="C59" r:id="rId58" xr:uid="{00000000-0004-0000-0800-000039000000}"/>
    <hyperlink ref="C60" r:id="rId59" xr:uid="{00000000-0004-0000-0800-00003A000000}"/>
    <hyperlink ref="C61" r:id="rId60" xr:uid="{00000000-0004-0000-0800-00003B000000}"/>
    <hyperlink ref="C62" r:id="rId61" xr:uid="{00000000-0004-0000-0800-00003C000000}"/>
    <hyperlink ref="C63" r:id="rId62" xr:uid="{00000000-0004-0000-0800-00003D000000}"/>
    <hyperlink ref="C64" r:id="rId63" xr:uid="{00000000-0004-0000-0800-00003E000000}"/>
    <hyperlink ref="C65" r:id="rId64" xr:uid="{00000000-0004-0000-0800-00003F000000}"/>
    <hyperlink ref="C66" r:id="rId65" xr:uid="{00000000-0004-0000-0800-000040000000}"/>
    <hyperlink ref="C67" r:id="rId66" xr:uid="{00000000-0004-0000-0800-000041000000}"/>
    <hyperlink ref="C68" r:id="rId67" xr:uid="{00000000-0004-0000-0800-000042000000}"/>
    <hyperlink ref="C69" r:id="rId68" xr:uid="{00000000-0004-0000-0800-000043000000}"/>
    <hyperlink ref="C70" r:id="rId69" xr:uid="{00000000-0004-0000-0800-000044000000}"/>
    <hyperlink ref="C71" r:id="rId70" xr:uid="{00000000-0004-0000-0800-000045000000}"/>
    <hyperlink ref="C72" r:id="rId71" xr:uid="{00000000-0004-0000-0800-000046000000}"/>
    <hyperlink ref="C73" r:id="rId72" xr:uid="{00000000-0004-0000-0800-000047000000}"/>
    <hyperlink ref="C74" r:id="rId73" xr:uid="{00000000-0004-0000-0800-000048000000}"/>
    <hyperlink ref="C75" r:id="rId74" xr:uid="{00000000-0004-0000-0800-000049000000}"/>
    <hyperlink ref="C76" r:id="rId75" xr:uid="{00000000-0004-0000-0800-00004A000000}"/>
    <hyperlink ref="C77" r:id="rId76" xr:uid="{00000000-0004-0000-0800-00004B000000}"/>
    <hyperlink ref="C78" r:id="rId77" xr:uid="{00000000-0004-0000-0800-00004C000000}"/>
    <hyperlink ref="C79" r:id="rId78" xr:uid="{00000000-0004-0000-0800-00004D000000}"/>
    <hyperlink ref="C80" r:id="rId79" xr:uid="{00000000-0004-0000-0800-00004E000000}"/>
    <hyperlink ref="C81" r:id="rId80" xr:uid="{00000000-0004-0000-0800-00004F000000}"/>
    <hyperlink ref="C82" r:id="rId81" xr:uid="{00000000-0004-0000-0800-000050000000}"/>
    <hyperlink ref="C83" r:id="rId82" xr:uid="{00000000-0004-0000-0800-000051000000}"/>
    <hyperlink ref="C84" r:id="rId83" xr:uid="{00000000-0004-0000-0800-000052000000}"/>
    <hyperlink ref="C85" r:id="rId84" xr:uid="{00000000-0004-0000-0800-000053000000}"/>
    <hyperlink ref="C86" r:id="rId85" xr:uid="{00000000-0004-0000-0800-000054000000}"/>
    <hyperlink ref="C87" r:id="rId86" xr:uid="{00000000-0004-0000-0800-000055000000}"/>
    <hyperlink ref="C88" r:id="rId87" xr:uid="{00000000-0004-0000-0800-000056000000}"/>
    <hyperlink ref="C89" r:id="rId88" xr:uid="{00000000-0004-0000-0800-000057000000}"/>
    <hyperlink ref="C90" r:id="rId89" xr:uid="{00000000-0004-0000-0800-000058000000}"/>
    <hyperlink ref="C91" r:id="rId90" xr:uid="{00000000-0004-0000-0800-000059000000}"/>
    <hyperlink ref="C92" r:id="rId91" xr:uid="{00000000-0004-0000-0800-00005A000000}"/>
    <hyperlink ref="C93" r:id="rId92" xr:uid="{00000000-0004-0000-0800-00005B000000}"/>
    <hyperlink ref="C94" r:id="rId93" xr:uid="{00000000-0004-0000-0800-00005C000000}"/>
    <hyperlink ref="C95" r:id="rId94" xr:uid="{00000000-0004-0000-0800-00005D000000}"/>
    <hyperlink ref="C96" r:id="rId95" xr:uid="{00000000-0004-0000-0800-00005E000000}"/>
    <hyperlink ref="C97" r:id="rId96" xr:uid="{00000000-0004-0000-0800-00005F000000}"/>
    <hyperlink ref="C98" r:id="rId97" xr:uid="{00000000-0004-0000-0800-000060000000}"/>
    <hyperlink ref="C99" r:id="rId98" xr:uid="{00000000-0004-0000-0800-000061000000}"/>
    <hyperlink ref="C100" r:id="rId99" xr:uid="{00000000-0004-0000-0800-000062000000}"/>
    <hyperlink ref="C101" r:id="rId100" xr:uid="{00000000-0004-0000-0800-000063000000}"/>
    <hyperlink ref="C102" r:id="rId101" xr:uid="{00000000-0004-0000-0800-000064000000}"/>
    <hyperlink ref="C103" r:id="rId102" xr:uid="{00000000-0004-0000-0800-000065000000}"/>
    <hyperlink ref="C104" r:id="rId103" xr:uid="{00000000-0004-0000-0800-000066000000}"/>
    <hyperlink ref="C105" r:id="rId104" xr:uid="{00000000-0004-0000-0800-000067000000}"/>
    <hyperlink ref="C106" r:id="rId105" xr:uid="{00000000-0004-0000-0800-000068000000}"/>
    <hyperlink ref="C107" r:id="rId106" xr:uid="{00000000-0004-0000-0800-000069000000}"/>
    <hyperlink ref="C108" r:id="rId107" xr:uid="{00000000-0004-0000-0800-00006A000000}"/>
    <hyperlink ref="C109" r:id="rId108" xr:uid="{00000000-0004-0000-0800-00006B000000}"/>
    <hyperlink ref="C110" r:id="rId109" xr:uid="{00000000-0004-0000-0800-00006C000000}"/>
    <hyperlink ref="C111" r:id="rId110" xr:uid="{00000000-0004-0000-0800-00006D000000}"/>
    <hyperlink ref="C112" r:id="rId111" xr:uid="{00000000-0004-0000-0800-00006E000000}"/>
    <hyperlink ref="C113" r:id="rId112" xr:uid="{00000000-0004-0000-0800-00006F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46"/>
  <sheetViews>
    <sheetView workbookViewId="0"/>
  </sheetViews>
  <sheetFormatPr baseColWidth="10" defaultColWidth="12.6640625" defaultRowHeight="15.75" customHeight="1" x14ac:dyDescent="0.15"/>
  <cols>
    <col min="1" max="1" width="28" customWidth="1"/>
    <col min="2" max="2" width="8.1640625" customWidth="1"/>
    <col min="3" max="6" width="7" customWidth="1"/>
    <col min="7" max="7" width="12.1640625" customWidth="1"/>
    <col min="8" max="8" width="26.5" customWidth="1"/>
    <col min="9" max="10" width="7" customWidth="1"/>
    <col min="11" max="11" width="4.33203125" customWidth="1"/>
    <col min="12" max="12" width="23.6640625" customWidth="1"/>
  </cols>
  <sheetData>
    <row r="1" spans="1:11" ht="15.75" customHeight="1" x14ac:dyDescent="0.15">
      <c r="A1" s="77" t="s">
        <v>2650</v>
      </c>
    </row>
    <row r="2" spans="1:11" ht="15.75" customHeight="1" x14ac:dyDescent="0.15">
      <c r="A2" s="77" t="s">
        <v>115</v>
      </c>
      <c r="B2" s="77" t="s">
        <v>117</v>
      </c>
      <c r="C2" s="77" t="s">
        <v>2651</v>
      </c>
      <c r="D2" s="77" t="s">
        <v>119</v>
      </c>
      <c r="E2" s="77"/>
      <c r="F2" s="44"/>
      <c r="G2" s="77"/>
      <c r="H2" s="77"/>
      <c r="J2" s="44"/>
      <c r="K2" s="44"/>
    </row>
    <row r="3" spans="1:11" ht="15.75" customHeight="1" x14ac:dyDescent="0.15">
      <c r="A3" s="5" t="s">
        <v>166</v>
      </c>
      <c r="B3" s="173">
        <v>3</v>
      </c>
      <c r="C3" s="44">
        <f>(VLOOKUP(A3,'Listado de precios'!A:D,4,0))*B3</f>
        <v>750</v>
      </c>
      <c r="D3" s="44">
        <f>VLOOKUP(A3,'Listado de precios'!A:E,5,0)*B3</f>
        <v>1350</v>
      </c>
      <c r="E3" s="174">
        <f>VLOOKUP(A3,'Listado de precios'!A:Q,12,0)</f>
        <v>0.41860465116279072</v>
      </c>
      <c r="G3" s="5"/>
      <c r="I3" s="44"/>
      <c r="J3" s="44"/>
      <c r="K3" s="175"/>
    </row>
    <row r="4" spans="1:11" ht="15.75" customHeight="1" x14ac:dyDescent="0.15">
      <c r="A4" s="5" t="s">
        <v>245</v>
      </c>
      <c r="B4" s="173">
        <v>1</v>
      </c>
      <c r="C4" s="44">
        <f>(VLOOKUP(A4,'Listado de precios'!A:D,4,0))*B4</f>
        <v>700</v>
      </c>
      <c r="D4" s="44">
        <f>VLOOKUP(A4,'Listado de precios'!A:E,5,0)*B4</f>
        <v>1950</v>
      </c>
      <c r="E4" s="174">
        <f>VLOOKUP(A4,'Listado de precios'!A:Q,12,0)</f>
        <v>0.58579881656804733</v>
      </c>
      <c r="G4" s="5"/>
      <c r="I4" s="44"/>
      <c r="J4" s="44"/>
      <c r="K4" s="44"/>
    </row>
    <row r="5" spans="1:11" ht="15.75" customHeight="1" x14ac:dyDescent="0.15">
      <c r="A5" s="5" t="s">
        <v>204</v>
      </c>
      <c r="B5" s="173">
        <v>1</v>
      </c>
      <c r="C5" s="44">
        <f>(VLOOKUP(A5,'Listado de precios'!A:D,4,0))*B5</f>
        <v>850</v>
      </c>
      <c r="D5" s="44">
        <f>VLOOKUP(A5,'Listado de precios'!A:E,5,0)*B5</f>
        <v>1590</v>
      </c>
      <c r="E5" s="174">
        <f>VLOOKUP(A5,'Listado de precios'!A:Q,12,0)</f>
        <v>0.22018348623853212</v>
      </c>
      <c r="G5" s="5"/>
      <c r="I5" s="44"/>
      <c r="J5" s="44"/>
      <c r="K5" s="44"/>
    </row>
    <row r="6" spans="1:11" ht="15.75" customHeight="1" x14ac:dyDescent="0.15">
      <c r="A6" s="5" t="s">
        <v>214</v>
      </c>
      <c r="B6" s="173">
        <v>1</v>
      </c>
      <c r="C6" s="44">
        <f>(VLOOKUP(A6,'Listado de precios'!A:D,4,0))*B6</f>
        <v>700</v>
      </c>
      <c r="D6" s="44">
        <f>VLOOKUP(A6,'Listado de precios'!A:E,5,0)*B6</f>
        <v>1190</v>
      </c>
      <c r="E6" s="174">
        <f>VLOOKUP(A6,'Listado de precios'!A:Q,12,0)</f>
        <v>0.29292929292929293</v>
      </c>
      <c r="G6" s="5"/>
      <c r="I6" s="44"/>
      <c r="J6" s="44"/>
      <c r="K6" s="44"/>
    </row>
    <row r="7" spans="1:11" ht="15.75" customHeight="1" x14ac:dyDescent="0.15">
      <c r="A7" s="5" t="s">
        <v>226</v>
      </c>
      <c r="B7" s="173">
        <v>1</v>
      </c>
      <c r="C7" s="44">
        <f>(VLOOKUP(A7,'Listado de precios'!A:D,4,0))*B7</f>
        <v>1500</v>
      </c>
      <c r="D7" s="44">
        <f>VLOOKUP(A7,'Listado de precios'!A:E,5,0)*B7</f>
        <v>2190</v>
      </c>
      <c r="E7" s="174">
        <f>VLOOKUP(A7,'Listado de precios'!A:Q,12,0)</f>
        <v>0.24623115577889448</v>
      </c>
      <c r="G7" s="5"/>
      <c r="I7" s="44"/>
      <c r="J7" s="44"/>
      <c r="K7" s="44"/>
    </row>
    <row r="8" spans="1:11" ht="15.75" customHeight="1" x14ac:dyDescent="0.15">
      <c r="A8" s="5" t="s">
        <v>232</v>
      </c>
      <c r="B8" s="173">
        <v>1</v>
      </c>
      <c r="C8" s="44">
        <f>(VLOOKUP(A8,'Listado de precios'!A:D,4,0))*B8</f>
        <v>800</v>
      </c>
      <c r="D8" s="44">
        <f>VLOOKUP(A8,'Listado de precios'!A:E,5,0)*B8</f>
        <v>1290</v>
      </c>
      <c r="E8" s="174">
        <f>VLOOKUP(A8,'Listado de precios'!A:Q,12,0)</f>
        <v>0.37984496124031009</v>
      </c>
      <c r="G8" s="5"/>
      <c r="I8" s="44"/>
      <c r="J8" s="44"/>
      <c r="K8" s="44"/>
    </row>
    <row r="9" spans="1:11" ht="15.75" customHeight="1" x14ac:dyDescent="0.15">
      <c r="A9" s="5" t="s">
        <v>146</v>
      </c>
      <c r="B9" s="173">
        <v>1</v>
      </c>
      <c r="C9" s="44">
        <f>(VLOOKUP(A9,'Listado de precios'!A:D,4,0))*B9</f>
        <v>200</v>
      </c>
      <c r="D9" s="44">
        <f>VLOOKUP(A9,'Listado de precios'!A:E,5,0)*B9</f>
        <v>350</v>
      </c>
      <c r="E9" s="174">
        <f>VLOOKUP(A9,'Listado de precios'!A:Q,12,0)</f>
        <v>0.33333333333333331</v>
      </c>
      <c r="G9" s="5"/>
      <c r="I9" s="44"/>
      <c r="J9" s="44"/>
      <c r="K9" s="44"/>
    </row>
    <row r="10" spans="1:11" ht="15.75" customHeight="1" x14ac:dyDescent="0.15">
      <c r="A10" s="98" t="s">
        <v>363</v>
      </c>
      <c r="B10" s="173">
        <v>12</v>
      </c>
      <c r="C10" s="44">
        <f>(VLOOKUP(A10,'Listado de precios'!A:D,4,0))*B10</f>
        <v>3000</v>
      </c>
      <c r="D10" s="44">
        <f>VLOOKUP(A10,'Listado de precios'!A:E,5,0)*B10</f>
        <v>4800</v>
      </c>
      <c r="E10" s="174">
        <f>VLOOKUP(A10,'Listado de precios'!A:Q,12,0)</f>
        <v>0.44320712694877507</v>
      </c>
      <c r="F10" s="174"/>
      <c r="G10" s="5"/>
      <c r="I10" s="44"/>
      <c r="J10" s="44"/>
      <c r="K10" s="44"/>
    </row>
    <row r="11" spans="1:11" ht="15.75" customHeight="1" x14ac:dyDescent="0.15">
      <c r="A11" s="77" t="s">
        <v>2652</v>
      </c>
      <c r="B11" s="77">
        <f>SUM(B2:B10)</f>
        <v>21</v>
      </c>
      <c r="C11" s="175">
        <f>SUM(C3:C10)</f>
        <v>8500</v>
      </c>
      <c r="D11" s="175">
        <v>14990</v>
      </c>
      <c r="E11" s="176">
        <f>(D11-C11)/D11</f>
        <v>0.43295530353569045</v>
      </c>
      <c r="G11" s="5"/>
      <c r="I11" s="44"/>
      <c r="J11" s="44"/>
      <c r="K11" s="44"/>
    </row>
    <row r="12" spans="1:11" ht="15.75" customHeight="1" x14ac:dyDescent="0.15">
      <c r="G12" s="5"/>
      <c r="I12" s="44"/>
      <c r="J12" s="44"/>
      <c r="K12" s="44"/>
    </row>
    <row r="13" spans="1:11" ht="15.75" customHeight="1" x14ac:dyDescent="0.15">
      <c r="A13" s="77" t="s">
        <v>2653</v>
      </c>
      <c r="G13" s="5"/>
      <c r="I13" s="44"/>
      <c r="J13" s="44"/>
      <c r="K13" s="44"/>
    </row>
    <row r="14" spans="1:11" ht="15.75" customHeight="1" x14ac:dyDescent="0.15">
      <c r="A14" s="5" t="s">
        <v>166</v>
      </c>
      <c r="B14" s="173">
        <v>3</v>
      </c>
      <c r="C14" s="44">
        <f>(VLOOKUP(A14,'Listado de precios'!A:D,4,0))*B14</f>
        <v>750</v>
      </c>
      <c r="D14" s="44">
        <f>VLOOKUP(A14,'Listado de precios'!A:E,5,0)*B14</f>
        <v>1350</v>
      </c>
      <c r="E14" s="174">
        <f>VLOOKUP(A14,'Listado de precios'!A:Q,12,0)</f>
        <v>0.41860465116279072</v>
      </c>
      <c r="F14" s="44"/>
      <c r="G14" s="5"/>
      <c r="I14" s="44"/>
      <c r="J14" s="44"/>
      <c r="K14" s="44"/>
    </row>
    <row r="15" spans="1:11" ht="15.75" customHeight="1" x14ac:dyDescent="0.15">
      <c r="A15" s="5" t="s">
        <v>160</v>
      </c>
      <c r="B15" s="173">
        <v>1</v>
      </c>
      <c r="C15" s="44">
        <f>(VLOOKUP(A15,'Listado de precios'!A:D,4,0))*B15</f>
        <v>1400</v>
      </c>
      <c r="D15" s="44">
        <f>VLOOKUP(A15,'Listado de precios'!A:E,5,0)*B15</f>
        <v>1990</v>
      </c>
      <c r="E15" s="174">
        <f>VLOOKUP(A15,'Listado de precios'!A:Q,12,0)</f>
        <v>0.29648241206030151</v>
      </c>
      <c r="G15" s="5"/>
      <c r="I15" s="44"/>
      <c r="J15" s="44"/>
      <c r="K15" s="44"/>
    </row>
    <row r="16" spans="1:11" ht="15.75" customHeight="1" x14ac:dyDescent="0.15">
      <c r="A16" s="5" t="s">
        <v>194</v>
      </c>
      <c r="B16" s="173">
        <v>1</v>
      </c>
      <c r="C16" s="44">
        <f>(VLOOKUP(A16,'Listado de precios'!A:D,4,0))*B16</f>
        <v>800</v>
      </c>
      <c r="D16" s="44">
        <f>VLOOKUP(A16,'Listado de precios'!A:E,5,0)*B16</f>
        <v>1890</v>
      </c>
      <c r="E16" s="174">
        <f>VLOOKUP(A16,'Listado de precios'!A:Q,12,0)</f>
        <v>0.57671957671957674</v>
      </c>
      <c r="G16" s="5"/>
      <c r="I16" s="44"/>
      <c r="J16" s="44"/>
      <c r="K16" s="44"/>
    </row>
    <row r="17" spans="1:11" ht="15.75" customHeight="1" x14ac:dyDescent="0.15">
      <c r="A17" s="5" t="s">
        <v>245</v>
      </c>
      <c r="B17" s="173">
        <v>1</v>
      </c>
      <c r="C17" s="44">
        <f>(VLOOKUP(A17,'Listado de precios'!A:D,4,0))*B17</f>
        <v>700</v>
      </c>
      <c r="D17" s="44">
        <f>VLOOKUP(A17,'Listado de precios'!A:E,5,0)*B17</f>
        <v>1950</v>
      </c>
      <c r="E17" s="174">
        <f>VLOOKUP(A17,'Listado de precios'!A:Q,12,0)</f>
        <v>0.58579881656804733</v>
      </c>
      <c r="G17" s="5"/>
      <c r="I17" s="44"/>
      <c r="J17" s="44"/>
      <c r="K17" s="175"/>
    </row>
    <row r="18" spans="1:11" ht="15.75" customHeight="1" x14ac:dyDescent="0.15">
      <c r="A18" s="98" t="s">
        <v>264</v>
      </c>
      <c r="B18" s="173">
        <v>1</v>
      </c>
      <c r="C18" s="44">
        <f>(VLOOKUP(A18,'Listado de precios'!A:D,4,0))*B18</f>
        <v>5500</v>
      </c>
      <c r="D18" s="44">
        <f>VLOOKUP(A18,'Listado de precios'!A:E,5,0)*B18</f>
        <v>6500</v>
      </c>
      <c r="E18" s="174">
        <f>VLOOKUP(A18,'Listado de precios'!A:Q,12,0)</f>
        <v>8.1803005008347252E-2</v>
      </c>
      <c r="G18" s="5"/>
      <c r="I18" s="44"/>
      <c r="J18" s="44"/>
    </row>
    <row r="19" spans="1:11" ht="15.75" customHeight="1" x14ac:dyDescent="0.15">
      <c r="A19" s="5" t="s">
        <v>204</v>
      </c>
      <c r="B19" s="173">
        <v>1</v>
      </c>
      <c r="C19" s="44">
        <f>(VLOOKUP(A19,'Listado de precios'!A:D,4,0))*B19</f>
        <v>850</v>
      </c>
      <c r="D19" s="44">
        <f>VLOOKUP(A19,'Listado de precios'!A:E,5,0)*B19</f>
        <v>1590</v>
      </c>
      <c r="E19" s="174">
        <f>VLOOKUP(A19,'Listado de precios'!A:Q,12,0)</f>
        <v>0.22018348623853212</v>
      </c>
      <c r="G19" s="5"/>
      <c r="I19" s="44"/>
      <c r="J19" s="44"/>
    </row>
    <row r="20" spans="1:11" ht="15.75" customHeight="1" x14ac:dyDescent="0.15">
      <c r="A20" s="5" t="s">
        <v>214</v>
      </c>
      <c r="B20" s="173">
        <v>1</v>
      </c>
      <c r="C20" s="44">
        <f>(VLOOKUP(A20,'Listado de precios'!A:D,4,0))*B20</f>
        <v>700</v>
      </c>
      <c r="D20" s="44">
        <f>VLOOKUP(A20,'Listado de precios'!A:E,5,0)*B20</f>
        <v>1190</v>
      </c>
      <c r="E20" s="174">
        <f>VLOOKUP(A20,'Listado de precios'!A:Q,12,0)</f>
        <v>0.29292929292929293</v>
      </c>
      <c r="G20" s="77"/>
      <c r="H20" s="77"/>
      <c r="I20" s="77"/>
      <c r="J20" s="175"/>
      <c r="K20" s="176"/>
    </row>
    <row r="21" spans="1:11" ht="15.75" customHeight="1" x14ac:dyDescent="0.15">
      <c r="A21" s="5" t="s">
        <v>226</v>
      </c>
      <c r="B21" s="173">
        <v>1</v>
      </c>
      <c r="C21" s="44">
        <f>(VLOOKUP(A21,'Listado de precios'!A:D,4,0))*B21</f>
        <v>1500</v>
      </c>
      <c r="D21" s="44">
        <f>VLOOKUP(A21,'Listado de precios'!A:E,5,0)*B21</f>
        <v>2190</v>
      </c>
      <c r="E21" s="174">
        <f>VLOOKUP(A21,'Listado de precios'!A:Q,12,0)</f>
        <v>0.24623115577889448</v>
      </c>
    </row>
    <row r="22" spans="1:11" x14ac:dyDescent="0.2">
      <c r="A22" s="5" t="s">
        <v>232</v>
      </c>
      <c r="B22" s="173">
        <v>1</v>
      </c>
      <c r="C22" s="44">
        <f>(VLOOKUP(A22,'Listado de precios'!A:D,4,0))*B22</f>
        <v>800</v>
      </c>
      <c r="D22" s="44">
        <f>VLOOKUP(A22,'Listado de precios'!A:E,5,0)*B22</f>
        <v>1290</v>
      </c>
      <c r="E22" s="174">
        <f>VLOOKUP(A22,'Listado de precios'!A:Q,12,0)</f>
        <v>0.37984496124031009</v>
      </c>
      <c r="J22" s="177"/>
    </row>
    <row r="23" spans="1:11" ht="15.75" customHeight="1" x14ac:dyDescent="0.15">
      <c r="A23" s="5" t="s">
        <v>237</v>
      </c>
      <c r="B23" s="173">
        <v>2</v>
      </c>
      <c r="C23" s="44">
        <f>(VLOOKUP(A23,'Listado de precios'!A:D,4,0))*B23</f>
        <v>1200</v>
      </c>
      <c r="D23" s="44">
        <f>VLOOKUP(A23,'Listado de precios'!A:E,5,0)*B23</f>
        <v>1580</v>
      </c>
      <c r="E23" s="174">
        <f>VLOOKUP(A23,'Listado de precios'!A:Q,12,0)</f>
        <v>0.24050632911392406</v>
      </c>
    </row>
    <row r="24" spans="1:11" ht="15.75" customHeight="1" x14ac:dyDescent="0.15">
      <c r="A24" s="5" t="s">
        <v>234</v>
      </c>
      <c r="B24" s="173">
        <v>1</v>
      </c>
      <c r="C24" s="44">
        <f>(VLOOKUP(A24,'Listado de precios'!A:D,4,0))*B24</f>
        <v>1000</v>
      </c>
      <c r="D24" s="44">
        <f>VLOOKUP(A24,'Listado de precios'!A:E,5,0)*B24</f>
        <v>1990</v>
      </c>
      <c r="E24" s="174">
        <f>VLOOKUP(A24,'Listado de precios'!A:Q,12,0)</f>
        <v>-1.0101010101010102E-2</v>
      </c>
    </row>
    <row r="25" spans="1:11" ht="15.75" customHeight="1" x14ac:dyDescent="0.15">
      <c r="A25" s="5" t="s">
        <v>146</v>
      </c>
      <c r="B25" s="173">
        <v>1</v>
      </c>
      <c r="C25" s="44">
        <f>(VLOOKUP(A25,'Listado de precios'!A:D,4,0))*B25</f>
        <v>200</v>
      </c>
      <c r="D25" s="44">
        <f>VLOOKUP(A25,'Listado de precios'!A:E,5,0)*B25</f>
        <v>350</v>
      </c>
      <c r="E25" s="174">
        <f>VLOOKUP(A25,'Listado de precios'!A:Q,12,0)</f>
        <v>0.33333333333333331</v>
      </c>
    </row>
    <row r="26" spans="1:11" ht="15.75" customHeight="1" x14ac:dyDescent="0.15">
      <c r="A26" s="5" t="s">
        <v>179</v>
      </c>
      <c r="B26" s="173">
        <v>1</v>
      </c>
      <c r="C26" s="44">
        <f>(VLOOKUP(A26,'Listado de precios'!A:D,4,0))*B26</f>
        <v>600</v>
      </c>
      <c r="D26" s="44">
        <f>VLOOKUP(A26,'Listado de precios'!A:E,5,0)*B26</f>
        <v>1290</v>
      </c>
      <c r="E26" s="174">
        <f>VLOOKUP(A26,'Listado de precios'!A:Q,12,0)</f>
        <v>0.39393939393939392</v>
      </c>
    </row>
    <row r="27" spans="1:11" ht="15.75" customHeight="1" x14ac:dyDescent="0.15">
      <c r="A27" s="5" t="s">
        <v>274</v>
      </c>
      <c r="B27" s="173">
        <v>1</v>
      </c>
      <c r="C27" s="44">
        <f>(VLOOKUP(A27,'Listado de precios'!A:D,4,0))*B27</f>
        <v>1300</v>
      </c>
      <c r="D27" s="44">
        <f>VLOOKUP(A27,'Listado de precios'!A:E,5,0)*B27</f>
        <v>1790</v>
      </c>
      <c r="E27" s="174">
        <f>VLOOKUP(A27,'Listado de precios'!A:Q,12,0)</f>
        <v>0.34673366834170855</v>
      </c>
    </row>
    <row r="28" spans="1:11" ht="15.75" customHeight="1" x14ac:dyDescent="0.15">
      <c r="A28" s="5" t="s">
        <v>254</v>
      </c>
      <c r="B28" s="173">
        <v>1</v>
      </c>
      <c r="C28" s="44">
        <f>(VLOOKUP(A28,'Listado de precios'!A:D,4,0))*B28</f>
        <v>1750</v>
      </c>
      <c r="D28" s="44">
        <f>VLOOKUP(A28,'Listado de precios'!A:E,5,0)*B28</f>
        <v>2590</v>
      </c>
      <c r="E28" s="174">
        <f>VLOOKUP(A28,'Listado de precios'!A:Q,12,0)</f>
        <v>0.20091324200913241</v>
      </c>
    </row>
    <row r="29" spans="1:11" ht="15.75" customHeight="1" x14ac:dyDescent="0.15">
      <c r="A29" s="5" t="s">
        <v>262</v>
      </c>
      <c r="B29" s="173">
        <v>1</v>
      </c>
      <c r="C29" s="44">
        <f>(VLOOKUP(A29,'Listado de precios'!A:D,4,0))*B29</f>
        <v>1350</v>
      </c>
      <c r="D29" s="44">
        <f>VLOOKUP(A29,'Listado de precios'!A:E,5,0)*B29</f>
        <v>2290</v>
      </c>
      <c r="E29" s="174">
        <f>VLOOKUP(A29,'Listado de precios'!A:Q,12,0)</f>
        <v>0.41048034934497818</v>
      </c>
    </row>
    <row r="30" spans="1:11" ht="15.75" customHeight="1" x14ac:dyDescent="0.15">
      <c r="A30" s="98" t="s">
        <v>363</v>
      </c>
      <c r="B30" s="173">
        <v>12</v>
      </c>
      <c r="C30" s="44">
        <f>(VLOOKUP(A30,'Listado de precios'!A:D,4,0))*B30</f>
        <v>3000</v>
      </c>
      <c r="D30" s="44">
        <f>VLOOKUP(A30,'Listado de precios'!A:E,5,0)*B30</f>
        <v>4800</v>
      </c>
      <c r="E30" s="174">
        <f>VLOOKUP(A30,'Listado de precios'!A:Q,12,0)</f>
        <v>0.44320712694877507</v>
      </c>
      <c r="G30" s="176"/>
      <c r="H30" s="176"/>
    </row>
    <row r="31" spans="1:11" ht="15.75" customHeight="1" x14ac:dyDescent="0.15">
      <c r="A31" s="77" t="s">
        <v>2652</v>
      </c>
      <c r="B31" s="178">
        <f t="shared" ref="B31:C31" si="0">SUM(B14:B30)</f>
        <v>31</v>
      </c>
      <c r="C31" s="175">
        <f t="shared" si="0"/>
        <v>23400</v>
      </c>
      <c r="D31" s="175">
        <v>35990</v>
      </c>
      <c r="E31" s="176">
        <f>(D31-C31)/D31</f>
        <v>0.34981939427618786</v>
      </c>
    </row>
    <row r="33" spans="1:5" ht="15.75" customHeight="1" x14ac:dyDescent="0.15">
      <c r="A33" s="77" t="s">
        <v>2654</v>
      </c>
    </row>
    <row r="34" spans="1:5" ht="15.75" customHeight="1" x14ac:dyDescent="0.15">
      <c r="A34" s="5" t="s">
        <v>274</v>
      </c>
      <c r="B34" s="173">
        <v>1</v>
      </c>
      <c r="C34" s="44">
        <f>(VLOOKUP(A34,'Listado de precios'!A:D,4,0))*B34</f>
        <v>1300</v>
      </c>
      <c r="D34" s="44">
        <f>VLOOKUP(A34,'Listado de precios'!A:E,5,0)*B34</f>
        <v>1790</v>
      </c>
      <c r="E34" s="174">
        <f>VLOOKUP(A34,'Listado de precios'!A:Q,12,0)</f>
        <v>0.34673366834170855</v>
      </c>
    </row>
    <row r="35" spans="1:5" ht="15.75" customHeight="1" x14ac:dyDescent="0.15">
      <c r="A35" s="5" t="s">
        <v>262</v>
      </c>
      <c r="B35" s="173">
        <v>1</v>
      </c>
      <c r="C35" s="44">
        <f>(VLOOKUP(A35,'Listado de precios'!A:D,4,0))*B35</f>
        <v>1350</v>
      </c>
      <c r="D35" s="44">
        <f>VLOOKUP(A35,'Listado de precios'!A:E,5,0)*B35</f>
        <v>2290</v>
      </c>
      <c r="E35" s="174">
        <f>VLOOKUP(A35,'Listado de precios'!A:Q,12,0)</f>
        <v>0.41048034934497818</v>
      </c>
    </row>
    <row r="36" spans="1:5" ht="15.75" customHeight="1" x14ac:dyDescent="0.15">
      <c r="A36" s="5" t="s">
        <v>241</v>
      </c>
      <c r="B36" s="173">
        <v>1</v>
      </c>
      <c r="C36" s="44">
        <f>(VLOOKUP(A36,'Listado de precios'!A:D,4,0))*B36</f>
        <v>1600</v>
      </c>
      <c r="D36" s="44">
        <f>VLOOKUP(A36,'Listado de precios'!A:E,5,0)*B36</f>
        <v>4690</v>
      </c>
      <c r="E36" s="174">
        <f>VLOOKUP(A36,'Listado de precios'!A:Q,12,0)</f>
        <v>0.69907842768478468</v>
      </c>
    </row>
    <row r="37" spans="1:5" ht="15.75" customHeight="1" x14ac:dyDescent="0.15">
      <c r="A37" s="5" t="s">
        <v>254</v>
      </c>
      <c r="B37" s="173">
        <v>1</v>
      </c>
      <c r="C37" s="44">
        <f>(VLOOKUP(A37,'Listado de precios'!A:D,4,0))*B37</f>
        <v>1750</v>
      </c>
      <c r="D37" s="44">
        <f>VLOOKUP(A37,'Listado de precios'!A:E,5,0)*B37</f>
        <v>2590</v>
      </c>
      <c r="E37" s="174">
        <f>VLOOKUP(A37,'Listado de precios'!A:Q,12,0)</f>
        <v>0.20091324200913241</v>
      </c>
    </row>
    <row r="38" spans="1:5" ht="15.75" customHeight="1" x14ac:dyDescent="0.15">
      <c r="A38" s="77" t="s">
        <v>2652</v>
      </c>
      <c r="B38" s="178">
        <f t="shared" ref="B38:C38" si="1">SUM(B34:B37)</f>
        <v>4</v>
      </c>
      <c r="C38" s="175">
        <f t="shared" si="1"/>
        <v>6000</v>
      </c>
      <c r="D38" s="175">
        <v>11490</v>
      </c>
      <c r="E38" s="176">
        <f>(D38-C38)/D38</f>
        <v>0.47780678851174935</v>
      </c>
    </row>
    <row r="40" spans="1:5" ht="15.75" customHeight="1" x14ac:dyDescent="0.15">
      <c r="A40" s="77" t="s">
        <v>2655</v>
      </c>
    </row>
    <row r="41" spans="1:5" ht="15.75" customHeight="1" x14ac:dyDescent="0.15">
      <c r="A41" s="5" t="s">
        <v>194</v>
      </c>
      <c r="B41" s="173">
        <v>1</v>
      </c>
      <c r="C41" s="44">
        <f>(VLOOKUP(A41,'Listado de precios'!A:D,4,0))*B41</f>
        <v>800</v>
      </c>
      <c r="D41" s="44">
        <f>VLOOKUP(A41,'Listado de precios'!A:E,5,0)*B41</f>
        <v>1890</v>
      </c>
      <c r="E41" s="174">
        <f>VLOOKUP(A41,'Listado de precios'!A:Q,12,0)</f>
        <v>0.57671957671957674</v>
      </c>
    </row>
    <row r="42" spans="1:5" ht="15.75" customHeight="1" x14ac:dyDescent="0.15">
      <c r="A42" s="5" t="s">
        <v>206</v>
      </c>
      <c r="B42" s="173">
        <v>1</v>
      </c>
      <c r="C42" s="44">
        <f>(VLOOKUP(A42,'Listado de precios'!A:D,4,0))*B42</f>
        <v>650</v>
      </c>
      <c r="D42" s="44">
        <f>VLOOKUP(A42,'Listado de precios'!A:E,5,0)*B42</f>
        <v>790</v>
      </c>
      <c r="E42" s="174">
        <f>VLOOKUP(A42,'Listado de precios'!A:Q,12,0)</f>
        <v>0.17721518987341772</v>
      </c>
    </row>
    <row r="43" spans="1:5" ht="15.75" customHeight="1" x14ac:dyDescent="0.15">
      <c r="A43" s="98" t="s">
        <v>264</v>
      </c>
      <c r="B43" s="173">
        <v>1</v>
      </c>
      <c r="C43" s="44">
        <f>(VLOOKUP(A43,'Listado de precios'!A:D,4,0))*B43</f>
        <v>5500</v>
      </c>
      <c r="D43" s="44">
        <f>VLOOKUP(A43,'Listado de precios'!A:E,5,0)*B43</f>
        <v>6500</v>
      </c>
      <c r="E43" s="174">
        <f>VLOOKUP(A43,'Listado de precios'!A:Q,12,0)</f>
        <v>8.1803005008347252E-2</v>
      </c>
    </row>
    <row r="44" spans="1:5" ht="15.75" customHeight="1" x14ac:dyDescent="0.15">
      <c r="A44" s="5" t="s">
        <v>226</v>
      </c>
      <c r="B44" s="173">
        <v>1</v>
      </c>
      <c r="C44" s="44">
        <f>(VLOOKUP(A44,'Listado de precios'!A:D,4,0))*B44</f>
        <v>1500</v>
      </c>
      <c r="D44" s="44">
        <f>VLOOKUP(A44,'Listado de precios'!A:E,5,0)*B44</f>
        <v>2190</v>
      </c>
      <c r="E44" s="174">
        <f>VLOOKUP(A44,'Listado de precios'!A:Q,12,0)</f>
        <v>0.24623115577889448</v>
      </c>
    </row>
    <row r="45" spans="1:5" ht="15.75" customHeight="1" x14ac:dyDescent="0.15">
      <c r="A45" s="5" t="s">
        <v>245</v>
      </c>
      <c r="B45" s="173">
        <v>1</v>
      </c>
      <c r="C45" s="44">
        <f>(VLOOKUP(A45,'Listado de precios'!A:D,4,0))*B45</f>
        <v>700</v>
      </c>
      <c r="D45" s="44">
        <f>VLOOKUP(A45,'Listado de precios'!A:E,5,0)*B45</f>
        <v>1950</v>
      </c>
      <c r="E45" s="174">
        <f>VLOOKUP(A45,'Listado de precios'!A:Q,12,0)</f>
        <v>0.58579881656804733</v>
      </c>
    </row>
    <row r="46" spans="1:5" ht="15.75" customHeight="1" x14ac:dyDescent="0.15">
      <c r="A46" s="77" t="s">
        <v>2652</v>
      </c>
      <c r="B46" s="178">
        <f t="shared" ref="B46:D46" si="2">SUM(B41:B45)</f>
        <v>5</v>
      </c>
      <c r="C46" s="175">
        <f t="shared" si="2"/>
        <v>9150</v>
      </c>
      <c r="D46" s="175">
        <f t="shared" si="2"/>
        <v>13320</v>
      </c>
      <c r="E46" s="176">
        <f>(D46-C46)/D46</f>
        <v>0.31306306306306309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108"/>
  <sheetViews>
    <sheetView tabSelected="1" workbookViewId="0">
      <selection activeCell="K1" sqref="K1:L1048576"/>
    </sheetView>
  </sheetViews>
  <sheetFormatPr baseColWidth="10" defaultColWidth="12.6640625" defaultRowHeight="15.75" customHeight="1" x14ac:dyDescent="0.15"/>
  <cols>
    <col min="1" max="1" width="28.5" customWidth="1"/>
    <col min="4" max="4" width="18.1640625" customWidth="1"/>
    <col min="8" max="8" width="23" customWidth="1"/>
    <col min="9" max="9" width="16.83203125" customWidth="1"/>
  </cols>
  <sheetData>
    <row r="1" spans="1:10" ht="15.75" customHeight="1" x14ac:dyDescent="0.15">
      <c r="A1" s="179" t="s">
        <v>2656</v>
      </c>
      <c r="B1" s="179" t="s">
        <v>2657</v>
      </c>
      <c r="C1" s="179" t="s">
        <v>2658</v>
      </c>
      <c r="D1" s="179" t="s">
        <v>2659</v>
      </c>
      <c r="E1" s="179" t="s">
        <v>2660</v>
      </c>
      <c r="F1" s="179" t="s">
        <v>2661</v>
      </c>
      <c r="G1" s="179" t="s">
        <v>920</v>
      </c>
      <c r="H1" s="179" t="s">
        <v>2662</v>
      </c>
      <c r="I1" s="179" t="s">
        <v>921</v>
      </c>
      <c r="J1" s="179" t="s">
        <v>2663</v>
      </c>
    </row>
    <row r="2" spans="1:10" ht="15" x14ac:dyDescent="0.2">
      <c r="A2" s="180" t="s">
        <v>2664</v>
      </c>
      <c r="B2" s="100">
        <v>1290</v>
      </c>
      <c r="C2" s="181" t="s">
        <v>140</v>
      </c>
      <c r="D2" s="98" t="s">
        <v>2665</v>
      </c>
      <c r="G2" s="5" t="s">
        <v>2666</v>
      </c>
      <c r="H2" s="98" t="s">
        <v>139</v>
      </c>
      <c r="I2" s="99">
        <v>1</v>
      </c>
      <c r="J2" s="5" t="s">
        <v>2667</v>
      </c>
    </row>
    <row r="3" spans="1:10" ht="15" x14ac:dyDescent="0.2">
      <c r="A3" s="180" t="s">
        <v>2668</v>
      </c>
      <c r="B3" s="100">
        <v>1196</v>
      </c>
      <c r="C3" s="182" t="s">
        <v>143</v>
      </c>
      <c r="D3" s="98" t="s">
        <v>2669</v>
      </c>
      <c r="G3" s="5" t="s">
        <v>2666</v>
      </c>
      <c r="H3" s="98" t="s">
        <v>142</v>
      </c>
      <c r="I3" s="99">
        <v>0.1</v>
      </c>
      <c r="J3" s="5" t="s">
        <v>2667</v>
      </c>
    </row>
    <row r="4" spans="1:10" ht="15" x14ac:dyDescent="0.2">
      <c r="A4" s="180" t="s">
        <v>2670</v>
      </c>
      <c r="B4" s="100">
        <v>1112</v>
      </c>
      <c r="C4" s="183" t="s">
        <v>145</v>
      </c>
      <c r="D4" s="98" t="s">
        <v>2671</v>
      </c>
      <c r="G4" s="5" t="s">
        <v>2666</v>
      </c>
      <c r="H4" s="98" t="s">
        <v>142</v>
      </c>
      <c r="I4" s="99">
        <v>0.2</v>
      </c>
      <c r="J4" s="5" t="s">
        <v>2667</v>
      </c>
    </row>
    <row r="5" spans="1:10" ht="15" x14ac:dyDescent="0.2">
      <c r="A5" s="180" t="s">
        <v>2672</v>
      </c>
      <c r="B5" s="100">
        <v>300</v>
      </c>
      <c r="C5" s="184" t="s">
        <v>147</v>
      </c>
      <c r="D5" s="98" t="s">
        <v>2673</v>
      </c>
      <c r="G5" s="5" t="s">
        <v>2666</v>
      </c>
      <c r="H5" s="98" t="s">
        <v>116</v>
      </c>
      <c r="I5" s="99">
        <v>1</v>
      </c>
      <c r="J5" s="5" t="s">
        <v>2667</v>
      </c>
    </row>
    <row r="6" spans="1:10" ht="15" x14ac:dyDescent="0.2">
      <c r="A6" s="180" t="s">
        <v>2674</v>
      </c>
      <c r="B6" s="100">
        <v>745</v>
      </c>
      <c r="C6" s="184" t="s">
        <v>149</v>
      </c>
      <c r="D6" s="98" t="s">
        <v>2675</v>
      </c>
      <c r="G6" s="5" t="s">
        <v>2666</v>
      </c>
      <c r="H6" s="98" t="s">
        <v>142</v>
      </c>
      <c r="I6" s="99">
        <v>0.05</v>
      </c>
      <c r="J6" s="5" t="s">
        <v>2667</v>
      </c>
    </row>
    <row r="7" spans="1:10" ht="15" x14ac:dyDescent="0.2">
      <c r="A7" s="180" t="s">
        <v>2676</v>
      </c>
      <c r="B7" s="100">
        <v>1990</v>
      </c>
      <c r="C7" s="185" t="s">
        <v>151</v>
      </c>
      <c r="D7" s="98" t="s">
        <v>2677</v>
      </c>
      <c r="G7" s="5" t="s">
        <v>2666</v>
      </c>
      <c r="H7" s="98" t="s">
        <v>116</v>
      </c>
      <c r="I7" s="99">
        <v>1</v>
      </c>
      <c r="J7" s="5" t="s">
        <v>2667</v>
      </c>
    </row>
    <row r="8" spans="1:10" ht="15" x14ac:dyDescent="0.2">
      <c r="A8" s="180" t="s">
        <v>2678</v>
      </c>
      <c r="B8" s="100">
        <v>1390</v>
      </c>
      <c r="C8" s="185" t="s">
        <v>153</v>
      </c>
      <c r="D8" s="98" t="s">
        <v>2679</v>
      </c>
      <c r="G8" s="5" t="s">
        <v>2666</v>
      </c>
      <c r="H8" s="98" t="s">
        <v>116</v>
      </c>
      <c r="I8" s="99">
        <v>1</v>
      </c>
      <c r="J8" s="5" t="s">
        <v>2667</v>
      </c>
    </row>
    <row r="9" spans="1:10" ht="15" x14ac:dyDescent="0.2">
      <c r="A9" s="180" t="s">
        <v>2680</v>
      </c>
      <c r="B9" s="100">
        <v>790</v>
      </c>
      <c r="C9" s="185" t="s">
        <v>155</v>
      </c>
      <c r="D9" s="98" t="s">
        <v>2681</v>
      </c>
      <c r="G9" s="5" t="s">
        <v>2666</v>
      </c>
      <c r="H9" s="98" t="s">
        <v>116</v>
      </c>
      <c r="I9" s="99">
        <v>1</v>
      </c>
      <c r="J9" s="5" t="s">
        <v>2667</v>
      </c>
    </row>
    <row r="10" spans="1:10" ht="15" x14ac:dyDescent="0.2">
      <c r="A10" s="180" t="s">
        <v>2682</v>
      </c>
      <c r="B10" s="100">
        <v>995</v>
      </c>
      <c r="C10" s="184" t="s">
        <v>157</v>
      </c>
      <c r="D10" s="98" t="s">
        <v>2683</v>
      </c>
      <c r="G10" s="5" t="s">
        <v>2666</v>
      </c>
      <c r="H10" s="98" t="s">
        <v>142</v>
      </c>
      <c r="I10" s="99">
        <v>0.05</v>
      </c>
      <c r="J10" s="5" t="s">
        <v>2667</v>
      </c>
    </row>
    <row r="11" spans="1:10" ht="15" x14ac:dyDescent="0.2">
      <c r="A11" s="180" t="s">
        <v>2684</v>
      </c>
      <c r="B11" s="100">
        <v>2250</v>
      </c>
      <c r="C11" s="186" t="s">
        <v>159</v>
      </c>
      <c r="D11" s="98" t="s">
        <v>2685</v>
      </c>
      <c r="G11" s="5" t="s">
        <v>2666</v>
      </c>
      <c r="H11" s="98" t="s">
        <v>139</v>
      </c>
      <c r="I11" s="99">
        <v>1</v>
      </c>
      <c r="J11" s="5" t="s">
        <v>2667</v>
      </c>
    </row>
    <row r="12" spans="1:10" ht="15" x14ac:dyDescent="0.2">
      <c r="A12" s="180" t="s">
        <v>2686</v>
      </c>
      <c r="B12" s="100">
        <v>1990</v>
      </c>
      <c r="C12" s="185" t="s">
        <v>161</v>
      </c>
      <c r="D12" s="98" t="s">
        <v>2687</v>
      </c>
      <c r="G12" s="5" t="s">
        <v>2666</v>
      </c>
      <c r="H12" s="98" t="s">
        <v>116</v>
      </c>
      <c r="I12" s="99">
        <v>1</v>
      </c>
      <c r="J12" s="5" t="s">
        <v>2667</v>
      </c>
    </row>
    <row r="13" spans="1:10" ht="15" x14ac:dyDescent="0.2">
      <c r="A13" s="180" t="s">
        <v>2688</v>
      </c>
      <c r="B13" s="100">
        <v>3690</v>
      </c>
      <c r="C13" s="185" t="s">
        <v>163</v>
      </c>
      <c r="D13" s="98" t="s">
        <v>2689</v>
      </c>
      <c r="G13" s="5" t="s">
        <v>2666</v>
      </c>
      <c r="H13" s="98" t="s">
        <v>142</v>
      </c>
      <c r="I13" s="99">
        <v>0.5</v>
      </c>
      <c r="J13" s="5" t="s">
        <v>2667</v>
      </c>
    </row>
    <row r="14" spans="1:10" ht="15" x14ac:dyDescent="0.2">
      <c r="A14" s="180" t="s">
        <v>2690</v>
      </c>
      <c r="B14" s="100">
        <v>1495</v>
      </c>
      <c r="C14" s="185" t="s">
        <v>165</v>
      </c>
      <c r="D14" s="98" t="s">
        <v>2691</v>
      </c>
      <c r="G14" s="5" t="s">
        <v>2666</v>
      </c>
      <c r="H14" s="98" t="s">
        <v>142</v>
      </c>
      <c r="I14" s="99">
        <v>0.5</v>
      </c>
      <c r="J14" s="5" t="s">
        <v>2667</v>
      </c>
    </row>
    <row r="15" spans="1:10" ht="15" x14ac:dyDescent="0.2">
      <c r="A15" s="180" t="s">
        <v>2692</v>
      </c>
      <c r="B15" s="100">
        <v>430</v>
      </c>
      <c r="C15" s="184" t="s">
        <v>167</v>
      </c>
      <c r="D15" s="98" t="s">
        <v>2693</v>
      </c>
      <c r="G15" s="5" t="s">
        <v>2666</v>
      </c>
      <c r="H15" s="98" t="s">
        <v>116</v>
      </c>
      <c r="I15" s="99">
        <v>1</v>
      </c>
      <c r="J15" s="5" t="s">
        <v>2667</v>
      </c>
    </row>
    <row r="16" spans="1:10" ht="15" x14ac:dyDescent="0.2">
      <c r="A16" s="180" t="s">
        <v>2694</v>
      </c>
      <c r="B16" s="100">
        <v>430</v>
      </c>
      <c r="C16" s="185" t="s">
        <v>169</v>
      </c>
      <c r="D16" s="98" t="s">
        <v>2695</v>
      </c>
      <c r="G16" s="5" t="s">
        <v>2666</v>
      </c>
      <c r="H16" s="98" t="s">
        <v>116</v>
      </c>
      <c r="I16" s="99">
        <v>1</v>
      </c>
      <c r="J16" s="5" t="s">
        <v>2667</v>
      </c>
    </row>
    <row r="17" spans="1:10" ht="15" x14ac:dyDescent="0.2">
      <c r="A17" s="180" t="s">
        <v>2696</v>
      </c>
      <c r="B17" s="100">
        <v>1190</v>
      </c>
      <c r="C17" s="185" t="s">
        <v>171</v>
      </c>
      <c r="D17" s="98" t="s">
        <v>2697</v>
      </c>
      <c r="G17" s="5" t="s">
        <v>2666</v>
      </c>
      <c r="H17" s="98" t="s">
        <v>139</v>
      </c>
      <c r="I17" s="99">
        <v>1</v>
      </c>
      <c r="J17" s="5" t="s">
        <v>2667</v>
      </c>
    </row>
    <row r="18" spans="1:10" ht="15" x14ac:dyDescent="0.2">
      <c r="A18" s="180" t="s">
        <v>2698</v>
      </c>
      <c r="B18" s="100">
        <v>1990</v>
      </c>
      <c r="C18" s="185" t="s">
        <v>174</v>
      </c>
      <c r="D18" s="98" t="s">
        <v>2699</v>
      </c>
      <c r="G18" s="5" t="s">
        <v>2666</v>
      </c>
      <c r="H18" s="98" t="s">
        <v>173</v>
      </c>
      <c r="I18" s="99">
        <v>1</v>
      </c>
      <c r="J18" s="5" t="s">
        <v>2667</v>
      </c>
    </row>
    <row r="19" spans="1:10" ht="15" x14ac:dyDescent="0.2">
      <c r="A19" s="180" t="s">
        <v>2700</v>
      </c>
      <c r="B19" s="100">
        <v>990</v>
      </c>
      <c r="C19" s="185" t="s">
        <v>176</v>
      </c>
      <c r="D19" s="98" t="s">
        <v>2701</v>
      </c>
      <c r="G19" s="5" t="s">
        <v>2666</v>
      </c>
      <c r="H19" s="98" t="s">
        <v>116</v>
      </c>
      <c r="I19" s="99">
        <v>1</v>
      </c>
      <c r="J19" s="5" t="s">
        <v>2667</v>
      </c>
    </row>
    <row r="20" spans="1:10" ht="15" x14ac:dyDescent="0.2">
      <c r="A20" s="180" t="s">
        <v>2702</v>
      </c>
      <c r="B20" s="100">
        <v>500</v>
      </c>
      <c r="C20" s="185" t="s">
        <v>178</v>
      </c>
      <c r="D20" s="98" t="s">
        <v>2703</v>
      </c>
      <c r="G20" s="5" t="s">
        <v>2666</v>
      </c>
      <c r="H20" s="98" t="s">
        <v>139</v>
      </c>
      <c r="I20" s="99">
        <v>1</v>
      </c>
      <c r="J20" s="5" t="s">
        <v>2667</v>
      </c>
    </row>
    <row r="21" spans="1:10" ht="15" x14ac:dyDescent="0.2">
      <c r="A21" s="180" t="s">
        <v>2704</v>
      </c>
      <c r="B21" s="100">
        <v>990</v>
      </c>
      <c r="C21" s="184" t="s">
        <v>180</v>
      </c>
      <c r="D21" s="98" t="s">
        <v>2705</v>
      </c>
      <c r="G21" s="5" t="s">
        <v>2666</v>
      </c>
      <c r="H21" s="98" t="s">
        <v>139</v>
      </c>
      <c r="I21" s="99">
        <v>1</v>
      </c>
      <c r="J21" s="5" t="s">
        <v>2667</v>
      </c>
    </row>
    <row r="22" spans="1:10" ht="15" x14ac:dyDescent="0.2">
      <c r="A22" s="180" t="s">
        <v>2706</v>
      </c>
      <c r="B22" s="100">
        <v>2490</v>
      </c>
      <c r="C22" s="187" t="s">
        <v>182</v>
      </c>
      <c r="D22" s="98" t="s">
        <v>2707</v>
      </c>
      <c r="G22" s="5" t="s">
        <v>2666</v>
      </c>
      <c r="H22" s="98" t="s">
        <v>116</v>
      </c>
      <c r="I22" s="99">
        <v>1</v>
      </c>
      <c r="J22" s="5" t="s">
        <v>2667</v>
      </c>
    </row>
    <row r="23" spans="1:10" ht="15" x14ac:dyDescent="0.2">
      <c r="A23" s="180" t="s">
        <v>2708</v>
      </c>
      <c r="B23" s="100">
        <v>990</v>
      </c>
      <c r="C23" s="187" t="s">
        <v>185</v>
      </c>
      <c r="D23" s="98" t="s">
        <v>2709</v>
      </c>
      <c r="G23" s="5" t="s">
        <v>2666</v>
      </c>
      <c r="H23" s="98" t="s">
        <v>142</v>
      </c>
      <c r="I23" s="99">
        <v>0.2</v>
      </c>
      <c r="J23" s="5" t="s">
        <v>2667</v>
      </c>
    </row>
    <row r="24" spans="1:10" ht="15" x14ac:dyDescent="0.2">
      <c r="A24" s="180" t="s">
        <v>2710</v>
      </c>
      <c r="B24" s="100">
        <v>5290</v>
      </c>
      <c r="C24" s="187" t="s">
        <v>187</v>
      </c>
      <c r="D24" s="98" t="s">
        <v>2711</v>
      </c>
      <c r="G24" s="5" t="s">
        <v>2666</v>
      </c>
      <c r="H24" s="98" t="s">
        <v>142</v>
      </c>
      <c r="I24" s="99">
        <v>0.3</v>
      </c>
      <c r="J24" s="5" t="s">
        <v>2667</v>
      </c>
    </row>
    <row r="25" spans="1:10" ht="15" x14ac:dyDescent="0.2">
      <c r="A25" s="180" t="s">
        <v>2712</v>
      </c>
      <c r="B25" s="100">
        <v>690</v>
      </c>
      <c r="C25" s="187" t="s">
        <v>189</v>
      </c>
      <c r="D25" s="98" t="s">
        <v>2713</v>
      </c>
      <c r="G25" s="5" t="s">
        <v>2666</v>
      </c>
      <c r="H25" s="98" t="s">
        <v>142</v>
      </c>
      <c r="I25" s="99">
        <v>0.1</v>
      </c>
      <c r="J25" s="5" t="s">
        <v>2667</v>
      </c>
    </row>
    <row r="26" spans="1:10" ht="15" x14ac:dyDescent="0.2">
      <c r="A26" s="180" t="s">
        <v>2714</v>
      </c>
      <c r="B26" s="100">
        <v>1390</v>
      </c>
      <c r="C26" s="187" t="s">
        <v>191</v>
      </c>
      <c r="D26" s="98" t="s">
        <v>2715</v>
      </c>
      <c r="G26" s="5" t="s">
        <v>2666</v>
      </c>
      <c r="H26" s="98" t="s">
        <v>116</v>
      </c>
      <c r="I26" s="99">
        <v>1</v>
      </c>
      <c r="J26" s="5" t="s">
        <v>2667</v>
      </c>
    </row>
    <row r="27" spans="1:10" ht="15" x14ac:dyDescent="0.2">
      <c r="A27" s="180" t="s">
        <v>2716</v>
      </c>
      <c r="B27" s="100">
        <v>990</v>
      </c>
      <c r="C27" s="187" t="s">
        <v>193</v>
      </c>
      <c r="D27" s="98" t="s">
        <v>2717</v>
      </c>
      <c r="G27" s="5" t="s">
        <v>2666</v>
      </c>
      <c r="H27" s="98" t="s">
        <v>116</v>
      </c>
      <c r="I27" s="99">
        <v>1</v>
      </c>
      <c r="J27" s="5" t="s">
        <v>2667</v>
      </c>
    </row>
    <row r="28" spans="1:10" ht="15" x14ac:dyDescent="0.2">
      <c r="A28" s="180" t="s">
        <v>2718</v>
      </c>
      <c r="B28" s="100">
        <v>1890</v>
      </c>
      <c r="C28" s="188" t="s">
        <v>195</v>
      </c>
      <c r="D28" s="98" t="s">
        <v>2719</v>
      </c>
      <c r="G28" s="5" t="s">
        <v>2666</v>
      </c>
      <c r="H28" s="98" t="s">
        <v>116</v>
      </c>
      <c r="I28" s="99">
        <v>1</v>
      </c>
      <c r="J28" s="5" t="s">
        <v>2667</v>
      </c>
    </row>
    <row r="29" spans="1:10" ht="15" x14ac:dyDescent="0.2">
      <c r="A29" s="180" t="s">
        <v>2720</v>
      </c>
      <c r="B29" s="100">
        <v>1090</v>
      </c>
      <c r="C29" s="188" t="s">
        <v>197</v>
      </c>
      <c r="D29" s="98" t="s">
        <v>2721</v>
      </c>
      <c r="G29" s="5" t="s">
        <v>2666</v>
      </c>
      <c r="H29" s="98" t="s">
        <v>116</v>
      </c>
      <c r="I29" s="99">
        <v>1</v>
      </c>
      <c r="J29" s="5" t="s">
        <v>2667</v>
      </c>
    </row>
    <row r="30" spans="1:10" ht="15" x14ac:dyDescent="0.2">
      <c r="A30" s="180" t="s">
        <v>2722</v>
      </c>
      <c r="B30" s="100">
        <v>1090</v>
      </c>
      <c r="C30" s="188" t="s">
        <v>199</v>
      </c>
      <c r="D30" s="98" t="s">
        <v>2723</v>
      </c>
      <c r="G30" s="5" t="s">
        <v>2666</v>
      </c>
      <c r="H30" s="98" t="s">
        <v>116</v>
      </c>
      <c r="I30" s="99">
        <v>1</v>
      </c>
      <c r="J30" s="5" t="s">
        <v>2667</v>
      </c>
    </row>
    <row r="31" spans="1:10" ht="15" x14ac:dyDescent="0.2">
      <c r="A31" s="180" t="s">
        <v>2724</v>
      </c>
      <c r="B31" s="100">
        <v>1890</v>
      </c>
      <c r="C31" s="187" t="s">
        <v>201</v>
      </c>
      <c r="D31" s="98" t="s">
        <v>2725</v>
      </c>
      <c r="G31" s="5" t="s">
        <v>2666</v>
      </c>
      <c r="H31" s="98" t="s">
        <v>116</v>
      </c>
      <c r="I31" s="99">
        <v>1</v>
      </c>
      <c r="J31" s="5" t="s">
        <v>2667</v>
      </c>
    </row>
    <row r="32" spans="1:10" ht="15" x14ac:dyDescent="0.2">
      <c r="A32" s="180" t="s">
        <v>2726</v>
      </c>
      <c r="B32" s="100">
        <v>690</v>
      </c>
      <c r="C32" s="187" t="s">
        <v>203</v>
      </c>
      <c r="D32" s="98" t="s">
        <v>2727</v>
      </c>
      <c r="G32" s="5" t="s">
        <v>2666</v>
      </c>
      <c r="H32" s="98" t="s">
        <v>142</v>
      </c>
      <c r="I32" s="99">
        <v>0.05</v>
      </c>
      <c r="J32" s="5" t="s">
        <v>2667</v>
      </c>
    </row>
    <row r="33" spans="1:10" ht="15" x14ac:dyDescent="0.2">
      <c r="A33" s="180" t="s">
        <v>2728</v>
      </c>
      <c r="B33" s="100">
        <v>1090</v>
      </c>
      <c r="C33" s="187" t="s">
        <v>205</v>
      </c>
      <c r="D33" s="98" t="s">
        <v>2729</v>
      </c>
      <c r="G33" s="5" t="s">
        <v>2666</v>
      </c>
      <c r="H33" s="98" t="s">
        <v>142</v>
      </c>
      <c r="I33" s="99">
        <v>1</v>
      </c>
      <c r="J33" s="5" t="s">
        <v>2667</v>
      </c>
    </row>
    <row r="34" spans="1:10" ht="15" x14ac:dyDescent="0.2">
      <c r="A34" s="180" t="s">
        <v>2730</v>
      </c>
      <c r="B34" s="100">
        <v>790</v>
      </c>
      <c r="C34" s="187" t="s">
        <v>207</v>
      </c>
      <c r="D34" s="98" t="s">
        <v>2731</v>
      </c>
      <c r="G34" s="5" t="s">
        <v>2666</v>
      </c>
      <c r="H34" s="98" t="s">
        <v>116</v>
      </c>
      <c r="I34" s="99">
        <v>1</v>
      </c>
      <c r="J34" s="5" t="s">
        <v>2667</v>
      </c>
    </row>
    <row r="35" spans="1:10" ht="15" x14ac:dyDescent="0.2">
      <c r="A35" s="180" t="s">
        <v>2732</v>
      </c>
      <c r="B35" s="100">
        <v>990</v>
      </c>
      <c r="C35" s="187" t="s">
        <v>209</v>
      </c>
      <c r="D35" s="98" t="s">
        <v>2733</v>
      </c>
      <c r="G35" s="5" t="s">
        <v>2666</v>
      </c>
      <c r="H35" s="98" t="s">
        <v>139</v>
      </c>
      <c r="I35" s="99">
        <v>1</v>
      </c>
      <c r="J35" s="5" t="s">
        <v>2667</v>
      </c>
    </row>
    <row r="36" spans="1:10" ht="15" x14ac:dyDescent="0.2">
      <c r="A36" s="180" t="s">
        <v>2734</v>
      </c>
      <c r="B36" s="100">
        <v>1490</v>
      </c>
      <c r="C36" s="187" t="s">
        <v>211</v>
      </c>
      <c r="D36" s="98" t="s">
        <v>2735</v>
      </c>
      <c r="G36" s="5" t="s">
        <v>2666</v>
      </c>
      <c r="H36" s="98" t="s">
        <v>116</v>
      </c>
      <c r="I36" s="99">
        <v>1</v>
      </c>
      <c r="J36" s="5" t="s">
        <v>2667</v>
      </c>
    </row>
    <row r="37" spans="1:10" ht="15" x14ac:dyDescent="0.2">
      <c r="A37" s="180" t="s">
        <v>2736</v>
      </c>
      <c r="B37" s="100">
        <v>1490</v>
      </c>
      <c r="C37" s="187" t="s">
        <v>213</v>
      </c>
      <c r="D37" s="98" t="s">
        <v>2737</v>
      </c>
      <c r="G37" s="5" t="s">
        <v>2666</v>
      </c>
      <c r="H37" s="98" t="s">
        <v>116</v>
      </c>
      <c r="I37" s="99">
        <v>1</v>
      </c>
      <c r="J37" s="5" t="s">
        <v>2667</v>
      </c>
    </row>
    <row r="38" spans="1:10" ht="15" x14ac:dyDescent="0.2">
      <c r="A38" s="180" t="s">
        <v>2738</v>
      </c>
      <c r="B38" s="100">
        <v>990</v>
      </c>
      <c r="C38" s="187" t="s">
        <v>215</v>
      </c>
      <c r="D38" s="98" t="s">
        <v>2739</v>
      </c>
      <c r="G38" s="5" t="s">
        <v>2666</v>
      </c>
      <c r="H38" s="98" t="s">
        <v>116</v>
      </c>
      <c r="I38" s="99">
        <v>1</v>
      </c>
      <c r="J38" s="5" t="s">
        <v>2667</v>
      </c>
    </row>
    <row r="39" spans="1:10" ht="15" x14ac:dyDescent="0.2">
      <c r="A39" s="180" t="s">
        <v>2740</v>
      </c>
      <c r="B39" s="100">
        <v>2190</v>
      </c>
      <c r="C39" s="187" t="s">
        <v>217</v>
      </c>
      <c r="D39" s="98" t="s">
        <v>2741</v>
      </c>
      <c r="G39" s="5" t="s">
        <v>2666</v>
      </c>
      <c r="H39" s="98" t="s">
        <v>142</v>
      </c>
      <c r="I39" s="99">
        <v>0.5</v>
      </c>
      <c r="J39" s="5" t="s">
        <v>2667</v>
      </c>
    </row>
    <row r="40" spans="1:10" ht="15" x14ac:dyDescent="0.2">
      <c r="A40" s="180" t="s">
        <v>2742</v>
      </c>
      <c r="B40" s="100">
        <v>990</v>
      </c>
      <c r="C40" s="187" t="s">
        <v>219</v>
      </c>
      <c r="D40" s="98" t="s">
        <v>2743</v>
      </c>
      <c r="G40" s="5" t="s">
        <v>2666</v>
      </c>
      <c r="H40" s="98" t="s">
        <v>139</v>
      </c>
      <c r="I40" s="99">
        <v>1</v>
      </c>
      <c r="J40" s="5" t="s">
        <v>2667</v>
      </c>
    </row>
    <row r="41" spans="1:10" ht="15" x14ac:dyDescent="0.2">
      <c r="A41" s="180" t="s">
        <v>2744</v>
      </c>
      <c r="B41" s="100">
        <v>3990</v>
      </c>
      <c r="C41" s="188" t="s">
        <v>221</v>
      </c>
      <c r="D41" s="98" t="s">
        <v>2745</v>
      </c>
      <c r="G41" s="5" t="s">
        <v>2666</v>
      </c>
      <c r="H41" s="98" t="s">
        <v>116</v>
      </c>
      <c r="I41" s="99">
        <v>1</v>
      </c>
      <c r="J41" s="5" t="s">
        <v>2667</v>
      </c>
    </row>
    <row r="42" spans="1:10" ht="15" x14ac:dyDescent="0.2">
      <c r="A42" s="180" t="s">
        <v>2746</v>
      </c>
      <c r="B42" s="100">
        <v>3990</v>
      </c>
      <c r="C42" s="188" t="s">
        <v>223</v>
      </c>
      <c r="D42" s="98" t="s">
        <v>2747</v>
      </c>
      <c r="G42" s="5" t="s">
        <v>2666</v>
      </c>
      <c r="H42" s="98" t="s">
        <v>116</v>
      </c>
      <c r="I42" s="99">
        <v>1</v>
      </c>
      <c r="J42" s="5" t="s">
        <v>2667</v>
      </c>
    </row>
    <row r="43" spans="1:10" ht="15" x14ac:dyDescent="0.2">
      <c r="A43" s="180" t="s">
        <v>2748</v>
      </c>
      <c r="B43" s="100">
        <v>745</v>
      </c>
      <c r="C43" s="187" t="s">
        <v>225</v>
      </c>
      <c r="D43" s="98" t="s">
        <v>2749</v>
      </c>
      <c r="G43" s="5" t="s">
        <v>2666</v>
      </c>
      <c r="H43" s="98" t="s">
        <v>142</v>
      </c>
      <c r="I43" s="99">
        <v>0.1</v>
      </c>
      <c r="J43" s="5" t="s">
        <v>2667</v>
      </c>
    </row>
    <row r="44" spans="1:10" ht="15" x14ac:dyDescent="0.2">
      <c r="A44" s="180" t="s">
        <v>2750</v>
      </c>
      <c r="B44" s="100">
        <v>1990</v>
      </c>
      <c r="C44" s="188" t="s">
        <v>227</v>
      </c>
      <c r="D44" s="98" t="s">
        <v>2751</v>
      </c>
      <c r="G44" s="5" t="s">
        <v>2666</v>
      </c>
      <c r="H44" s="98" t="s">
        <v>142</v>
      </c>
      <c r="I44" s="99">
        <v>1</v>
      </c>
      <c r="J44" s="5" t="s">
        <v>2667</v>
      </c>
    </row>
    <row r="45" spans="1:10" ht="15" x14ac:dyDescent="0.2">
      <c r="A45" s="180" t="s">
        <v>2752</v>
      </c>
      <c r="B45" s="100">
        <v>1495</v>
      </c>
      <c r="C45" s="188" t="s">
        <v>229</v>
      </c>
      <c r="D45" s="98" t="s">
        <v>2753</v>
      </c>
      <c r="G45" s="5" t="s">
        <v>2666</v>
      </c>
      <c r="H45" s="98" t="s">
        <v>142</v>
      </c>
      <c r="I45" s="99">
        <v>0.25</v>
      </c>
      <c r="J45" s="5" t="s">
        <v>2667</v>
      </c>
    </row>
    <row r="46" spans="1:10" ht="15" x14ac:dyDescent="0.2">
      <c r="A46" s="180" t="s">
        <v>2754</v>
      </c>
      <c r="B46" s="100">
        <v>1295</v>
      </c>
      <c r="C46" s="188" t="s">
        <v>231</v>
      </c>
      <c r="D46" s="98" t="s">
        <v>2755</v>
      </c>
      <c r="G46" s="5" t="s">
        <v>2666</v>
      </c>
      <c r="H46" s="98" t="s">
        <v>142</v>
      </c>
      <c r="I46" s="99">
        <v>0.5</v>
      </c>
      <c r="J46" s="5" t="s">
        <v>2667</v>
      </c>
    </row>
    <row r="47" spans="1:10" ht="15" x14ac:dyDescent="0.2">
      <c r="A47" s="180" t="s">
        <v>2756</v>
      </c>
      <c r="B47" s="100">
        <v>1290</v>
      </c>
      <c r="C47" s="182" t="s">
        <v>233</v>
      </c>
      <c r="D47" s="98" t="s">
        <v>2757</v>
      </c>
      <c r="G47" s="5" t="s">
        <v>2666</v>
      </c>
      <c r="H47" s="98" t="s">
        <v>142</v>
      </c>
      <c r="I47" s="99">
        <v>1</v>
      </c>
      <c r="J47" s="5" t="s">
        <v>2667</v>
      </c>
    </row>
    <row r="48" spans="1:10" ht="15" x14ac:dyDescent="0.2">
      <c r="A48" s="180" t="s">
        <v>2758</v>
      </c>
      <c r="B48" s="100">
        <v>1300</v>
      </c>
      <c r="C48" s="182" t="s">
        <v>236</v>
      </c>
      <c r="D48" s="98" t="s">
        <v>2759</v>
      </c>
      <c r="G48" s="5" t="s">
        <v>2666</v>
      </c>
      <c r="H48" s="98" t="s">
        <v>235</v>
      </c>
      <c r="I48" s="99">
        <v>1</v>
      </c>
      <c r="J48" s="5" t="s">
        <v>2667</v>
      </c>
    </row>
    <row r="49" spans="1:10" ht="15" x14ac:dyDescent="0.2">
      <c r="A49" s="180" t="s">
        <v>2760</v>
      </c>
      <c r="B49" s="100">
        <v>790</v>
      </c>
      <c r="C49" s="184" t="s">
        <v>238</v>
      </c>
      <c r="D49" s="98" t="s">
        <v>2761</v>
      </c>
      <c r="G49" s="5" t="s">
        <v>2666</v>
      </c>
      <c r="H49" s="98" t="s">
        <v>116</v>
      </c>
      <c r="I49" s="99">
        <v>1</v>
      </c>
      <c r="J49" s="5" t="s">
        <v>2667</v>
      </c>
    </row>
    <row r="50" spans="1:10" ht="15" x14ac:dyDescent="0.2">
      <c r="A50" s="180" t="s">
        <v>2762</v>
      </c>
      <c r="B50" s="100">
        <v>3490</v>
      </c>
      <c r="C50" s="189" t="s">
        <v>240</v>
      </c>
      <c r="D50" s="98" t="s">
        <v>2763</v>
      </c>
      <c r="G50" s="5" t="s">
        <v>2666</v>
      </c>
      <c r="H50" s="98" t="s">
        <v>142</v>
      </c>
      <c r="I50" s="99">
        <v>0.1</v>
      </c>
      <c r="J50" s="5" t="s">
        <v>2667</v>
      </c>
    </row>
    <row r="51" spans="1:10" ht="15" x14ac:dyDescent="0.2">
      <c r="A51" s="180" t="s">
        <v>2764</v>
      </c>
      <c r="B51" s="100">
        <v>5317</v>
      </c>
      <c r="C51" s="185" t="s">
        <v>242</v>
      </c>
      <c r="D51" s="98" t="s">
        <v>2765</v>
      </c>
      <c r="G51" s="5" t="s">
        <v>2666</v>
      </c>
      <c r="H51" s="98" t="s">
        <v>142</v>
      </c>
      <c r="I51" s="99">
        <v>0.5</v>
      </c>
      <c r="J51" s="5" t="s">
        <v>2667</v>
      </c>
    </row>
    <row r="52" spans="1:10" ht="15" x14ac:dyDescent="0.2">
      <c r="A52" s="180" t="s">
        <v>2766</v>
      </c>
      <c r="B52" s="100">
        <v>1500</v>
      </c>
      <c r="C52" s="185" t="s">
        <v>244</v>
      </c>
      <c r="D52" s="98" t="s">
        <v>2767</v>
      </c>
      <c r="G52" s="5" t="s">
        <v>2666</v>
      </c>
      <c r="H52" s="98" t="s">
        <v>142</v>
      </c>
      <c r="I52" s="99">
        <v>0.5</v>
      </c>
      <c r="J52" s="5" t="s">
        <v>2667</v>
      </c>
    </row>
    <row r="53" spans="1:10" ht="15" x14ac:dyDescent="0.2">
      <c r="A53" s="180" t="s">
        <v>2768</v>
      </c>
      <c r="B53" s="100">
        <v>1690</v>
      </c>
      <c r="C53" s="184" t="s">
        <v>246</v>
      </c>
      <c r="D53" s="98" t="s">
        <v>2769</v>
      </c>
      <c r="G53" s="5" t="s">
        <v>2666</v>
      </c>
      <c r="H53" s="98" t="s">
        <v>142</v>
      </c>
      <c r="I53" s="99">
        <v>1</v>
      </c>
      <c r="J53" s="5" t="s">
        <v>2667</v>
      </c>
    </row>
    <row r="54" spans="1:10" ht="15" x14ac:dyDescent="0.2">
      <c r="A54" s="180" t="s">
        <v>2770</v>
      </c>
      <c r="B54" s="100">
        <v>1990</v>
      </c>
      <c r="C54" s="185" t="s">
        <v>248</v>
      </c>
      <c r="D54" s="98" t="s">
        <v>2771</v>
      </c>
      <c r="G54" s="5" t="s">
        <v>2666</v>
      </c>
      <c r="H54" s="98" t="s">
        <v>142</v>
      </c>
      <c r="I54" s="99">
        <v>0.5</v>
      </c>
      <c r="J54" s="5" t="s">
        <v>2667</v>
      </c>
    </row>
    <row r="55" spans="1:10" ht="15" x14ac:dyDescent="0.2">
      <c r="A55" s="180" t="s">
        <v>2772</v>
      </c>
      <c r="B55" s="100">
        <v>2490</v>
      </c>
      <c r="C55" s="184" t="s">
        <v>248</v>
      </c>
      <c r="D55" s="98" t="s">
        <v>2773</v>
      </c>
      <c r="G55" s="5" t="s">
        <v>2666</v>
      </c>
      <c r="H55" s="98" t="s">
        <v>142</v>
      </c>
      <c r="I55" s="99">
        <v>0.5</v>
      </c>
      <c r="J55" s="5" t="s">
        <v>2667</v>
      </c>
    </row>
    <row r="56" spans="1:10" ht="15" x14ac:dyDescent="0.2">
      <c r="A56" s="180" t="s">
        <v>2774</v>
      </c>
      <c r="B56" s="100">
        <v>1345</v>
      </c>
      <c r="C56" s="186" t="s">
        <v>251</v>
      </c>
      <c r="D56" s="98" t="s">
        <v>2775</v>
      </c>
      <c r="G56" s="5" t="s">
        <v>2666</v>
      </c>
      <c r="H56" s="98" t="s">
        <v>142</v>
      </c>
      <c r="I56" s="99">
        <v>0.5</v>
      </c>
      <c r="J56" s="5" t="s">
        <v>2667</v>
      </c>
    </row>
    <row r="57" spans="1:10" ht="15" x14ac:dyDescent="0.2">
      <c r="A57" s="180" t="s">
        <v>2776</v>
      </c>
      <c r="B57" s="100">
        <v>1990</v>
      </c>
      <c r="C57" s="184" t="s">
        <v>253</v>
      </c>
      <c r="D57" s="98" t="s">
        <v>2777</v>
      </c>
      <c r="G57" s="5" t="s">
        <v>2666</v>
      </c>
      <c r="H57" s="98" t="s">
        <v>116</v>
      </c>
      <c r="I57" s="99">
        <v>1</v>
      </c>
      <c r="J57" s="5" t="s">
        <v>2667</v>
      </c>
    </row>
    <row r="58" spans="1:10" ht="15" x14ac:dyDescent="0.2">
      <c r="A58" s="180" t="s">
        <v>2778</v>
      </c>
      <c r="B58" s="100">
        <v>2190</v>
      </c>
      <c r="C58" s="184" t="s">
        <v>255</v>
      </c>
      <c r="D58" s="98" t="s">
        <v>2779</v>
      </c>
      <c r="G58" s="5" t="s">
        <v>2666</v>
      </c>
      <c r="H58" s="98" t="s">
        <v>142</v>
      </c>
      <c r="I58" s="99">
        <v>1</v>
      </c>
      <c r="J58" s="5" t="s">
        <v>2667</v>
      </c>
    </row>
    <row r="59" spans="1:10" ht="15" x14ac:dyDescent="0.2">
      <c r="A59" s="180" t="s">
        <v>2780</v>
      </c>
      <c r="B59" s="100">
        <v>2190</v>
      </c>
      <c r="C59" s="184" t="s">
        <v>257</v>
      </c>
      <c r="D59" s="98" t="s">
        <v>2781</v>
      </c>
      <c r="G59" s="5" t="s">
        <v>2666</v>
      </c>
      <c r="H59" s="98" t="s">
        <v>142</v>
      </c>
      <c r="I59" s="99">
        <v>1</v>
      </c>
      <c r="J59" s="5" t="s">
        <v>2667</v>
      </c>
    </row>
    <row r="60" spans="1:10" ht="15" x14ac:dyDescent="0.2">
      <c r="A60" s="180" t="s">
        <v>2782</v>
      </c>
      <c r="B60" s="100">
        <v>2190</v>
      </c>
      <c r="C60" s="189" t="s">
        <v>259</v>
      </c>
      <c r="D60" s="98" t="s">
        <v>2783</v>
      </c>
      <c r="G60" s="5" t="s">
        <v>2666</v>
      </c>
      <c r="H60" s="98" t="s">
        <v>142</v>
      </c>
      <c r="I60" s="99">
        <v>1</v>
      </c>
      <c r="J60" s="5" t="s">
        <v>2667</v>
      </c>
    </row>
    <row r="61" spans="1:10" ht="15" x14ac:dyDescent="0.2">
      <c r="A61" s="180" t="s">
        <v>2784</v>
      </c>
      <c r="B61" s="100">
        <v>1390</v>
      </c>
      <c r="C61" s="184" t="s">
        <v>261</v>
      </c>
      <c r="D61" s="98" t="s">
        <v>2785</v>
      </c>
      <c r="G61" s="5" t="s">
        <v>2666</v>
      </c>
      <c r="H61" s="98" t="s">
        <v>142</v>
      </c>
      <c r="I61" s="99">
        <v>0.5</v>
      </c>
      <c r="J61" s="5" t="s">
        <v>2667</v>
      </c>
    </row>
    <row r="62" spans="1:10" ht="15" x14ac:dyDescent="0.2">
      <c r="A62" s="180" t="s">
        <v>2786</v>
      </c>
      <c r="B62" s="100">
        <v>2290</v>
      </c>
      <c r="C62" s="187" t="s">
        <v>263</v>
      </c>
      <c r="D62" s="98" t="s">
        <v>2787</v>
      </c>
      <c r="G62" s="5" t="s">
        <v>2666</v>
      </c>
      <c r="H62" s="98" t="s">
        <v>142</v>
      </c>
      <c r="I62" s="99">
        <v>1</v>
      </c>
      <c r="J62" s="5" t="s">
        <v>2667</v>
      </c>
    </row>
    <row r="63" spans="1:10" ht="15" x14ac:dyDescent="0.2">
      <c r="A63" s="180" t="s">
        <v>2788</v>
      </c>
      <c r="B63" s="100">
        <v>6500</v>
      </c>
      <c r="C63" s="187" t="s">
        <v>265</v>
      </c>
      <c r="D63" s="98" t="s">
        <v>2789</v>
      </c>
      <c r="G63" s="5" t="s">
        <v>2666</v>
      </c>
      <c r="H63" s="98" t="s">
        <v>142</v>
      </c>
      <c r="I63" s="99">
        <v>1</v>
      </c>
      <c r="J63" s="5" t="s">
        <v>2667</v>
      </c>
    </row>
    <row r="64" spans="1:10" ht="15" x14ac:dyDescent="0.2">
      <c r="A64" s="180" t="s">
        <v>2790</v>
      </c>
      <c r="B64" s="100">
        <v>5300</v>
      </c>
      <c r="C64" s="187" t="s">
        <v>267</v>
      </c>
      <c r="D64" s="98" t="s">
        <v>2791</v>
      </c>
      <c r="G64" s="5" t="s">
        <v>2666</v>
      </c>
      <c r="H64" s="98" t="s">
        <v>142</v>
      </c>
      <c r="I64" s="99">
        <v>1</v>
      </c>
      <c r="J64" s="5" t="s">
        <v>2667</v>
      </c>
    </row>
    <row r="65" spans="1:10" ht="15" x14ac:dyDescent="0.2">
      <c r="A65" s="180" t="s">
        <v>2792</v>
      </c>
      <c r="B65" s="100">
        <v>2290</v>
      </c>
      <c r="C65" s="187" t="s">
        <v>269</v>
      </c>
      <c r="D65" s="98" t="s">
        <v>2793</v>
      </c>
      <c r="G65" s="5" t="s">
        <v>2666</v>
      </c>
      <c r="H65" s="98" t="s">
        <v>142</v>
      </c>
      <c r="I65" s="99">
        <v>0.5</v>
      </c>
      <c r="J65" s="5" t="s">
        <v>2667</v>
      </c>
    </row>
    <row r="66" spans="1:10" ht="15" x14ac:dyDescent="0.2">
      <c r="A66" s="180" t="s">
        <v>2794</v>
      </c>
      <c r="B66" s="100">
        <v>1245</v>
      </c>
      <c r="C66" s="187" t="s">
        <v>271</v>
      </c>
      <c r="D66" s="98" t="s">
        <v>2795</v>
      </c>
      <c r="G66" s="5" t="s">
        <v>2666</v>
      </c>
      <c r="H66" s="98" t="s">
        <v>142</v>
      </c>
      <c r="I66" s="99">
        <v>0.5</v>
      </c>
      <c r="J66" s="5" t="s">
        <v>2667</v>
      </c>
    </row>
    <row r="67" spans="1:10" ht="15" x14ac:dyDescent="0.2">
      <c r="A67" s="180" t="s">
        <v>2796</v>
      </c>
      <c r="B67" s="100">
        <v>3490</v>
      </c>
      <c r="C67" s="187" t="s">
        <v>273</v>
      </c>
      <c r="D67" s="98" t="s">
        <v>2797</v>
      </c>
      <c r="G67" s="5" t="s">
        <v>2666</v>
      </c>
      <c r="H67" s="98" t="s">
        <v>116</v>
      </c>
      <c r="I67" s="99">
        <v>1</v>
      </c>
      <c r="J67" s="5" t="s">
        <v>2667</v>
      </c>
    </row>
    <row r="68" spans="1:10" ht="15" x14ac:dyDescent="0.2">
      <c r="A68" s="180" t="s">
        <v>2798</v>
      </c>
      <c r="B68" s="100">
        <v>1790</v>
      </c>
      <c r="C68" s="187" t="s">
        <v>275</v>
      </c>
      <c r="D68" s="98" t="s">
        <v>2799</v>
      </c>
      <c r="G68" s="5" t="s">
        <v>2666</v>
      </c>
      <c r="H68" s="98" t="s">
        <v>142</v>
      </c>
      <c r="I68" s="99">
        <v>1</v>
      </c>
      <c r="J68" s="5" t="s">
        <v>2667</v>
      </c>
    </row>
    <row r="69" spans="1:10" ht="15" x14ac:dyDescent="0.2">
      <c r="A69" s="180" t="s">
        <v>2800</v>
      </c>
      <c r="B69" s="100">
        <v>995</v>
      </c>
      <c r="C69" s="187" t="s">
        <v>277</v>
      </c>
      <c r="D69" s="98" t="s">
        <v>2801</v>
      </c>
      <c r="G69" s="5" t="s">
        <v>2666</v>
      </c>
      <c r="H69" s="98" t="s">
        <v>142</v>
      </c>
      <c r="I69" s="99">
        <v>0.5</v>
      </c>
      <c r="J69" s="5" t="s">
        <v>2667</v>
      </c>
    </row>
    <row r="70" spans="1:10" ht="15" x14ac:dyDescent="0.2">
      <c r="A70" s="180" t="s">
        <v>2802</v>
      </c>
      <c r="B70" s="100">
        <v>1995</v>
      </c>
      <c r="C70" s="187" t="s">
        <v>279</v>
      </c>
      <c r="D70" s="98" t="s">
        <v>2803</v>
      </c>
      <c r="G70" s="5" t="s">
        <v>2666</v>
      </c>
      <c r="H70" s="98" t="s">
        <v>142</v>
      </c>
      <c r="I70" s="99">
        <v>0.5</v>
      </c>
      <c r="J70" s="5" t="s">
        <v>2667</v>
      </c>
    </row>
    <row r="71" spans="1:10" ht="15" x14ac:dyDescent="0.2">
      <c r="A71" s="180" t="s">
        <v>2804</v>
      </c>
      <c r="B71" s="100">
        <v>2245</v>
      </c>
      <c r="C71" s="187" t="s">
        <v>281</v>
      </c>
      <c r="D71" s="98" t="s">
        <v>2805</v>
      </c>
      <c r="G71" s="5" t="s">
        <v>2666</v>
      </c>
      <c r="H71" s="98" t="s">
        <v>142</v>
      </c>
      <c r="I71" s="99">
        <v>0.5</v>
      </c>
      <c r="J71" s="5" t="s">
        <v>2667</v>
      </c>
    </row>
    <row r="72" spans="1:10" ht="15" x14ac:dyDescent="0.2">
      <c r="A72" s="180" t="s">
        <v>2806</v>
      </c>
      <c r="B72" s="100">
        <v>2245</v>
      </c>
      <c r="C72" s="187" t="s">
        <v>283</v>
      </c>
      <c r="D72" s="98" t="s">
        <v>2807</v>
      </c>
      <c r="G72" s="5" t="s">
        <v>2666</v>
      </c>
      <c r="H72" s="98" t="s">
        <v>142</v>
      </c>
      <c r="I72" s="99">
        <v>0.5</v>
      </c>
      <c r="J72" s="5" t="s">
        <v>2667</v>
      </c>
    </row>
    <row r="73" spans="1:10" ht="15" x14ac:dyDescent="0.2">
      <c r="A73" s="180" t="s">
        <v>2808</v>
      </c>
      <c r="B73" s="103">
        <v>2200</v>
      </c>
      <c r="C73" s="187" t="s">
        <v>285</v>
      </c>
      <c r="D73" s="98" t="s">
        <v>2809</v>
      </c>
      <c r="G73" s="5" t="s">
        <v>2666</v>
      </c>
      <c r="H73" s="98" t="s">
        <v>142</v>
      </c>
      <c r="I73" s="99">
        <v>0.01</v>
      </c>
      <c r="J73" s="5" t="s">
        <v>2667</v>
      </c>
    </row>
    <row r="74" spans="1:10" ht="15" x14ac:dyDescent="0.2">
      <c r="A74" s="180" t="s">
        <v>2810</v>
      </c>
      <c r="B74" s="103">
        <v>3990</v>
      </c>
      <c r="C74" s="188" t="s">
        <v>287</v>
      </c>
      <c r="D74" s="98" t="s">
        <v>2811</v>
      </c>
      <c r="G74" s="5" t="s">
        <v>2666</v>
      </c>
      <c r="H74" s="98" t="s">
        <v>142</v>
      </c>
      <c r="I74" s="99">
        <v>0.01</v>
      </c>
      <c r="J74" s="5" t="s">
        <v>2667</v>
      </c>
    </row>
    <row r="75" spans="1:10" ht="15" x14ac:dyDescent="0.2">
      <c r="A75" s="180" t="s">
        <v>2812</v>
      </c>
      <c r="B75" s="103"/>
      <c r="C75" s="190" t="s">
        <v>289</v>
      </c>
      <c r="D75" s="98" t="s">
        <v>2813</v>
      </c>
      <c r="G75" s="5" t="s">
        <v>2666</v>
      </c>
      <c r="H75" s="98" t="s">
        <v>142</v>
      </c>
      <c r="I75" s="99">
        <v>0.01</v>
      </c>
      <c r="J75" s="5" t="s">
        <v>2667</v>
      </c>
    </row>
    <row r="76" spans="1:10" ht="15" x14ac:dyDescent="0.2">
      <c r="A76" s="180" t="s">
        <v>2814</v>
      </c>
      <c r="B76" s="103"/>
      <c r="C76" s="188" t="s">
        <v>291</v>
      </c>
      <c r="D76" s="98" t="s">
        <v>2815</v>
      </c>
      <c r="G76" s="5" t="s">
        <v>2666</v>
      </c>
      <c r="H76" s="98" t="s">
        <v>142</v>
      </c>
      <c r="I76" s="99">
        <v>0.01</v>
      </c>
      <c r="J76" s="5" t="s">
        <v>2667</v>
      </c>
    </row>
    <row r="77" spans="1:10" ht="15" x14ac:dyDescent="0.2">
      <c r="A77" s="180" t="s">
        <v>2816</v>
      </c>
      <c r="B77" s="103"/>
      <c r="C77" s="188" t="s">
        <v>293</v>
      </c>
      <c r="D77" s="98" t="s">
        <v>2817</v>
      </c>
      <c r="G77" s="5" t="s">
        <v>2666</v>
      </c>
      <c r="H77" s="98" t="s">
        <v>142</v>
      </c>
      <c r="I77" s="99">
        <v>0.05</v>
      </c>
      <c r="J77" s="5" t="s">
        <v>2667</v>
      </c>
    </row>
    <row r="78" spans="1:10" ht="15" x14ac:dyDescent="0.2">
      <c r="A78" s="180" t="s">
        <v>2818</v>
      </c>
      <c r="B78" s="103"/>
      <c r="C78" s="188" t="s">
        <v>296</v>
      </c>
      <c r="D78" s="98" t="s">
        <v>2819</v>
      </c>
      <c r="G78" s="5" t="s">
        <v>2666</v>
      </c>
      <c r="H78" s="98" t="s">
        <v>142</v>
      </c>
      <c r="I78" s="99">
        <v>0.01</v>
      </c>
      <c r="J78" s="5" t="s">
        <v>2667</v>
      </c>
    </row>
    <row r="79" spans="1:10" ht="15" x14ac:dyDescent="0.2">
      <c r="A79" s="180" t="s">
        <v>2820</v>
      </c>
      <c r="B79" s="103"/>
      <c r="C79" s="188" t="s">
        <v>298</v>
      </c>
      <c r="D79" s="98" t="s">
        <v>2821</v>
      </c>
      <c r="G79" s="5" t="s">
        <v>2666</v>
      </c>
      <c r="H79" s="98" t="s">
        <v>142</v>
      </c>
      <c r="I79" s="99">
        <v>0.01</v>
      </c>
      <c r="J79" s="5" t="s">
        <v>2667</v>
      </c>
    </row>
    <row r="80" spans="1:10" ht="15" x14ac:dyDescent="0.2">
      <c r="A80" s="180" t="s">
        <v>2822</v>
      </c>
      <c r="B80" s="103"/>
      <c r="C80" s="190" t="s">
        <v>300</v>
      </c>
      <c r="D80" s="98" t="s">
        <v>2823</v>
      </c>
      <c r="G80" s="5" t="s">
        <v>2666</v>
      </c>
      <c r="H80" s="98" t="s">
        <v>142</v>
      </c>
      <c r="I80" s="99">
        <v>0.01</v>
      </c>
      <c r="J80" s="5" t="s">
        <v>2667</v>
      </c>
    </row>
    <row r="81" spans="1:10" ht="15" x14ac:dyDescent="0.2">
      <c r="A81" s="180" t="s">
        <v>2824</v>
      </c>
      <c r="B81" s="103"/>
      <c r="C81" s="188" t="s">
        <v>302</v>
      </c>
      <c r="D81" s="98" t="s">
        <v>2825</v>
      </c>
      <c r="G81" s="5" t="s">
        <v>2666</v>
      </c>
      <c r="H81" s="98" t="s">
        <v>142</v>
      </c>
      <c r="I81" s="99">
        <v>0.01</v>
      </c>
      <c r="J81" s="5" t="s">
        <v>2667</v>
      </c>
    </row>
    <row r="82" spans="1:10" ht="15" x14ac:dyDescent="0.2">
      <c r="A82" s="180" t="s">
        <v>2826</v>
      </c>
      <c r="B82" s="103"/>
      <c r="C82" s="188" t="s">
        <v>304</v>
      </c>
      <c r="D82" s="98" t="s">
        <v>2827</v>
      </c>
      <c r="G82" s="5" t="s">
        <v>2666</v>
      </c>
      <c r="H82" s="98" t="s">
        <v>142</v>
      </c>
      <c r="I82" s="99">
        <v>0.01</v>
      </c>
      <c r="J82" s="5" t="s">
        <v>2667</v>
      </c>
    </row>
    <row r="83" spans="1:10" ht="15" x14ac:dyDescent="0.2">
      <c r="A83" s="180" t="s">
        <v>2828</v>
      </c>
      <c r="B83" s="103"/>
      <c r="C83" s="191" t="s">
        <v>306</v>
      </c>
      <c r="D83" s="98" t="s">
        <v>2829</v>
      </c>
      <c r="G83" s="5" t="s">
        <v>2666</v>
      </c>
      <c r="H83" s="98" t="s">
        <v>142</v>
      </c>
      <c r="I83" s="99">
        <v>0.01</v>
      </c>
      <c r="J83" s="5" t="s">
        <v>2667</v>
      </c>
    </row>
    <row r="84" spans="1:10" ht="15" x14ac:dyDescent="0.2">
      <c r="A84" s="180" t="s">
        <v>2830</v>
      </c>
      <c r="B84" s="103"/>
      <c r="C84" s="188" t="s">
        <v>308</v>
      </c>
      <c r="D84" s="98" t="s">
        <v>2831</v>
      </c>
      <c r="G84" s="5" t="s">
        <v>2666</v>
      </c>
      <c r="H84" s="98" t="s">
        <v>142</v>
      </c>
      <c r="I84" s="99">
        <v>0.01</v>
      </c>
      <c r="J84" s="5" t="s">
        <v>2667</v>
      </c>
    </row>
    <row r="85" spans="1:10" ht="15" x14ac:dyDescent="0.2">
      <c r="A85" s="180" t="s">
        <v>2832</v>
      </c>
      <c r="B85" s="103"/>
      <c r="C85" s="188" t="s">
        <v>310</v>
      </c>
      <c r="D85" s="98" t="s">
        <v>2833</v>
      </c>
      <c r="G85" s="5" t="s">
        <v>2666</v>
      </c>
      <c r="H85" s="98" t="s">
        <v>142</v>
      </c>
      <c r="I85" s="99">
        <v>0.01</v>
      </c>
      <c r="J85" s="5" t="s">
        <v>2667</v>
      </c>
    </row>
    <row r="86" spans="1:10" ht="15" x14ac:dyDescent="0.2">
      <c r="A86" s="180" t="s">
        <v>2834</v>
      </c>
      <c r="B86" s="103"/>
      <c r="C86" s="188" t="s">
        <v>312</v>
      </c>
      <c r="D86" s="98" t="s">
        <v>2835</v>
      </c>
      <c r="G86" s="5" t="s">
        <v>2666</v>
      </c>
      <c r="H86" s="98" t="s">
        <v>142</v>
      </c>
      <c r="I86" s="99">
        <v>0.01</v>
      </c>
      <c r="J86" s="5" t="s">
        <v>2667</v>
      </c>
    </row>
    <row r="87" spans="1:10" ht="15" x14ac:dyDescent="0.2">
      <c r="A87" s="180" t="s">
        <v>2836</v>
      </c>
      <c r="B87" s="103"/>
      <c r="C87" s="188" t="s">
        <v>314</v>
      </c>
      <c r="D87" s="98" t="s">
        <v>2837</v>
      </c>
      <c r="G87" s="5" t="s">
        <v>2666</v>
      </c>
      <c r="H87" s="98" t="s">
        <v>142</v>
      </c>
      <c r="I87" s="99">
        <v>0.25</v>
      </c>
      <c r="J87" s="5" t="s">
        <v>2667</v>
      </c>
    </row>
    <row r="88" spans="1:10" ht="15" x14ac:dyDescent="0.2">
      <c r="A88" s="180" t="s">
        <v>2838</v>
      </c>
      <c r="B88" s="103"/>
      <c r="C88" s="188" t="s">
        <v>316</v>
      </c>
      <c r="D88" s="98" t="s">
        <v>2839</v>
      </c>
      <c r="G88" s="5" t="s">
        <v>2666</v>
      </c>
      <c r="H88" s="98" t="s">
        <v>142</v>
      </c>
      <c r="I88" s="99">
        <v>0.1</v>
      </c>
      <c r="J88" s="5" t="s">
        <v>2667</v>
      </c>
    </row>
    <row r="89" spans="1:10" ht="15" x14ac:dyDescent="0.2">
      <c r="A89" s="180" t="s">
        <v>2840</v>
      </c>
      <c r="B89" s="103"/>
      <c r="C89" s="188" t="s">
        <v>318</v>
      </c>
      <c r="D89" s="98" t="s">
        <v>2841</v>
      </c>
      <c r="G89" s="5" t="s">
        <v>2666</v>
      </c>
      <c r="H89" s="98" t="s">
        <v>142</v>
      </c>
      <c r="I89" s="99">
        <v>0.1</v>
      </c>
      <c r="J89" s="5" t="s">
        <v>2667</v>
      </c>
    </row>
    <row r="90" spans="1:10" ht="15" x14ac:dyDescent="0.2">
      <c r="A90" s="180" t="s">
        <v>2842</v>
      </c>
      <c r="B90" s="103"/>
      <c r="C90" s="188" t="s">
        <v>320</v>
      </c>
      <c r="D90" s="98" t="s">
        <v>2843</v>
      </c>
      <c r="G90" s="5" t="s">
        <v>2666</v>
      </c>
      <c r="H90" s="98" t="s">
        <v>142</v>
      </c>
      <c r="I90" s="99">
        <v>0.5</v>
      </c>
      <c r="J90" s="5" t="s">
        <v>2667</v>
      </c>
    </row>
    <row r="91" spans="1:10" ht="15" x14ac:dyDescent="0.2">
      <c r="A91" s="180" t="s">
        <v>2844</v>
      </c>
      <c r="B91" s="103"/>
      <c r="C91" s="188" t="s">
        <v>322</v>
      </c>
      <c r="D91" s="98" t="s">
        <v>2845</v>
      </c>
      <c r="G91" s="5" t="s">
        <v>2666</v>
      </c>
      <c r="H91" s="98" t="s">
        <v>142</v>
      </c>
      <c r="I91" s="99">
        <v>0.1</v>
      </c>
      <c r="J91" s="5" t="s">
        <v>2667</v>
      </c>
    </row>
    <row r="92" spans="1:10" ht="15" x14ac:dyDescent="0.2">
      <c r="A92" s="180" t="s">
        <v>2846</v>
      </c>
      <c r="B92" s="103"/>
      <c r="C92" s="188" t="s">
        <v>324</v>
      </c>
      <c r="D92" s="98" t="s">
        <v>2847</v>
      </c>
      <c r="G92" s="5" t="s">
        <v>2666</v>
      </c>
      <c r="H92" s="98" t="s">
        <v>142</v>
      </c>
      <c r="I92" s="99">
        <v>0.1</v>
      </c>
      <c r="J92" s="5" t="s">
        <v>2667</v>
      </c>
    </row>
    <row r="93" spans="1:10" ht="15" x14ac:dyDescent="0.2">
      <c r="A93" s="180" t="s">
        <v>2848</v>
      </c>
      <c r="B93" s="103"/>
      <c r="C93" s="188" t="s">
        <v>326</v>
      </c>
      <c r="D93" s="98" t="s">
        <v>2849</v>
      </c>
      <c r="G93" s="5" t="s">
        <v>2666</v>
      </c>
      <c r="H93" s="98" t="s">
        <v>142</v>
      </c>
      <c r="I93" s="99">
        <v>0.1</v>
      </c>
      <c r="J93" s="5" t="s">
        <v>2667</v>
      </c>
    </row>
    <row r="94" spans="1:10" ht="15" x14ac:dyDescent="0.2">
      <c r="A94" s="180" t="s">
        <v>2850</v>
      </c>
      <c r="B94" s="103"/>
      <c r="C94" s="188" t="s">
        <v>328</v>
      </c>
      <c r="D94" s="98" t="s">
        <v>2851</v>
      </c>
      <c r="G94" s="5" t="s">
        <v>2666</v>
      </c>
      <c r="H94" s="98" t="s">
        <v>142</v>
      </c>
      <c r="I94" s="99">
        <v>0.1</v>
      </c>
      <c r="J94" s="5" t="s">
        <v>2667</v>
      </c>
    </row>
    <row r="95" spans="1:10" ht="15" x14ac:dyDescent="0.2">
      <c r="A95" s="180" t="s">
        <v>2852</v>
      </c>
      <c r="B95" s="103"/>
      <c r="C95" s="192" t="s">
        <v>330</v>
      </c>
      <c r="D95" s="98" t="s">
        <v>2853</v>
      </c>
      <c r="G95" s="5" t="s">
        <v>2666</v>
      </c>
      <c r="H95" s="98" t="s">
        <v>142</v>
      </c>
      <c r="I95" s="99">
        <v>0.1</v>
      </c>
      <c r="J95" s="5" t="s">
        <v>2667</v>
      </c>
    </row>
    <row r="96" spans="1:10" ht="15" x14ac:dyDescent="0.2">
      <c r="A96" s="180" t="s">
        <v>2854</v>
      </c>
      <c r="B96" s="103"/>
      <c r="C96" s="188" t="s">
        <v>332</v>
      </c>
      <c r="D96" s="98" t="s">
        <v>2855</v>
      </c>
      <c r="G96" s="5" t="s">
        <v>2666</v>
      </c>
      <c r="H96" s="98" t="s">
        <v>142</v>
      </c>
      <c r="I96" s="99">
        <v>0.1</v>
      </c>
      <c r="J96" s="5" t="s">
        <v>2667</v>
      </c>
    </row>
    <row r="97" spans="1:10" ht="15" x14ac:dyDescent="0.2">
      <c r="A97" s="180" t="s">
        <v>2856</v>
      </c>
      <c r="B97" s="103"/>
      <c r="C97" s="188" t="s">
        <v>334</v>
      </c>
      <c r="D97" s="98" t="s">
        <v>2857</v>
      </c>
      <c r="G97" s="5" t="s">
        <v>2666</v>
      </c>
      <c r="H97" s="98" t="s">
        <v>142</v>
      </c>
      <c r="I97" s="99">
        <v>0.1</v>
      </c>
      <c r="J97" s="5" t="s">
        <v>2667</v>
      </c>
    </row>
    <row r="98" spans="1:10" ht="15" x14ac:dyDescent="0.2">
      <c r="A98" s="180" t="s">
        <v>2858</v>
      </c>
      <c r="B98" s="103"/>
      <c r="C98" s="188" t="s">
        <v>336</v>
      </c>
      <c r="D98" s="98" t="s">
        <v>2859</v>
      </c>
      <c r="G98" s="5" t="s">
        <v>2666</v>
      </c>
      <c r="H98" s="98" t="s">
        <v>142</v>
      </c>
      <c r="I98" s="99">
        <v>0.1</v>
      </c>
      <c r="J98" s="5" t="s">
        <v>2667</v>
      </c>
    </row>
    <row r="99" spans="1:10" ht="15" x14ac:dyDescent="0.2">
      <c r="A99" s="180" t="s">
        <v>2860</v>
      </c>
      <c r="B99" s="103"/>
      <c r="C99" s="188" t="s">
        <v>338</v>
      </c>
      <c r="D99" s="98" t="s">
        <v>2861</v>
      </c>
      <c r="G99" s="5" t="s">
        <v>2666</v>
      </c>
      <c r="H99" s="98" t="s">
        <v>142</v>
      </c>
      <c r="I99" s="99">
        <v>0.1</v>
      </c>
      <c r="J99" s="5" t="s">
        <v>2667</v>
      </c>
    </row>
    <row r="100" spans="1:10" ht="15" x14ac:dyDescent="0.2">
      <c r="A100" s="180" t="s">
        <v>2862</v>
      </c>
      <c r="B100" s="103"/>
      <c r="C100" s="172" t="s">
        <v>340</v>
      </c>
      <c r="D100" s="98" t="s">
        <v>2863</v>
      </c>
      <c r="G100" s="5" t="s">
        <v>2666</v>
      </c>
      <c r="H100" s="98" t="s">
        <v>142</v>
      </c>
      <c r="I100" s="99">
        <v>0.1</v>
      </c>
      <c r="J100" s="5" t="s">
        <v>2667</v>
      </c>
    </row>
    <row r="101" spans="1:10" ht="15" x14ac:dyDescent="0.2">
      <c r="A101" s="180" t="s">
        <v>2864</v>
      </c>
      <c r="B101" s="103"/>
      <c r="C101" s="188" t="s">
        <v>342</v>
      </c>
      <c r="D101" s="98" t="s">
        <v>2865</v>
      </c>
      <c r="G101" s="5" t="s">
        <v>2666</v>
      </c>
      <c r="H101" s="98" t="s">
        <v>142</v>
      </c>
      <c r="I101" s="99">
        <v>0.1</v>
      </c>
      <c r="J101" s="5" t="s">
        <v>2667</v>
      </c>
    </row>
    <row r="102" spans="1:10" ht="15" x14ac:dyDescent="0.2">
      <c r="A102" s="180" t="s">
        <v>2866</v>
      </c>
      <c r="B102" s="103"/>
      <c r="C102" s="192" t="s">
        <v>344</v>
      </c>
      <c r="D102" s="98" t="s">
        <v>2867</v>
      </c>
      <c r="G102" s="5" t="s">
        <v>2666</v>
      </c>
      <c r="H102" s="98" t="s">
        <v>142</v>
      </c>
      <c r="I102" s="99">
        <v>0.1</v>
      </c>
      <c r="J102" s="5" t="s">
        <v>2667</v>
      </c>
    </row>
    <row r="103" spans="1:10" ht="15" x14ac:dyDescent="0.2">
      <c r="A103" s="180" t="s">
        <v>2868</v>
      </c>
      <c r="B103" s="103"/>
      <c r="C103" s="192" t="s">
        <v>346</v>
      </c>
      <c r="D103" s="98" t="s">
        <v>2869</v>
      </c>
      <c r="G103" s="5" t="s">
        <v>2666</v>
      </c>
      <c r="H103" s="98" t="s">
        <v>142</v>
      </c>
      <c r="I103" s="99">
        <v>0.1</v>
      </c>
      <c r="J103" s="5" t="s">
        <v>2667</v>
      </c>
    </row>
    <row r="104" spans="1:10" ht="15" x14ac:dyDescent="0.2">
      <c r="A104" s="180" t="s">
        <v>2870</v>
      </c>
      <c r="B104" s="103"/>
      <c r="C104" s="192" t="s">
        <v>348</v>
      </c>
      <c r="D104" s="98" t="s">
        <v>2871</v>
      </c>
      <c r="G104" s="5" t="s">
        <v>2666</v>
      </c>
      <c r="H104" s="98" t="s">
        <v>142</v>
      </c>
      <c r="I104" s="99">
        <v>0.1</v>
      </c>
      <c r="J104" s="5" t="s">
        <v>2667</v>
      </c>
    </row>
    <row r="105" spans="1:10" ht="15" x14ac:dyDescent="0.2">
      <c r="A105" s="180" t="s">
        <v>2872</v>
      </c>
      <c r="B105" s="103"/>
      <c r="C105" s="192" t="s">
        <v>350</v>
      </c>
      <c r="D105" s="98" t="s">
        <v>2873</v>
      </c>
      <c r="G105" s="5" t="s">
        <v>2666</v>
      </c>
      <c r="H105" s="98" t="s">
        <v>142</v>
      </c>
      <c r="I105" s="99">
        <v>0.5</v>
      </c>
      <c r="J105" s="5" t="s">
        <v>2667</v>
      </c>
    </row>
    <row r="106" spans="1:10" ht="15" x14ac:dyDescent="0.2">
      <c r="A106" s="180" t="s">
        <v>2874</v>
      </c>
      <c r="B106" s="103"/>
      <c r="C106" s="192" t="s">
        <v>352</v>
      </c>
      <c r="D106" s="98" t="s">
        <v>2875</v>
      </c>
      <c r="G106" s="5" t="s">
        <v>2666</v>
      </c>
      <c r="H106" s="98" t="s">
        <v>142</v>
      </c>
      <c r="I106" s="99">
        <v>0.1</v>
      </c>
      <c r="J106" s="5" t="s">
        <v>2667</v>
      </c>
    </row>
    <row r="107" spans="1:10" ht="15" x14ac:dyDescent="0.2">
      <c r="A107" s="180" t="s">
        <v>2876</v>
      </c>
      <c r="B107" s="103"/>
      <c r="C107" s="192" t="s">
        <v>354</v>
      </c>
      <c r="D107" s="98" t="s">
        <v>2877</v>
      </c>
      <c r="G107" s="5" t="s">
        <v>2666</v>
      </c>
      <c r="H107" s="98" t="s">
        <v>142</v>
      </c>
      <c r="I107" s="99">
        <v>0.1</v>
      </c>
      <c r="J107" s="5" t="s">
        <v>2667</v>
      </c>
    </row>
    <row r="108" spans="1:10" ht="15" x14ac:dyDescent="0.2">
      <c r="A108" s="180" t="s">
        <v>2878</v>
      </c>
      <c r="B108" s="103"/>
      <c r="C108" s="182" t="s">
        <v>356</v>
      </c>
      <c r="D108" s="98" t="s">
        <v>2879</v>
      </c>
      <c r="G108" s="5" t="s">
        <v>2666</v>
      </c>
      <c r="H108" s="98" t="s">
        <v>142</v>
      </c>
      <c r="I108" s="99">
        <v>0.1</v>
      </c>
      <c r="J108" s="5" t="s">
        <v>2667</v>
      </c>
    </row>
  </sheetData>
  <hyperlinks>
    <hyperlink ref="C2" r:id="rId1" xr:uid="{00000000-0004-0000-0A00-000000000000}"/>
    <hyperlink ref="C3" r:id="rId2" xr:uid="{00000000-0004-0000-0A00-000001000000}"/>
    <hyperlink ref="C4" r:id="rId3" xr:uid="{00000000-0004-0000-0A00-000002000000}"/>
    <hyperlink ref="C5" r:id="rId4" xr:uid="{00000000-0004-0000-0A00-000003000000}"/>
    <hyperlink ref="C6" r:id="rId5" xr:uid="{00000000-0004-0000-0A00-000004000000}"/>
    <hyperlink ref="C7" r:id="rId6" xr:uid="{00000000-0004-0000-0A00-000005000000}"/>
    <hyperlink ref="C8" r:id="rId7" xr:uid="{00000000-0004-0000-0A00-000006000000}"/>
    <hyperlink ref="C9" r:id="rId8" xr:uid="{00000000-0004-0000-0A00-000007000000}"/>
    <hyperlink ref="C10" r:id="rId9" xr:uid="{00000000-0004-0000-0A00-000008000000}"/>
    <hyperlink ref="C11" r:id="rId10" xr:uid="{00000000-0004-0000-0A00-000009000000}"/>
    <hyperlink ref="C12" r:id="rId11" xr:uid="{00000000-0004-0000-0A00-00000A000000}"/>
    <hyperlink ref="C13" r:id="rId12" xr:uid="{00000000-0004-0000-0A00-00000B000000}"/>
    <hyperlink ref="C14" r:id="rId13" xr:uid="{00000000-0004-0000-0A00-00000C000000}"/>
    <hyperlink ref="C15" r:id="rId14" xr:uid="{00000000-0004-0000-0A00-00000D000000}"/>
    <hyperlink ref="C16" r:id="rId15" xr:uid="{00000000-0004-0000-0A00-00000E000000}"/>
    <hyperlink ref="C17" r:id="rId16" xr:uid="{00000000-0004-0000-0A00-00000F000000}"/>
    <hyperlink ref="C18" r:id="rId17" xr:uid="{00000000-0004-0000-0A00-000010000000}"/>
    <hyperlink ref="C19" r:id="rId18" xr:uid="{00000000-0004-0000-0A00-000011000000}"/>
    <hyperlink ref="C20" r:id="rId19" xr:uid="{00000000-0004-0000-0A00-000012000000}"/>
    <hyperlink ref="C21" r:id="rId20" xr:uid="{00000000-0004-0000-0A00-000013000000}"/>
    <hyperlink ref="C22" r:id="rId21" xr:uid="{00000000-0004-0000-0A00-000014000000}"/>
    <hyperlink ref="C23" r:id="rId22" xr:uid="{00000000-0004-0000-0A00-000015000000}"/>
    <hyperlink ref="C24" r:id="rId23" xr:uid="{00000000-0004-0000-0A00-000016000000}"/>
    <hyperlink ref="C25" r:id="rId24" xr:uid="{00000000-0004-0000-0A00-000017000000}"/>
    <hyperlink ref="C26" r:id="rId25" xr:uid="{00000000-0004-0000-0A00-000018000000}"/>
    <hyperlink ref="C27" r:id="rId26" xr:uid="{00000000-0004-0000-0A00-000019000000}"/>
    <hyperlink ref="C28" r:id="rId27" xr:uid="{00000000-0004-0000-0A00-00001A000000}"/>
    <hyperlink ref="C29" r:id="rId28" xr:uid="{00000000-0004-0000-0A00-00001B000000}"/>
    <hyperlink ref="C30" r:id="rId29" xr:uid="{00000000-0004-0000-0A00-00001C000000}"/>
    <hyperlink ref="C31" r:id="rId30" xr:uid="{00000000-0004-0000-0A00-00001D000000}"/>
    <hyperlink ref="C32" r:id="rId31" xr:uid="{00000000-0004-0000-0A00-00001E000000}"/>
    <hyperlink ref="C33" r:id="rId32" xr:uid="{00000000-0004-0000-0A00-00001F000000}"/>
    <hyperlink ref="C34" r:id="rId33" xr:uid="{00000000-0004-0000-0A00-000020000000}"/>
    <hyperlink ref="C35" r:id="rId34" xr:uid="{00000000-0004-0000-0A00-000021000000}"/>
    <hyperlink ref="C36" r:id="rId35" xr:uid="{00000000-0004-0000-0A00-000022000000}"/>
    <hyperlink ref="C37" r:id="rId36" xr:uid="{00000000-0004-0000-0A00-000023000000}"/>
    <hyperlink ref="C38" r:id="rId37" xr:uid="{00000000-0004-0000-0A00-000024000000}"/>
    <hyperlink ref="C39" r:id="rId38" xr:uid="{00000000-0004-0000-0A00-000025000000}"/>
    <hyperlink ref="C40" r:id="rId39" xr:uid="{00000000-0004-0000-0A00-000026000000}"/>
    <hyperlink ref="C41" r:id="rId40" xr:uid="{00000000-0004-0000-0A00-000027000000}"/>
    <hyperlink ref="C42" r:id="rId41" xr:uid="{00000000-0004-0000-0A00-000028000000}"/>
    <hyperlink ref="C43" r:id="rId42" xr:uid="{00000000-0004-0000-0A00-000029000000}"/>
    <hyperlink ref="C44" r:id="rId43" xr:uid="{00000000-0004-0000-0A00-00002A000000}"/>
    <hyperlink ref="C45" r:id="rId44" xr:uid="{00000000-0004-0000-0A00-00002B000000}"/>
    <hyperlink ref="C46" r:id="rId45" xr:uid="{00000000-0004-0000-0A00-00002C000000}"/>
    <hyperlink ref="C47" r:id="rId46" xr:uid="{00000000-0004-0000-0A00-00002D000000}"/>
    <hyperlink ref="C48" r:id="rId47" xr:uid="{00000000-0004-0000-0A00-00002E000000}"/>
    <hyperlink ref="C49" r:id="rId48" xr:uid="{00000000-0004-0000-0A00-00002F000000}"/>
    <hyperlink ref="C50" r:id="rId49" xr:uid="{00000000-0004-0000-0A00-000030000000}"/>
    <hyperlink ref="C51" r:id="rId50" xr:uid="{00000000-0004-0000-0A00-000031000000}"/>
    <hyperlink ref="C52" r:id="rId51" xr:uid="{00000000-0004-0000-0A00-000032000000}"/>
    <hyperlink ref="C53" r:id="rId52" xr:uid="{00000000-0004-0000-0A00-000033000000}"/>
    <hyperlink ref="C54" r:id="rId53" xr:uid="{00000000-0004-0000-0A00-000034000000}"/>
    <hyperlink ref="C55" r:id="rId54" xr:uid="{00000000-0004-0000-0A00-000035000000}"/>
    <hyperlink ref="C56" r:id="rId55" xr:uid="{00000000-0004-0000-0A00-000036000000}"/>
    <hyperlink ref="C57" r:id="rId56" xr:uid="{00000000-0004-0000-0A00-000037000000}"/>
    <hyperlink ref="C58" r:id="rId57" xr:uid="{00000000-0004-0000-0A00-000038000000}"/>
    <hyperlink ref="C59" r:id="rId58" xr:uid="{00000000-0004-0000-0A00-000039000000}"/>
    <hyperlink ref="C60" r:id="rId59" xr:uid="{00000000-0004-0000-0A00-00003A000000}"/>
    <hyperlink ref="C61" r:id="rId60" xr:uid="{00000000-0004-0000-0A00-00003B000000}"/>
    <hyperlink ref="C62" r:id="rId61" xr:uid="{00000000-0004-0000-0A00-00003C000000}"/>
    <hyperlink ref="C63" r:id="rId62" xr:uid="{00000000-0004-0000-0A00-00003D000000}"/>
    <hyperlink ref="C64" r:id="rId63" xr:uid="{00000000-0004-0000-0A00-00003E000000}"/>
    <hyperlink ref="C65" r:id="rId64" xr:uid="{00000000-0004-0000-0A00-00003F000000}"/>
    <hyperlink ref="C66" r:id="rId65" xr:uid="{00000000-0004-0000-0A00-000040000000}"/>
    <hyperlink ref="C67" r:id="rId66" xr:uid="{00000000-0004-0000-0A00-000041000000}"/>
    <hyperlink ref="C68" r:id="rId67" xr:uid="{00000000-0004-0000-0A00-000042000000}"/>
    <hyperlink ref="C69" r:id="rId68" xr:uid="{00000000-0004-0000-0A00-000043000000}"/>
    <hyperlink ref="C70" r:id="rId69" xr:uid="{00000000-0004-0000-0A00-000044000000}"/>
    <hyperlink ref="C71" r:id="rId70" xr:uid="{00000000-0004-0000-0A00-000045000000}"/>
    <hyperlink ref="C72" r:id="rId71" xr:uid="{00000000-0004-0000-0A00-000046000000}"/>
    <hyperlink ref="C73" r:id="rId72" xr:uid="{00000000-0004-0000-0A00-000047000000}"/>
    <hyperlink ref="C74" r:id="rId73" xr:uid="{00000000-0004-0000-0A00-000048000000}"/>
    <hyperlink ref="C75" r:id="rId74" xr:uid="{00000000-0004-0000-0A00-000049000000}"/>
    <hyperlink ref="C76" r:id="rId75" xr:uid="{00000000-0004-0000-0A00-00004A000000}"/>
    <hyperlink ref="C77" r:id="rId76" xr:uid="{00000000-0004-0000-0A00-00004B000000}"/>
    <hyperlink ref="C78" r:id="rId77" xr:uid="{00000000-0004-0000-0A00-00004C000000}"/>
    <hyperlink ref="C79" r:id="rId78" xr:uid="{00000000-0004-0000-0A00-00004D000000}"/>
    <hyperlink ref="C80" r:id="rId79" xr:uid="{00000000-0004-0000-0A00-00004E000000}"/>
    <hyperlink ref="C81" r:id="rId80" xr:uid="{00000000-0004-0000-0A00-00004F000000}"/>
    <hyperlink ref="C82" r:id="rId81" xr:uid="{00000000-0004-0000-0A00-000050000000}"/>
    <hyperlink ref="C83" r:id="rId82" xr:uid="{00000000-0004-0000-0A00-000051000000}"/>
    <hyperlink ref="C84" r:id="rId83" xr:uid="{00000000-0004-0000-0A00-000052000000}"/>
    <hyperlink ref="C85" r:id="rId84" xr:uid="{00000000-0004-0000-0A00-000053000000}"/>
    <hyperlink ref="C86" r:id="rId85" xr:uid="{00000000-0004-0000-0A00-000054000000}"/>
    <hyperlink ref="C87" r:id="rId86" xr:uid="{00000000-0004-0000-0A00-000055000000}"/>
    <hyperlink ref="C88" r:id="rId87" xr:uid="{00000000-0004-0000-0A00-000056000000}"/>
    <hyperlink ref="C89" r:id="rId88" xr:uid="{00000000-0004-0000-0A00-000057000000}"/>
    <hyperlink ref="C90" r:id="rId89" xr:uid="{00000000-0004-0000-0A00-000058000000}"/>
    <hyperlink ref="C91" r:id="rId90" xr:uid="{00000000-0004-0000-0A00-000059000000}"/>
    <hyperlink ref="C92" r:id="rId91" xr:uid="{00000000-0004-0000-0A00-00005A000000}"/>
    <hyperlink ref="C93" r:id="rId92" xr:uid="{00000000-0004-0000-0A00-00005B000000}"/>
    <hyperlink ref="C94" r:id="rId93" xr:uid="{00000000-0004-0000-0A00-00005C000000}"/>
    <hyperlink ref="C95" r:id="rId94" xr:uid="{00000000-0004-0000-0A00-00005D000000}"/>
    <hyperlink ref="C96" r:id="rId95" xr:uid="{00000000-0004-0000-0A00-00005E000000}"/>
    <hyperlink ref="C97" r:id="rId96" xr:uid="{00000000-0004-0000-0A00-00005F000000}"/>
    <hyperlink ref="C98" r:id="rId97" xr:uid="{00000000-0004-0000-0A00-000060000000}"/>
    <hyperlink ref="C99" r:id="rId98" xr:uid="{00000000-0004-0000-0A00-000061000000}"/>
    <hyperlink ref="C100" r:id="rId99" xr:uid="{00000000-0004-0000-0A00-000062000000}"/>
    <hyperlink ref="C101" r:id="rId100" xr:uid="{00000000-0004-0000-0A00-000063000000}"/>
    <hyperlink ref="C102" r:id="rId101" xr:uid="{00000000-0004-0000-0A00-000064000000}"/>
    <hyperlink ref="C103" r:id="rId102" xr:uid="{00000000-0004-0000-0A00-000065000000}"/>
    <hyperlink ref="C104" r:id="rId103" xr:uid="{00000000-0004-0000-0A00-000066000000}"/>
    <hyperlink ref="C105" r:id="rId104" xr:uid="{00000000-0004-0000-0A00-000067000000}"/>
    <hyperlink ref="C106" r:id="rId105" xr:uid="{00000000-0004-0000-0A00-000068000000}"/>
    <hyperlink ref="C107" r:id="rId106" xr:uid="{00000000-0004-0000-0A00-000069000000}"/>
    <hyperlink ref="C108" r:id="rId107" xr:uid="{00000000-0004-0000-0A00-00006A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63"/>
  <sheetViews>
    <sheetView workbookViewId="0"/>
  </sheetViews>
  <sheetFormatPr baseColWidth="10" defaultColWidth="12.6640625" defaultRowHeight="15.75" customHeight="1" x14ac:dyDescent="0.15"/>
  <cols>
    <col min="1" max="1" width="19.6640625" customWidth="1"/>
    <col min="2" max="2" width="17.1640625" customWidth="1"/>
    <col min="3" max="3" width="20.1640625" customWidth="1"/>
    <col min="4" max="4" width="22.83203125" customWidth="1"/>
  </cols>
  <sheetData>
    <row r="1" spans="1:4" ht="15.75" customHeight="1" x14ac:dyDescent="0.15">
      <c r="A1" s="77" t="s">
        <v>924</v>
      </c>
      <c r="B1" s="77" t="s">
        <v>1064</v>
      </c>
      <c r="C1" s="77" t="s">
        <v>2880</v>
      </c>
      <c r="D1" s="77" t="s">
        <v>2881</v>
      </c>
    </row>
    <row r="2" spans="1:4" ht="15.75" customHeight="1" x14ac:dyDescent="0.15">
      <c r="A2" s="5" t="s">
        <v>239</v>
      </c>
      <c r="B2" s="5" t="s">
        <v>138</v>
      </c>
      <c r="C2" s="98" t="s">
        <v>284</v>
      </c>
    </row>
    <row r="3" spans="1:4" ht="15.75" customHeight="1" x14ac:dyDescent="0.15">
      <c r="A3" s="5" t="s">
        <v>241</v>
      </c>
      <c r="B3" s="5" t="s">
        <v>141</v>
      </c>
      <c r="C3" s="98" t="s">
        <v>286</v>
      </c>
    </row>
    <row r="4" spans="1:4" ht="15.75" customHeight="1" x14ac:dyDescent="0.15">
      <c r="A4" s="5" t="s">
        <v>243</v>
      </c>
      <c r="B4" s="5" t="s">
        <v>144</v>
      </c>
      <c r="C4" s="98" t="s">
        <v>288</v>
      </c>
    </row>
    <row r="5" spans="1:4" ht="15.75" customHeight="1" x14ac:dyDescent="0.15">
      <c r="A5" s="5" t="s">
        <v>245</v>
      </c>
      <c r="B5" s="5" t="s">
        <v>146</v>
      </c>
      <c r="C5" s="98" t="s">
        <v>290</v>
      </c>
    </row>
    <row r="6" spans="1:4" ht="15.75" customHeight="1" x14ac:dyDescent="0.15">
      <c r="A6" s="5" t="s">
        <v>247</v>
      </c>
      <c r="B6" s="5" t="s">
        <v>148</v>
      </c>
      <c r="C6" s="98" t="s">
        <v>292</v>
      </c>
    </row>
    <row r="7" spans="1:4" ht="15.75" customHeight="1" x14ac:dyDescent="0.15">
      <c r="A7" s="5" t="s">
        <v>249</v>
      </c>
      <c r="B7" s="5" t="s">
        <v>150</v>
      </c>
      <c r="C7" s="98" t="s">
        <v>294</v>
      </c>
    </row>
    <row r="8" spans="1:4" ht="15.75" customHeight="1" x14ac:dyDescent="0.15">
      <c r="A8" s="5" t="s">
        <v>250</v>
      </c>
      <c r="B8" s="5" t="s">
        <v>152</v>
      </c>
      <c r="C8" s="98" t="s">
        <v>297</v>
      </c>
    </row>
    <row r="9" spans="1:4" ht="15.75" customHeight="1" x14ac:dyDescent="0.15">
      <c r="A9" s="5" t="s">
        <v>252</v>
      </c>
      <c r="B9" s="5" t="s">
        <v>154</v>
      </c>
      <c r="C9" s="98" t="s">
        <v>299</v>
      </c>
    </row>
    <row r="10" spans="1:4" ht="15.75" customHeight="1" x14ac:dyDescent="0.15">
      <c r="A10" s="5" t="s">
        <v>254</v>
      </c>
      <c r="B10" s="5" t="s">
        <v>156</v>
      </c>
      <c r="C10" s="98" t="s">
        <v>301</v>
      </c>
    </row>
    <row r="11" spans="1:4" ht="15.75" customHeight="1" x14ac:dyDescent="0.15">
      <c r="A11" s="5" t="s">
        <v>256</v>
      </c>
      <c r="B11" s="5" t="s">
        <v>158</v>
      </c>
      <c r="C11" s="98" t="s">
        <v>303</v>
      </c>
    </row>
    <row r="12" spans="1:4" ht="15.75" customHeight="1" x14ac:dyDescent="0.15">
      <c r="A12" s="5" t="s">
        <v>258</v>
      </c>
      <c r="B12" s="5" t="s">
        <v>160</v>
      </c>
      <c r="C12" s="98" t="s">
        <v>305</v>
      </c>
    </row>
    <row r="13" spans="1:4" ht="15.75" customHeight="1" x14ac:dyDescent="0.15">
      <c r="A13" s="5" t="s">
        <v>260</v>
      </c>
      <c r="B13" s="5" t="s">
        <v>162</v>
      </c>
      <c r="C13" s="98" t="s">
        <v>307</v>
      </c>
    </row>
    <row r="14" spans="1:4" ht="15.75" customHeight="1" x14ac:dyDescent="0.15">
      <c r="A14" s="5" t="s">
        <v>262</v>
      </c>
      <c r="B14" s="5" t="s">
        <v>164</v>
      </c>
      <c r="C14" s="98" t="s">
        <v>309</v>
      </c>
    </row>
    <row r="15" spans="1:4" ht="15.75" customHeight="1" x14ac:dyDescent="0.15">
      <c r="A15" s="5" t="s">
        <v>264</v>
      </c>
      <c r="B15" s="5" t="s">
        <v>166</v>
      </c>
      <c r="C15" s="98" t="s">
        <v>311</v>
      </c>
    </row>
    <row r="16" spans="1:4" ht="15.75" customHeight="1" x14ac:dyDescent="0.15">
      <c r="A16" s="5" t="s">
        <v>266</v>
      </c>
      <c r="B16" s="5" t="s">
        <v>168</v>
      </c>
      <c r="C16" s="98" t="s">
        <v>313</v>
      </c>
    </row>
    <row r="17" spans="1:3" ht="15.75" customHeight="1" x14ac:dyDescent="0.15">
      <c r="A17" s="5" t="s">
        <v>268</v>
      </c>
      <c r="B17" s="5" t="s">
        <v>170</v>
      </c>
      <c r="C17" s="98" t="s">
        <v>315</v>
      </c>
    </row>
    <row r="18" spans="1:3" ht="15.75" customHeight="1" x14ac:dyDescent="0.15">
      <c r="A18" s="5" t="s">
        <v>270</v>
      </c>
      <c r="B18" s="5" t="s">
        <v>172</v>
      </c>
      <c r="C18" s="98" t="s">
        <v>317</v>
      </c>
    </row>
    <row r="19" spans="1:3" ht="15.75" customHeight="1" x14ac:dyDescent="0.15">
      <c r="A19" s="5" t="s">
        <v>272</v>
      </c>
      <c r="B19" s="5" t="s">
        <v>175</v>
      </c>
      <c r="C19" s="98" t="s">
        <v>319</v>
      </c>
    </row>
    <row r="20" spans="1:3" ht="15.75" customHeight="1" x14ac:dyDescent="0.15">
      <c r="A20" s="5" t="s">
        <v>274</v>
      </c>
      <c r="B20" s="5" t="s">
        <v>177</v>
      </c>
      <c r="C20" s="98" t="s">
        <v>321</v>
      </c>
    </row>
    <row r="21" spans="1:3" ht="15.75" customHeight="1" x14ac:dyDescent="0.15">
      <c r="A21" s="5" t="s">
        <v>276</v>
      </c>
      <c r="B21" s="5" t="s">
        <v>179</v>
      </c>
      <c r="C21" s="98" t="s">
        <v>323</v>
      </c>
    </row>
    <row r="22" spans="1:3" ht="15.75" customHeight="1" x14ac:dyDescent="0.15">
      <c r="A22" s="5" t="s">
        <v>278</v>
      </c>
      <c r="B22" s="5" t="s">
        <v>181</v>
      </c>
      <c r="C22" s="98" t="s">
        <v>325</v>
      </c>
    </row>
    <row r="23" spans="1:3" ht="15.75" customHeight="1" x14ac:dyDescent="0.15">
      <c r="A23" s="5" t="s">
        <v>280</v>
      </c>
      <c r="B23" s="5" t="s">
        <v>183</v>
      </c>
      <c r="C23" s="98" t="s">
        <v>327</v>
      </c>
    </row>
    <row r="24" spans="1:3" ht="15.75" customHeight="1" x14ac:dyDescent="0.15">
      <c r="A24" s="5" t="s">
        <v>282</v>
      </c>
      <c r="B24" s="5" t="s">
        <v>186</v>
      </c>
      <c r="C24" s="98" t="s">
        <v>329</v>
      </c>
    </row>
    <row r="25" spans="1:3" ht="15.75" customHeight="1" x14ac:dyDescent="0.15">
      <c r="A25" s="5" t="s">
        <v>284</v>
      </c>
      <c r="B25" s="5" t="s">
        <v>188</v>
      </c>
      <c r="C25" s="98" t="s">
        <v>331</v>
      </c>
    </row>
    <row r="26" spans="1:3" ht="15.75" customHeight="1" x14ac:dyDescent="0.15">
      <c r="A26" s="5" t="s">
        <v>286</v>
      </c>
      <c r="B26" s="5" t="s">
        <v>190</v>
      </c>
      <c r="C26" s="98" t="s">
        <v>333</v>
      </c>
    </row>
    <row r="27" spans="1:3" ht="15.75" customHeight="1" x14ac:dyDescent="0.15">
      <c r="A27" s="5" t="s">
        <v>290</v>
      </c>
      <c r="B27" s="5" t="s">
        <v>192</v>
      </c>
      <c r="C27" s="98" t="s">
        <v>335</v>
      </c>
    </row>
    <row r="28" spans="1:3" ht="15.75" customHeight="1" x14ac:dyDescent="0.15">
      <c r="A28" s="5" t="s">
        <v>292</v>
      </c>
      <c r="B28" s="5" t="s">
        <v>194</v>
      </c>
      <c r="C28" s="98" t="s">
        <v>337</v>
      </c>
    </row>
    <row r="29" spans="1:3" ht="15.75" customHeight="1" x14ac:dyDescent="0.15">
      <c r="A29" s="5" t="s">
        <v>294</v>
      </c>
      <c r="B29" s="5" t="s">
        <v>196</v>
      </c>
      <c r="C29" s="98" t="s">
        <v>339</v>
      </c>
    </row>
    <row r="30" spans="1:3" ht="15.75" customHeight="1" x14ac:dyDescent="0.15">
      <c r="A30" s="5" t="s">
        <v>297</v>
      </c>
      <c r="B30" s="5" t="s">
        <v>198</v>
      </c>
      <c r="C30" s="98" t="s">
        <v>341</v>
      </c>
    </row>
    <row r="31" spans="1:3" ht="15.75" customHeight="1" x14ac:dyDescent="0.15">
      <c r="A31" s="5" t="s">
        <v>299</v>
      </c>
      <c r="B31" s="5" t="s">
        <v>200</v>
      </c>
      <c r="C31" s="98" t="s">
        <v>343</v>
      </c>
    </row>
    <row r="32" spans="1:3" ht="15.75" customHeight="1" x14ac:dyDescent="0.15">
      <c r="A32" s="5" t="s">
        <v>301</v>
      </c>
      <c r="B32" s="5" t="s">
        <v>202</v>
      </c>
      <c r="C32" s="98" t="s">
        <v>345</v>
      </c>
    </row>
    <row r="33" spans="1:3" ht="15.75" customHeight="1" x14ac:dyDescent="0.15">
      <c r="A33" s="5" t="s">
        <v>303</v>
      </c>
      <c r="B33" s="5" t="s">
        <v>204</v>
      </c>
      <c r="C33" s="98" t="s">
        <v>347</v>
      </c>
    </row>
    <row r="34" spans="1:3" ht="15.75" customHeight="1" x14ac:dyDescent="0.15">
      <c r="A34" s="5" t="s">
        <v>404</v>
      </c>
      <c r="B34" s="5" t="s">
        <v>206</v>
      </c>
      <c r="C34" s="98" t="s">
        <v>349</v>
      </c>
    </row>
    <row r="35" spans="1:3" ht="15.75" customHeight="1" x14ac:dyDescent="0.15">
      <c r="A35" s="5" t="s">
        <v>307</v>
      </c>
      <c r="B35" s="5" t="s">
        <v>208</v>
      </c>
      <c r="C35" s="98" t="s">
        <v>351</v>
      </c>
    </row>
    <row r="36" spans="1:3" ht="15.75" customHeight="1" x14ac:dyDescent="0.15">
      <c r="A36" s="5" t="s">
        <v>311</v>
      </c>
      <c r="B36" s="5" t="s">
        <v>210</v>
      </c>
      <c r="C36" s="98" t="s">
        <v>353</v>
      </c>
    </row>
    <row r="37" spans="1:3" ht="15.75" customHeight="1" x14ac:dyDescent="0.15">
      <c r="A37" s="5" t="s">
        <v>313</v>
      </c>
      <c r="B37" s="5" t="s">
        <v>212</v>
      </c>
      <c r="C37" s="98" t="s">
        <v>355</v>
      </c>
    </row>
    <row r="38" spans="1:3" ht="15.75" customHeight="1" x14ac:dyDescent="0.15">
      <c r="A38" s="5" t="s">
        <v>315</v>
      </c>
      <c r="B38" s="5" t="s">
        <v>214</v>
      </c>
    </row>
    <row r="39" spans="1:3" ht="15.75" customHeight="1" x14ac:dyDescent="0.15">
      <c r="A39" s="5" t="s">
        <v>321</v>
      </c>
      <c r="B39" s="5" t="s">
        <v>216</v>
      </c>
    </row>
    <row r="40" spans="1:3" ht="15.75" customHeight="1" x14ac:dyDescent="0.15">
      <c r="A40" s="5" t="s">
        <v>335</v>
      </c>
      <c r="B40" s="5" t="s">
        <v>218</v>
      </c>
    </row>
    <row r="41" spans="1:3" ht="15.75" customHeight="1" x14ac:dyDescent="0.15">
      <c r="A41" s="5" t="s">
        <v>337</v>
      </c>
      <c r="B41" s="5" t="s">
        <v>220</v>
      </c>
    </row>
    <row r="42" spans="1:3" ht="15.75" customHeight="1" x14ac:dyDescent="0.15">
      <c r="A42" s="5" t="s">
        <v>339</v>
      </c>
      <c r="B42" s="5" t="s">
        <v>222</v>
      </c>
    </row>
    <row r="43" spans="1:3" ht="15.75" customHeight="1" x14ac:dyDescent="0.15">
      <c r="A43" s="5" t="s">
        <v>341</v>
      </c>
      <c r="B43" s="5" t="s">
        <v>224</v>
      </c>
    </row>
    <row r="44" spans="1:3" ht="15.75" customHeight="1" x14ac:dyDescent="0.15">
      <c r="A44" s="5" t="s">
        <v>343</v>
      </c>
      <c r="B44" s="5" t="s">
        <v>226</v>
      </c>
    </row>
    <row r="45" spans="1:3" ht="15.75" customHeight="1" x14ac:dyDescent="0.15">
      <c r="A45" s="5" t="s">
        <v>345</v>
      </c>
      <c r="B45" s="5" t="s">
        <v>228</v>
      </c>
    </row>
    <row r="46" spans="1:3" ht="15.75" customHeight="1" x14ac:dyDescent="0.15">
      <c r="A46" s="5" t="s">
        <v>351</v>
      </c>
      <c r="B46" s="5" t="s">
        <v>230</v>
      </c>
    </row>
    <row r="47" spans="1:3" ht="15.75" customHeight="1" x14ac:dyDescent="0.15">
      <c r="B47" s="5" t="s">
        <v>232</v>
      </c>
    </row>
    <row r="48" spans="1:3" ht="15.75" customHeight="1" x14ac:dyDescent="0.15">
      <c r="B48" s="5" t="s">
        <v>234</v>
      </c>
    </row>
    <row r="49" spans="2:2" ht="15.75" customHeight="1" x14ac:dyDescent="0.15">
      <c r="B49" s="5" t="s">
        <v>237</v>
      </c>
    </row>
    <row r="50" spans="2:2" ht="15.75" customHeight="1" x14ac:dyDescent="0.15">
      <c r="B50" s="5" t="s">
        <v>288</v>
      </c>
    </row>
    <row r="51" spans="2:2" ht="15.75" customHeight="1" x14ac:dyDescent="0.15">
      <c r="B51" s="5" t="s">
        <v>309</v>
      </c>
    </row>
    <row r="52" spans="2:2" ht="15.75" customHeight="1" x14ac:dyDescent="0.15">
      <c r="B52" s="5" t="s">
        <v>317</v>
      </c>
    </row>
    <row r="53" spans="2:2" ht="15.75" customHeight="1" x14ac:dyDescent="0.15">
      <c r="B53" s="5" t="s">
        <v>319</v>
      </c>
    </row>
    <row r="54" spans="2:2" ht="15.75" customHeight="1" x14ac:dyDescent="0.15">
      <c r="B54" s="5" t="s">
        <v>323</v>
      </c>
    </row>
    <row r="55" spans="2:2" ht="15.75" customHeight="1" x14ac:dyDescent="0.15">
      <c r="B55" s="5" t="s">
        <v>325</v>
      </c>
    </row>
    <row r="56" spans="2:2" ht="15.75" customHeight="1" x14ac:dyDescent="0.15">
      <c r="B56" s="5" t="s">
        <v>327</v>
      </c>
    </row>
    <row r="57" spans="2:2" ht="15.75" customHeight="1" x14ac:dyDescent="0.15">
      <c r="B57" s="5" t="s">
        <v>329</v>
      </c>
    </row>
    <row r="58" spans="2:2" ht="15.75" customHeight="1" x14ac:dyDescent="0.15">
      <c r="B58" s="5" t="s">
        <v>331</v>
      </c>
    </row>
    <row r="59" spans="2:2" ht="13" x14ac:dyDescent="0.15">
      <c r="B59" s="5" t="s">
        <v>333</v>
      </c>
    </row>
    <row r="60" spans="2:2" ht="13" x14ac:dyDescent="0.15">
      <c r="B60" s="5" t="s">
        <v>347</v>
      </c>
    </row>
    <row r="61" spans="2:2" ht="13" x14ac:dyDescent="0.15">
      <c r="B61" s="5" t="s">
        <v>349</v>
      </c>
    </row>
    <row r="62" spans="2:2" ht="13" x14ac:dyDescent="0.15">
      <c r="B62" s="5" t="s">
        <v>353</v>
      </c>
    </row>
    <row r="63" spans="2:2" ht="13" x14ac:dyDescent="0.15">
      <c r="B63" s="5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Membresia - ppta</vt:lpstr>
      <vt:lpstr>PPTA</vt:lpstr>
      <vt:lpstr>Listado de precios</vt:lpstr>
      <vt:lpstr>Números</vt:lpstr>
      <vt:lpstr>precios semana 2906</vt:lpstr>
      <vt:lpstr>Comparación</vt:lpstr>
      <vt:lpstr>Lider</vt:lpstr>
      <vt:lpstr>Jumbo</vt:lpstr>
      <vt:lpstr>Juan Esparraguito</vt:lpstr>
      <vt:lpstr>Packs</vt:lpstr>
      <vt:lpstr>LP GF</vt:lpstr>
      <vt:lpstr>Clasificación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viviana pino vicencio</cp:lastModifiedBy>
  <dcterms:modified xsi:type="dcterms:W3CDTF">2026-07-02T19:35:35Z</dcterms:modified>
</cp:coreProperties>
</file>